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Y:\Gerencia Operaciones\3.PROGRAMACION\10.PROGRAMACION SEMANAL\2026\6.JUNIO\1. 06-06_12-06-2026\1.OC 70-2025\"/>
    </mc:Choice>
  </mc:AlternateContent>
  <xr:revisionPtr revIDLastSave="0" documentId="13_ncr:1_{A1AD1CCC-7505-44CF-801A-7D9430F5A0B3}" xr6:coauthVersionLast="47" xr6:coauthVersionMax="47" xr10:uidLastSave="{00000000-0000-0000-0000-000000000000}"/>
  <bookViews>
    <workbookView xWindow="-108" yWindow="-108" windowWidth="23256" windowHeight="12456" tabRatio="787" xr2:uid="{00000000-000D-0000-FFFF-FFFF00000000}"/>
  </bookViews>
  <sheets>
    <sheet name="ETIQUETA" sheetId="7" r:id="rId1"/>
    <sheet name="ESTATUS VERIFICACIÓN CEN" sheetId="6" r:id="rId2"/>
    <sheet name="ESTADO DECLARACIÓN CVP" sheetId="3" r:id="rId3"/>
    <sheet name="COSTO VARIABLE DE PRODUCCIÓN" sheetId="4" r:id="rId4"/>
    <sheet name="EXISTENCIA DE COMBUSTIBLE" sheetId="5" r:id="rId5"/>
  </sheets>
  <externalReferences>
    <externalReference r:id="rId6"/>
    <externalReference r:id="rId7"/>
    <externalReference r:id="rId8"/>
    <externalReference r:id="rId9"/>
    <externalReference r:id="rId10"/>
    <externalReference r:id="rId11"/>
  </externalReferences>
  <definedNames>
    <definedName name="_xlnm._FilterDatabase" localSheetId="3" hidden="1">'COSTO VARIABLE DE PRODUCCIÓN'!$A$3:$P$40</definedName>
    <definedName name="_xlnm._FilterDatabase" localSheetId="2" hidden="1">'ESTADO DECLARACIÓN CVP'!$B$3:$H$47</definedName>
    <definedName name="_xlnm._FilterDatabase" localSheetId="1" hidden="1">'ESTATUS VERIFICACIÓN CEN'!$B$1:$J$47</definedName>
    <definedName name="DEHIDRO" localSheetId="0">'[1]Despacho Potencia'!$B$502:$AA$547</definedName>
    <definedName name="DEHIDRO">'[2]Despacho Potencia'!$B$418:$AA$462</definedName>
    <definedName name="Disponibilidad">'[3]Reporte de Disponibilidad'!$A$2:$FN$382</definedName>
    <definedName name="Fecha" localSheetId="0">[3]Menu!$C$13</definedName>
    <definedName name="FECHA">'[4]MENU PRINCIPAL'!$H$6</definedName>
    <definedName name="Gen_ini">[5]Gen_Mot!$C$4</definedName>
    <definedName name="Gendata" localSheetId="0">'[3]Reporte de Disponibilidad'!$A$2:$AX$413</definedName>
    <definedName name="MAXIMA">5.5</definedName>
    <definedName name="MEDIA">4.5</definedName>
    <definedName name="MINIMA">3.5</definedName>
    <definedName name="RegPrimFre" localSheetId="0">[3]S_RPF!$A$11:$Y$77</definedName>
    <definedName name="RegPrimFre">[2]S_RPF!$A$11:$Y$77</definedName>
    <definedName name="RegSecFre" localSheetId="0">[3]S_RSF!$A$10:$Y$50</definedName>
    <definedName name="RegSecFre">[2]S_RSF!$A$10:$Y$40</definedName>
    <definedName name="ReserCaliente" localSheetId="0">[3]RTERM!$A$5:$Y$90</definedName>
    <definedName name="ReserCaliente">[2]RTERM!$A$5:$Y$90</definedName>
    <definedName name="ReserFria" localSheetId="0">[3]RFRIA!$A$7:$Y$75</definedName>
    <definedName name="ReserFria">[2]RFRIA!$A$7:$Y$75</definedName>
    <definedName name="SEMANA" localSheetId="0">'[6]MENU PRINCIPAL'!$G$9</definedName>
    <definedName name="SEMANA">'[4]MENU PRINCIPAL'!$G$9</definedName>
    <definedName name="Semana_1" localSheetId="0">[3]Menu!$C$14</definedName>
    <definedName name="Semana_1">[3]Menu!$C$14</definedName>
    <definedName name="wrn.PREDESPACHO." localSheetId="1" hidden="1">{#N/A,#N/A,FALSE,"Despacho potencia";#N/A,#N/A,FALSE,"DESPACHO EN OM"}</definedName>
    <definedName name="wrn.PREDESPACHO." localSheetId="0" hidden="1">{#N/A,#N/A,FALSE,"Despacho potencia";#N/A,#N/A,FALSE,"DESPACHO EN OM"}</definedName>
    <definedName name="wrn.PREDESPACHO." hidden="1">{#N/A,#N/A,FALSE,"Despacho potencia";#N/A,#N/A,FALSE,"DESPACHO EN OM"}</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3" l="1"/>
  <c r="G37" i="3"/>
  <c r="G32" i="3"/>
  <c r="G9" i="6" l="1"/>
  <c r="G20" i="6" l="1"/>
  <c r="G21" i="6"/>
  <c r="G22" i="6"/>
  <c r="G23" i="6"/>
  <c r="AM27" i="4"/>
  <c r="AM21" i="4"/>
  <c r="AN21" i="4"/>
  <c r="AM22" i="4"/>
  <c r="AN22" i="4"/>
  <c r="AM23" i="4"/>
  <c r="AN23" i="4"/>
  <c r="AM24" i="4"/>
  <c r="AN24" i="4"/>
  <c r="AM25" i="4"/>
  <c r="AN25" i="4"/>
  <c r="AM26" i="4"/>
  <c r="AN26" i="4"/>
  <c r="AN27" i="4"/>
  <c r="AM28" i="4"/>
  <c r="AN28" i="4"/>
  <c r="AM29" i="4"/>
  <c r="AN29" i="4"/>
  <c r="AM30" i="4"/>
  <c r="AN30" i="4"/>
  <c r="AM31" i="4"/>
  <c r="AN31" i="4"/>
  <c r="AM32" i="4"/>
  <c r="AN32" i="4"/>
  <c r="AM33" i="4"/>
  <c r="AN33" i="4"/>
  <c r="AM34" i="4"/>
  <c r="AN34" i="4"/>
  <c r="AM35" i="4"/>
  <c r="AN35" i="4"/>
  <c r="AM36" i="4"/>
  <c r="AN36" i="4"/>
  <c r="AM37" i="4"/>
  <c r="AN37" i="4"/>
  <c r="AM38" i="4"/>
  <c r="AN38" i="4"/>
  <c r="AM39" i="4"/>
  <c r="AN39" i="4"/>
  <c r="AM40" i="4"/>
  <c r="AN40" i="4"/>
  <c r="AM41" i="4"/>
  <c r="AN41" i="4"/>
  <c r="AM42" i="4"/>
  <c r="AN42" i="4"/>
  <c r="AM43" i="4"/>
  <c r="AN43" i="4"/>
  <c r="AM44" i="4"/>
  <c r="AN44" i="4"/>
  <c r="AM45" i="4"/>
  <c r="AN45" i="4"/>
  <c r="AM46" i="4"/>
  <c r="AN46" i="4"/>
  <c r="AM47" i="4"/>
  <c r="AN47" i="4"/>
  <c r="AM48" i="4"/>
  <c r="AN48" i="4"/>
  <c r="AM49" i="4"/>
  <c r="AN49" i="4"/>
  <c r="AM50" i="4"/>
  <c r="AN50" i="4"/>
  <c r="AM51" i="4"/>
  <c r="AN51" i="4"/>
  <c r="AM52" i="4"/>
  <c r="AN52" i="4"/>
  <c r="AM53" i="4"/>
  <c r="AN53" i="4"/>
  <c r="AM54" i="4"/>
  <c r="AN54" i="4"/>
  <c r="AM55" i="4"/>
  <c r="AN55" i="4"/>
  <c r="AM56" i="4"/>
  <c r="AN56" i="4"/>
  <c r="I21" i="6"/>
  <c r="AO50" i="4" l="1"/>
  <c r="AO48" i="4"/>
  <c r="AO55" i="4"/>
  <c r="AO40" i="4"/>
  <c r="AO56" i="4"/>
  <c r="AO52" i="4"/>
  <c r="AO46" i="4"/>
  <c r="AO21" i="4"/>
  <c r="AO29" i="4"/>
  <c r="AO41" i="4"/>
  <c r="AO33" i="4"/>
  <c r="AO53" i="4"/>
  <c r="AO39" i="4"/>
  <c r="AO23" i="4"/>
  <c r="AO45" i="4"/>
  <c r="AO44" i="4"/>
  <c r="AO34" i="4"/>
  <c r="AO38" i="4"/>
  <c r="AO43" i="4"/>
  <c r="AO35" i="4"/>
  <c r="AO28" i="4"/>
  <c r="AO25" i="4"/>
  <c r="AO32" i="4"/>
  <c r="AO24" i="4"/>
  <c r="AO31" i="4"/>
  <c r="AO37" i="4"/>
  <c r="AO26" i="4"/>
  <c r="AO47" i="4"/>
  <c r="AO49" i="4"/>
  <c r="AO54" i="4"/>
  <c r="AO30" i="4"/>
  <c r="AO51" i="4"/>
  <c r="AO36" i="4"/>
  <c r="AO22" i="4"/>
  <c r="AO42" i="4"/>
  <c r="AO27" i="4"/>
  <c r="AM15" i="4"/>
  <c r="AM16" i="4"/>
  <c r="AM13" i="4"/>
  <c r="AM14" i="4"/>
  <c r="G49" i="6"/>
  <c r="G50" i="6"/>
  <c r="I49" i="6"/>
  <c r="I50" i="6"/>
  <c r="I57" i="6"/>
  <c r="I55" i="6"/>
  <c r="I56" i="6"/>
  <c r="G57" i="6"/>
  <c r="G38" i="6" l="1"/>
  <c r="G54" i="6"/>
  <c r="G55" i="6"/>
  <c r="AN57" i="4"/>
  <c r="AM57" i="4"/>
  <c r="G37" i="6"/>
  <c r="G4" i="6"/>
  <c r="G5" i="6"/>
  <c r="G6" i="6"/>
  <c r="G7" i="6"/>
  <c r="G8" i="6"/>
  <c r="G10" i="6"/>
  <c r="G11" i="6"/>
  <c r="G12" i="6"/>
  <c r="G13" i="6"/>
  <c r="G14" i="6"/>
  <c r="G15" i="6"/>
  <c r="G16" i="6"/>
  <c r="G17" i="6"/>
  <c r="G18" i="6"/>
  <c r="G19" i="6"/>
  <c r="G24" i="6"/>
  <c r="G25" i="6"/>
  <c r="G26" i="6"/>
  <c r="G27" i="6"/>
  <c r="G28" i="6"/>
  <c r="G29" i="6"/>
  <c r="G30" i="6"/>
  <c r="G31" i="6"/>
  <c r="G32" i="6"/>
  <c r="G33" i="6"/>
  <c r="G34" i="6"/>
  <c r="G35" i="6"/>
  <c r="G36" i="6"/>
  <c r="G39" i="6"/>
  <c r="G40" i="6"/>
  <c r="G41" i="6"/>
  <c r="G42" i="6"/>
  <c r="G43" i="6"/>
  <c r="G44" i="6"/>
  <c r="G45" i="6"/>
  <c r="G46" i="6"/>
  <c r="G47" i="6"/>
  <c r="G48" i="6"/>
  <c r="G51" i="6"/>
  <c r="G52" i="6"/>
  <c r="G53" i="6"/>
  <c r="G56" i="6"/>
  <c r="I43" i="6"/>
  <c r="AO57" i="4" l="1"/>
  <c r="AN9" i="4"/>
  <c r="AN4" i="4"/>
  <c r="AN5" i="4"/>
  <c r="AN6" i="4"/>
  <c r="AN7" i="4"/>
  <c r="AN8" i="4"/>
  <c r="AN10" i="4"/>
  <c r="AN11" i="4"/>
  <c r="AN12" i="4"/>
  <c r="AN13" i="4"/>
  <c r="AN14" i="4"/>
  <c r="AN15" i="4"/>
  <c r="AN16" i="4"/>
  <c r="AN17" i="4"/>
  <c r="AN18" i="4"/>
  <c r="AN19" i="4"/>
  <c r="AN20" i="4"/>
  <c r="AM11" i="4"/>
  <c r="AM12" i="4"/>
  <c r="AM17" i="4"/>
  <c r="AM18" i="4"/>
  <c r="AM19" i="4"/>
  <c r="AM20" i="4"/>
  <c r="AM5" i="4"/>
  <c r="AM6" i="4"/>
  <c r="AM7" i="4"/>
  <c r="AM8" i="4"/>
  <c r="AM9" i="4"/>
  <c r="AM10" i="4"/>
  <c r="AM4" i="4"/>
  <c r="T1" i="7"/>
  <c r="AO20" i="4" l="1"/>
  <c r="AO6" i="4"/>
  <c r="AO11" i="4"/>
  <c r="AO12" i="4"/>
  <c r="AO5" i="4"/>
  <c r="AO13" i="4"/>
  <c r="AO8" i="4"/>
  <c r="AO18" i="4"/>
  <c r="AO15" i="4"/>
  <c r="AO10" i="4"/>
  <c r="AO9" i="4"/>
  <c r="AO17" i="4"/>
  <c r="AO16" i="4"/>
  <c r="AO19" i="4"/>
  <c r="AO14" i="4"/>
  <c r="AO7" i="4"/>
  <c r="AO4" i="4"/>
  <c r="I39" i="6" l="1"/>
  <c r="I54" i="6"/>
  <c r="I4" i="6"/>
  <c r="I48" i="6"/>
  <c r="I51" i="6"/>
  <c r="I52" i="6"/>
  <c r="I53" i="6"/>
  <c r="O19" i="7" l="1"/>
  <c r="O20" i="7" l="1"/>
  <c r="O21" i="7" l="1"/>
  <c r="T2" i="7"/>
  <c r="U1" i="7"/>
  <c r="I8" i="6"/>
  <c r="I47" i="6"/>
  <c r="I46" i="6"/>
  <c r="I45" i="6"/>
  <c r="I44" i="6"/>
  <c r="I42" i="6"/>
  <c r="I41" i="6"/>
  <c r="I40" i="6"/>
  <c r="I38" i="6"/>
  <c r="I37" i="6"/>
  <c r="I36" i="6"/>
  <c r="I35" i="6"/>
  <c r="I34" i="6"/>
  <c r="I33" i="6"/>
  <c r="I32" i="6"/>
  <c r="I31" i="6"/>
  <c r="I30" i="6"/>
  <c r="I29" i="6"/>
  <c r="I28" i="6"/>
  <c r="I27" i="6"/>
  <c r="I26" i="6"/>
  <c r="I25" i="6"/>
  <c r="I24" i="6"/>
  <c r="I23" i="6"/>
  <c r="I22" i="6"/>
  <c r="I20" i="6"/>
  <c r="I19" i="6"/>
  <c r="I18" i="6"/>
  <c r="I17" i="6"/>
  <c r="I16" i="6"/>
  <c r="I15" i="6"/>
  <c r="I14" i="6"/>
  <c r="I13" i="6"/>
  <c r="I12" i="6"/>
  <c r="I11" i="6"/>
  <c r="I10" i="6"/>
  <c r="I9" i="6"/>
  <c r="I7" i="6"/>
  <c r="I6" i="6"/>
  <c r="O22" i="7" l="1"/>
  <c r="B2" i="3"/>
  <c r="B2" i="5"/>
  <c r="A2" i="4"/>
  <c r="T3" i="7"/>
  <c r="U2" i="7"/>
  <c r="T4" i="7" l="1"/>
  <c r="U3" i="7"/>
  <c r="T5" i="7" l="1"/>
  <c r="U4" i="7"/>
  <c r="T6" i="7" l="1"/>
  <c r="U5" i="7"/>
  <c r="T7" i="7" l="1"/>
  <c r="U6" i="7"/>
  <c r="T8" i="7" l="1"/>
  <c r="T9" i="7" s="1"/>
  <c r="U7" i="7"/>
  <c r="U8" i="7" l="1"/>
  <c r="T10" i="7" l="1"/>
  <c r="U9" i="7"/>
  <c r="T11" i="7" l="1"/>
  <c r="U11" i="7" l="1"/>
  <c r="T12" i="7"/>
  <c r="U12" i="7" l="1"/>
  <c r="T13" i="7"/>
  <c r="U13" i="7" l="1"/>
  <c r="T14" i="7"/>
  <c r="U14" i="7" s="1"/>
  <c r="O23" i="7" l="1"/>
  <c r="B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Martich Lorenzo</author>
    <author>Alexis Vasquez</author>
  </authors>
  <commentList>
    <comment ref="B2" authorId="0" shapeId="0" xr:uid="{00000000-0006-0000-0100-000001000000}">
      <text>
        <r>
          <rPr>
            <b/>
            <sz val="14"/>
            <color indexed="81"/>
            <rFont val="Tahoma"/>
            <family val="2"/>
          </rPr>
          <t>APO:</t>
        </r>
        <r>
          <rPr>
            <sz val="14"/>
            <color indexed="81"/>
            <rFont val="Tahoma"/>
            <family val="2"/>
          </rPr>
          <t xml:space="preserve"> El ciclo de declaración del CEN se realiza de forma mensual con los valores del consumo de combustible y energía neta del mes anterior, teniendo los Agente del MEM, hasta el segundo miércoles de cada mes para reportar estos parámetros del mes anterior.
En este sentido, los valores del CEN para el mes de marzo 2022 corresponden a los registros de combustible y energía durante el mes de febrero 2022.</t>
        </r>
      </text>
    </comment>
    <comment ref="E3" authorId="1" shapeId="0" xr:uid="{00000000-0006-0000-0100-000002000000}">
      <text>
        <r>
          <rPr>
            <b/>
            <sz val="10"/>
            <color indexed="81"/>
            <rFont val="Tahoma"/>
            <family val="2"/>
          </rPr>
          <t>APO:</t>
        </r>
        <r>
          <rPr>
            <sz val="10"/>
            <color indexed="81"/>
            <rFont val="Tahoma"/>
            <family val="2"/>
          </rPr>
          <t xml:space="preserve">
El término que se utiliza el Mercado Eléctrico Mayorista (según el art. 180 del RALGE 125-01 y el Procedimiento de la resolución OC 42-2015) es el Consumo Especifico Neto (CEN), el cual tiene las unidades de medidas invertidas al del Ratio: gal/kwh para los combustibles líquidos, MMBTU/kwh para los combustibles gaseosos y TM/kwh para los combustibles sólidos, siendo a su vez calculados y declarados una vez por mes.
</t>
        </r>
        <r>
          <rPr>
            <b/>
            <sz val="10"/>
            <color indexed="81"/>
            <rFont val="Tahoma"/>
            <family val="2"/>
          </rPr>
          <t xml:space="preserve">
Favor ver nota despues de la tabla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Samuel Gonzalez</author>
    <author>Alexis Vasquez</author>
  </authors>
  <commentList>
    <comment ref="E3" authorId="0" shapeId="0" xr:uid="{00000000-0006-0000-0200-000001000000}">
      <text>
        <r>
          <rPr>
            <sz val="18"/>
            <color indexed="81"/>
            <rFont val="Tahoma"/>
            <family val="2"/>
          </rPr>
          <t xml:space="preserve">Las unidades de medida de los valores monetarios en esta hoja están expresadas como el Agente el declara el precio de combustible puesto en planta, ya sea en pesos dominicanos o en dólares.
En la hoja "COSTO VARIABLE DE PRODUCCION" estos valores están referidos a pesos dominicanos (con la tasa de cambio establecida en el Procedimiento de la Resolución OC 70-2025).
</t>
        </r>
        <r>
          <rPr>
            <sz val="9"/>
            <color indexed="81"/>
            <rFont val="Tahoma"/>
            <family val="2"/>
          </rPr>
          <t xml:space="preserve">
</t>
        </r>
      </text>
    </comment>
    <comment ref="G3" authorId="0" shapeId="0" xr:uid="{00000000-0006-0000-0200-000002000000}">
      <text>
        <r>
          <rPr>
            <sz val="18"/>
            <color indexed="81"/>
            <rFont val="Tahoma"/>
            <family val="2"/>
          </rPr>
          <t>Las unidades de medida de los valores monetarios en esta hoja están expresadas como el Agente el declara el precio de combustible puesto en planta, ya sea en pesos dominicanos o en dólares.
En la hoja "COSTO VARIABLE DE PRODUCCION" estos valores están referidos a pesos dominicanos (con la tasa de cambio establecida en el Procedimiento de la Resolución OC 70-2025).</t>
        </r>
        <r>
          <rPr>
            <sz val="9"/>
            <color indexed="81"/>
            <rFont val="Tahoma"/>
            <family val="2"/>
          </rPr>
          <t xml:space="preserve">
</t>
        </r>
      </text>
    </comment>
    <comment ref="D57" authorId="1" shapeId="0" xr:uid="{25C5CD84-1C61-4FF6-BF6E-FC54FC706CD0}">
      <text>
        <r>
          <rPr>
            <b/>
            <sz val="11"/>
            <color indexed="81"/>
            <rFont val="Tahoma"/>
            <family val="2"/>
          </rPr>
          <t>APO:</t>
        </r>
        <r>
          <rPr>
            <sz val="11"/>
            <color indexed="81"/>
            <rFont val="Tahoma"/>
            <family val="2"/>
          </rPr>
          <t xml:space="preserve">
En atención a los lineamientos establecidos por la Comisión Nacional de Energía (CNE) en su comunicación DESP-CNE-00548-2017, y la Superintendencia de Electricidad (SIE) en su comunicación SIE-E-CSEI-SI-2017-0224, se incluyel el Costo Variable de Producción (CVP) de la Central San Pedro Bio-Energy.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Samuel Gonzalez</author>
    <author>Adellin Contreras</author>
  </authors>
  <commentList>
    <comment ref="G3" authorId="0" shapeId="0" xr:uid="{00000000-0006-0000-0300-000001000000}">
      <text>
        <r>
          <rPr>
            <b/>
            <sz val="9"/>
            <color indexed="81"/>
            <rFont val="Tahoma"/>
            <family val="2"/>
          </rPr>
          <t>CVP:</t>
        </r>
        <r>
          <rPr>
            <sz val="9"/>
            <color indexed="81"/>
            <rFont val="Tahoma"/>
            <family val="2"/>
          </rPr>
          <t xml:space="preserve">
Estimados Agentes del MEM, por este medio notificamos lo siguiente:
Para las próximas declaraciones del precio de combustible puesto en planta, en el caso de que exista una diferencia entre el precio de combustible declarado y el precio de combustible indicado en la factura, se deberá incluir por escrito la memoria o metodología de cálculo utilizada para el combustible ponderado y los resultados del mismo para la semana de declaración.
</t>
        </r>
      </text>
    </comment>
    <comment ref="L3" authorId="1" shapeId="0" xr:uid="{A49BFDCC-EFB7-45EE-83B7-5A3DFCD63A97}">
      <text>
        <r>
          <rPr>
            <b/>
            <sz val="9"/>
            <color indexed="81"/>
            <rFont val="Tahoma"/>
            <family val="2"/>
          </rPr>
          <t>APO:</t>
        </r>
        <r>
          <rPr>
            <sz val="9"/>
            <color indexed="81"/>
            <rFont val="Tahoma"/>
            <family val="2"/>
          </rPr>
          <t xml:space="preserve">
Esta información corresponde al inventario declarado junto con el PCPP aprobado.</t>
        </r>
      </text>
    </comment>
    <comment ref="M3" authorId="0" shapeId="0" xr:uid="{00000000-0006-0000-0300-000002000000}">
      <text>
        <r>
          <rPr>
            <b/>
            <sz val="9"/>
            <color indexed="81"/>
            <rFont val="Tahoma"/>
            <family val="2"/>
          </rPr>
          <t xml:space="preserve">CVP:
</t>
        </r>
        <r>
          <rPr>
            <sz val="9"/>
            <color indexed="81"/>
            <rFont val="Tahoma"/>
            <family val="2"/>
          </rPr>
          <t xml:space="preserve">
</t>
        </r>
        <r>
          <rPr>
            <b/>
            <sz val="9"/>
            <color indexed="81"/>
            <rFont val="Tahoma"/>
            <family val="2"/>
          </rPr>
          <t xml:space="preserve">Para guardar relación con los costos marginales de energía, se ha establecido la tasa del dólar tal como se estable en la resolución SIE-101-2016-MEM (tasa de cambio para la venta de Agentes de Cambio), artículo 1, párrafo único en el cual se establece el cálculo del costo marginal tope.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Adellin Contreras</author>
    <author>Alexis Vasquez</author>
  </authors>
  <commentList>
    <comment ref="L3" authorId="0" shapeId="0" xr:uid="{BCA7A856-C09A-4C68-A8BE-19A0EFABDFC1}">
      <text>
        <r>
          <rPr>
            <b/>
            <sz val="9"/>
            <color indexed="81"/>
            <rFont val="Tahoma"/>
            <family val="2"/>
          </rPr>
          <t>APO:</t>
        </r>
        <r>
          <rPr>
            <sz val="9"/>
            <color indexed="81"/>
            <rFont val="Tahoma"/>
            <family val="2"/>
          </rPr>
          <t xml:space="preserve">
Esta información corresponde al inventario declarado para la semana en curso.</t>
        </r>
      </text>
    </comment>
    <comment ref="C17" authorId="1" shapeId="0" xr:uid="{CC4903ED-F793-4B6B-98AC-956079555EF4}">
      <text>
        <r>
          <rPr>
            <b/>
            <sz val="9"/>
            <color indexed="81"/>
            <rFont val="Tahoma"/>
            <family val="2"/>
          </rPr>
          <t>APO:</t>
        </r>
        <r>
          <rPr>
            <sz val="9"/>
            <color indexed="81"/>
            <rFont val="Tahoma"/>
            <family val="2"/>
          </rPr>
          <t xml:space="preserve">
A través de la comunicación OC-2017-000773, de fecha 10 de agosto 2017, el OC certifico el ingreso a operación comercial del Parque Energético de Los Mina (PELM) a partir del sábado 12 de agosto 2017, el cual incluye la nueva unidad de Los Mina 7.
Atendiendo a los resultados del VEROPE realizado al PELM (como parte del trámite C del Reglamento de la Resolución SIE-061-2015), en donde se evidencio que dicha central posee la flexibilidad de operar en diferentes modos de operación, a partir de la programación semanal del 12 al 18 de agosto 2017 se han adicionado las siguientes modalidades operativas asociadas a dicho parque de generación:
Parque Energético Los Mina Ciclo Combinado Total (G3PELMCT), compuesto por el funcionamiento enlazado energéticamente de las dos (2) turbinas de gas y la turbina de vapor.
Parque Energético Los Mina Ciclo Combinado Parcial (G3PELMCP), compuesto por el funcionamiento enlazado energéticamente de una (1) turbina de gas y la turbina de vapor.
En este sentido, estas dos (2) nuevas nomenclaturas sustituyen la utilización del nombre de Los Mina 7 (G3LMINA7) para referirse al funcionamiento del parque en ciclo combinado, bajo el entendido de que Los Mina 7 (G3LMINA7) solo hace referencia a la turbina de vapor de dicha central.
La operación en ciclo simple de las turbinas de gas también forma parte del PELM.</t>
        </r>
      </text>
    </comment>
    <comment ref="C18" authorId="1" shapeId="0" xr:uid="{BC439634-CAF6-4009-A427-CE6412F0B0A7}">
      <text>
        <r>
          <rPr>
            <b/>
            <sz val="9"/>
            <color indexed="81"/>
            <rFont val="Tahoma"/>
            <family val="2"/>
          </rPr>
          <t>APO:</t>
        </r>
        <r>
          <rPr>
            <sz val="9"/>
            <color indexed="81"/>
            <rFont val="Tahoma"/>
            <family val="2"/>
          </rPr>
          <t xml:space="preserve">
A través de la comunicación OC-2017-000773, de fecha 10 de agosto 2017, el OC certifico el ingreso a operación comercial del Parque Energético de Los Mina (PELM) a partir del sábado 12 de agosto 2017, el cual incluye la nueva unidad de Los Mina 7.
Atendiendo a los resultados del VEROPE realizado al PELM (como parte del trámite C del Reglamento de la Resolución SIE-061-2015), en donde se evidencio que dicha central posee la flexibilidad de operar en diferentes modos de operación, a partir de la programación semanal del 12 al 18 de agosto 2017 se han adicionado las siguientes modalidades operativas asociadas a dicho parque de generación:
Parque Energético Los Mina Ciclo Combinado Total (G3PELMCT), compuesto por el funcionamiento enlazado energéticamente de las dos (2) turbinas de gas y la turbina de vapor.
Parque Energético Los Mina Ciclo Combinado Parcial (G3PELMCP), compuesto por el funcionamiento enlazado energéticamente de una (1) turbina de gas y la turbina de vapor.
En este sentido, estas dos (2) nuevas nomenclaturas sustituyen la utilización del nombre de Los Mina 7 (G3LMINA7) para referirse al funcionamiento del parque en ciclo combinado, bajo el entendido de que Los Mina 7 (G3LMINA7) solo hace referencia a la turbina de vapor de dicha central.
La operación en ciclo simple de las turbinas de gas también forma parte del PELM.</t>
        </r>
      </text>
    </comment>
  </commentList>
</comments>
</file>

<file path=xl/sharedStrings.xml><?xml version="1.0" encoding="utf-8"?>
<sst xmlns="http://schemas.openxmlformats.org/spreadsheetml/2006/main" count="1288" uniqueCount="260">
  <si>
    <t>CEN</t>
  </si>
  <si>
    <t>AES ANDRES</t>
  </si>
  <si>
    <t>APROBADO</t>
  </si>
  <si>
    <t>BERSAL</t>
  </si>
  <si>
    <t>G3BERSAL</t>
  </si>
  <si>
    <t>METALDOM</t>
  </si>
  <si>
    <t>G3METALD</t>
  </si>
  <si>
    <t>DPP</t>
  </si>
  <si>
    <t>G3LMINA5</t>
  </si>
  <si>
    <t>LOS MINA 5</t>
  </si>
  <si>
    <t>G3LMINA6</t>
  </si>
  <si>
    <t>LOS MINA 6</t>
  </si>
  <si>
    <t>EGEHAINA</t>
  </si>
  <si>
    <t>HAINA TG</t>
  </si>
  <si>
    <t>G3SESTE</t>
  </si>
  <si>
    <t>SULTANA DEL ESTE</t>
  </si>
  <si>
    <t>EGEITABO</t>
  </si>
  <si>
    <t>G3ITABO1</t>
  </si>
  <si>
    <t>ITABO 1</t>
  </si>
  <si>
    <t>G3ITABO2</t>
  </si>
  <si>
    <t>ITABO 2</t>
  </si>
  <si>
    <t>G3SLORE1</t>
  </si>
  <si>
    <t>SAN LORENZO 1</t>
  </si>
  <si>
    <t>SEABOARD</t>
  </si>
  <si>
    <t>G3EM2CFO</t>
  </si>
  <si>
    <t>ESTRELLA DEL MAR 2 CFO</t>
  </si>
  <si>
    <t>G3EM2CGN</t>
  </si>
  <si>
    <t>ESTRELLA DEL MAR 2 CGN</t>
  </si>
  <si>
    <t>G3EM2SFO</t>
  </si>
  <si>
    <t>ESTRELLA DEL MAR 2 SFO</t>
  </si>
  <si>
    <t>G3EM2SGN</t>
  </si>
  <si>
    <t>ESTRELLA DEL MAR 2 SGN</t>
  </si>
  <si>
    <t>GPLV</t>
  </si>
  <si>
    <t>G3LVEGA</t>
  </si>
  <si>
    <t>LA VEGA</t>
  </si>
  <si>
    <t>G3PALAMA</t>
  </si>
  <si>
    <t>PALAMARA</t>
  </si>
  <si>
    <t>LAESA LTD</t>
  </si>
  <si>
    <t>G3PIMEN1</t>
  </si>
  <si>
    <t>PIMENTEL 1</t>
  </si>
  <si>
    <t>G3PIMEN2</t>
  </si>
  <si>
    <t>PIMENTEL 2</t>
  </si>
  <si>
    <t>G3PIMEN3</t>
  </si>
  <si>
    <t>PIMENTEL 3</t>
  </si>
  <si>
    <t>LOS ORIGENES</t>
  </si>
  <si>
    <t>G3LOPPFO</t>
  </si>
  <si>
    <t>LOS ORÍGENES POWER PLANT FUEL OIL</t>
  </si>
  <si>
    <t>G3LOPPGN</t>
  </si>
  <si>
    <t>LOS ORÍGENES POWER PLANT GAS NATURAL</t>
  </si>
  <si>
    <t>MONTE RIO LTD</t>
  </si>
  <si>
    <t>G3IKM22</t>
  </si>
  <si>
    <t>INCA KM22</t>
  </si>
  <si>
    <t>PVDC</t>
  </si>
  <si>
    <t>G3MRIO</t>
  </si>
  <si>
    <t>NO DECLARADO</t>
  </si>
  <si>
    <t>CVP (RD$/MWh)</t>
  </si>
  <si>
    <t>Combustible Almacenado</t>
  </si>
  <si>
    <t>Rendimiento</t>
  </si>
  <si>
    <t>Densidad</t>
  </si>
  <si>
    <t>Gas Natural</t>
  </si>
  <si>
    <t>Fuel Oil No. 6</t>
  </si>
  <si>
    <t>Fuel Oil No. 2</t>
  </si>
  <si>
    <t>Carbón</t>
  </si>
  <si>
    <t>GASEOSO</t>
  </si>
  <si>
    <t>MMBTU/KWh</t>
  </si>
  <si>
    <t>MMBTU</t>
  </si>
  <si>
    <t>LIQUIDO</t>
  </si>
  <si>
    <t>GALONES/KWh</t>
  </si>
  <si>
    <t>GALONES</t>
  </si>
  <si>
    <t>SOLIDO</t>
  </si>
  <si>
    <t>Las unidades de medidas están definidas según el tipo de combustible:</t>
  </si>
  <si>
    <t>FUEL OIL</t>
  </si>
  <si>
    <t>GAS NATURAL</t>
  </si>
  <si>
    <t>Precio Combustible</t>
  </si>
  <si>
    <t>RD$/TON</t>
  </si>
  <si>
    <t>RD$/MMBTU</t>
  </si>
  <si>
    <t>Transporte</t>
  </si>
  <si>
    <t>Precio Combustible Puesto en Planta</t>
  </si>
  <si>
    <t>Consumo Especifico</t>
  </si>
  <si>
    <t>Galones/kWh</t>
  </si>
  <si>
    <t>TON/kWh</t>
  </si>
  <si>
    <t>MMBTU/kWh</t>
  </si>
  <si>
    <t xml:space="preserve">MMBTU </t>
  </si>
  <si>
    <t>Poder Calorífico</t>
  </si>
  <si>
    <t>N/A</t>
  </si>
  <si>
    <t>BTU/Lb</t>
  </si>
  <si>
    <t>COMPONENTES CVP</t>
  </si>
  <si>
    <t>NO APROBADO</t>
  </si>
  <si>
    <t>Consumo Especifico Neto</t>
  </si>
  <si>
    <t>kWh/MMBTU</t>
  </si>
  <si>
    <t>NOTAS:</t>
  </si>
  <si>
    <t>Estimados Agentes del MEM, por este medio notificamos lo siguiente:
Para las próximas declaraciones del precio de combustible puesto en planta, en el caso de que exista una diferencia entre el precio de combustible declarado y el precio de combustible indicado en la factura, se deberá incluir por escrito la memoria o metodología de cálculo utilizada para el combustible ponderado y los resultados del mismo para la semana de declaración.</t>
  </si>
  <si>
    <t>LEAR</t>
  </si>
  <si>
    <t>Leyenda:</t>
  </si>
  <si>
    <t>CARBÓN</t>
  </si>
  <si>
    <t>PARQUE ENERGETICO LOS MINA CC PARCIAL</t>
  </si>
  <si>
    <t>PARQUE ENERGETICO LOS MINA CC TOTAL</t>
  </si>
  <si>
    <t>SAN PEDRO BIO-ENERGY</t>
  </si>
  <si>
    <t>G3SPBENE</t>
  </si>
  <si>
    <t>Biomasa</t>
  </si>
  <si>
    <t>CESPM</t>
  </si>
  <si>
    <t>EMPRESA</t>
  </si>
  <si>
    <t>COMENTARIOS ADICIONALES OC</t>
  </si>
  <si>
    <t>CÓDIGO CENTRAL</t>
  </si>
  <si>
    <t>CENTRAL</t>
  </si>
  <si>
    <t>CVP DECLARADO ($/MWh)</t>
  </si>
  <si>
    <t>PERIODO</t>
  </si>
  <si>
    <t>COMBUSTIBLE</t>
  </si>
  <si>
    <t>PRECIO COMBUSTIBLE (RD$/Unidad)</t>
  </si>
  <si>
    <t>TRANSPORTE (RD$/Unidad)</t>
  </si>
  <si>
    <t>PRECIO COMBUSTIBLE PUESTO EN PLANTA (RD$/Unidad)</t>
  </si>
  <si>
    <t>CONSUMO ESPECÍFICO</t>
  </si>
  <si>
    <t>COSTO VARIABLE COMBUSTIBLE (RD$/MWh)</t>
  </si>
  <si>
    <t>COSTO VARIABLE NO COMBUSTIBLE (RD$/MWh)</t>
  </si>
  <si>
    <t>COMBUSTIBLE ALMACENADO</t>
  </si>
  <si>
    <t>TASA</t>
  </si>
  <si>
    <t>RENDIMIENTO</t>
  </si>
  <si>
    <t>PODER CALORÍFICO INFERIOR</t>
  </si>
  <si>
    <t>TIPO COMBUSTIBLE</t>
  </si>
  <si>
    <t>ALMACENAMIENTO PRINCIPAL</t>
  </si>
  <si>
    <t>ALMACENAMIENTO DIARIO</t>
  </si>
  <si>
    <t>PUNTOS MUERTOS OPERACIÓN</t>
  </si>
  <si>
    <t>ESTADO DECLARACIÓN EAC</t>
  </si>
  <si>
    <t>UNIDAD CEN</t>
  </si>
  <si>
    <t>UNIDAD COMBUSTIBLE ALMACENADO</t>
  </si>
  <si>
    <t>ESTADO DECLARACIÓN COSTO</t>
  </si>
  <si>
    <t>ENERGÍA ALMACENADA (MWh)</t>
  </si>
  <si>
    <t>ELABORACIÓN</t>
  </si>
  <si>
    <t>REVISIÓN</t>
  </si>
  <si>
    <t>APROBACIÓN</t>
  </si>
  <si>
    <t>ORGANISMO COORDINADOR DEL SISTEMA ELÉCTRICO NACIONAL INTERCONECTADO</t>
  </si>
  <si>
    <t>ALEXIS VÁSQUEZ</t>
  </si>
  <si>
    <t>G3PALENQ</t>
  </si>
  <si>
    <t>PALENQUE</t>
  </si>
  <si>
    <t>RD$/Gal</t>
  </si>
  <si>
    <t>Gal/kWh</t>
  </si>
  <si>
    <t>TON</t>
  </si>
  <si>
    <t>Gal</t>
  </si>
  <si>
    <t>BTU/Gal</t>
  </si>
  <si>
    <t>kJ/kg</t>
  </si>
  <si>
    <t>BTU/KWh</t>
  </si>
  <si>
    <r>
      <t>gr/m</t>
    </r>
    <r>
      <rPr>
        <vertAlign val="superscript"/>
        <sz val="11"/>
        <color rgb="FF000000"/>
        <rFont val="Calibri"/>
        <family val="2"/>
        <scheme val="minor"/>
      </rPr>
      <t>3</t>
    </r>
  </si>
  <si>
    <t>kJ/kWh</t>
  </si>
  <si>
    <t>BTU/scf</t>
  </si>
  <si>
    <t>BTU/lb</t>
  </si>
  <si>
    <t>kWh/TON</t>
  </si>
  <si>
    <r>
      <t>kg/m</t>
    </r>
    <r>
      <rPr>
        <vertAlign val="superscript"/>
        <sz val="11"/>
        <color rgb="FF000000"/>
        <rFont val="Calibri"/>
        <family val="2"/>
        <scheme val="minor"/>
      </rPr>
      <t>3</t>
    </r>
  </si>
  <si>
    <t>BTU/kWh</t>
  </si>
  <si>
    <t>G3ITABO 1 y 2</t>
  </si>
  <si>
    <t>CENTRAL/EMPRESA</t>
  </si>
  <si>
    <t>AES ANDRÉS y DPP</t>
  </si>
  <si>
    <t>G3EM2CGN y G3EM2SGN</t>
  </si>
  <si>
    <t>kWh/BTU</t>
  </si>
  <si>
    <t>G3PEMCT</t>
  </si>
  <si>
    <t>G3PEMCP</t>
  </si>
  <si>
    <t>G3BCARBO</t>
  </si>
  <si>
    <t>G3HTG</t>
  </si>
  <si>
    <t>G3SPBIOE</t>
  </si>
  <si>
    <t>302265</t>
  </si>
  <si>
    <t>25000</t>
  </si>
  <si>
    <t>Empresa</t>
  </si>
  <si>
    <t>Id central o modalidad operativa</t>
  </si>
  <si>
    <t>Nombre de la central o modalidad operativa</t>
  </si>
  <si>
    <t>CEN declarado</t>
  </si>
  <si>
    <t>Unidad de medida del CEN</t>
  </si>
  <si>
    <t>G3Q1SPGN</t>
  </si>
  <si>
    <t>QUISQUEYA 1 SAN PEDRO GN</t>
  </si>
  <si>
    <t>G3QUI1GN</t>
  </si>
  <si>
    <t>QUISQUEYA 1 GN</t>
  </si>
  <si>
    <t>DENSIDAD</t>
  </si>
  <si>
    <t>G3Q1SPFO</t>
  </si>
  <si>
    <t>QUISQUEYA 1 SAN PEDRO FO</t>
  </si>
  <si>
    <t>G3QUI1FO</t>
  </si>
  <si>
    <t>QUISQUEYA 1 FO</t>
  </si>
  <si>
    <t>G3QUI2FO</t>
  </si>
  <si>
    <t>QUISQUEYA 2 FO</t>
  </si>
  <si>
    <t>G3QUI2GN</t>
  </si>
  <si>
    <t>QUISQUEYA 2 GN</t>
  </si>
  <si>
    <t>G3CES1FO</t>
  </si>
  <si>
    <t>CESPM 1 FO</t>
  </si>
  <si>
    <t>G3CES2FO</t>
  </si>
  <si>
    <t>CESPM 2 FO</t>
  </si>
  <si>
    <t>G3CES3FO</t>
  </si>
  <si>
    <t>CESPM 3 FO</t>
  </si>
  <si>
    <t>G3PCATA1</t>
  </si>
  <si>
    <t>PUNTA CATALINA 1</t>
  </si>
  <si>
    <t>G3PCATA2</t>
  </si>
  <si>
    <t>PUNTA CATALINA 2</t>
  </si>
  <si>
    <t>G3CES1GN</t>
  </si>
  <si>
    <t>CESPM 1 GN</t>
  </si>
  <si>
    <t>G3CES2GN</t>
  </si>
  <si>
    <t>CESPM 2 GN</t>
  </si>
  <si>
    <t>G3CES3GN</t>
  </si>
  <si>
    <t>CESPM 3 GN</t>
  </si>
  <si>
    <t>TONELADAS METRICAS/KWh</t>
  </si>
  <si>
    <t>CARBÓN Y BIOMASA</t>
  </si>
  <si>
    <t>TONELADAS METRICAS</t>
  </si>
  <si>
    <t>G3PCATA1 y G3PCATA2</t>
  </si>
  <si>
    <t>BTU/LB</t>
  </si>
  <si>
    <t>MWh/TON</t>
  </si>
  <si>
    <t>Elaborado Por:</t>
  </si>
  <si>
    <t>Revisado Por:</t>
  </si>
  <si>
    <t>Aprobado Por:</t>
  </si>
  <si>
    <t>Programación:</t>
  </si>
  <si>
    <t xml:space="preserve"> </t>
  </si>
  <si>
    <t>FECHA DE SALIDA</t>
  </si>
  <si>
    <t>G3EM3CCP</t>
  </si>
  <si>
    <t>ESTRELLA DEL MAR 3 CCP</t>
  </si>
  <si>
    <t>G3EM3CCT</t>
  </si>
  <si>
    <t>ESTRELLA DEL MAR 3 CCT</t>
  </si>
  <si>
    <t>G3EM3CS</t>
  </si>
  <si>
    <t>ESTRELLA DEL MAR 3 CS</t>
  </si>
  <si>
    <t>G3AANDGN</t>
  </si>
  <si>
    <t>AES ANDRÉS GN</t>
  </si>
  <si>
    <t>G3AANDFO</t>
  </si>
  <si>
    <t>AES ANDRÉS FO</t>
  </si>
  <si>
    <t>BARAHONA CARBÓN</t>
  </si>
  <si>
    <t>MONTE RÍO</t>
  </si>
  <si>
    <t>SIBA</t>
  </si>
  <si>
    <t>KARPOWERSHIP DOMINICAN REPUBLIC, S.A.S.</t>
  </si>
  <si>
    <t>G3PAK26</t>
  </si>
  <si>
    <t>POWERSHIP AZUA KPS 26</t>
  </si>
  <si>
    <t>G3PAK60</t>
  </si>
  <si>
    <t>POWERSHIP AZUA KPS 60</t>
  </si>
  <si>
    <t>EMPRESA DE GENERACIÓN ELÉCTRICA PUNTA CATALINA</t>
  </si>
  <si>
    <r>
      <t>Centrales con declaración en unidades de medición diferentes a las establecidas en la nota anterior (</t>
    </r>
    <r>
      <rPr>
        <b/>
        <sz val="10"/>
        <color rgb="FF000000"/>
        <rFont val="Calibri"/>
        <family val="2"/>
        <scheme val="minor"/>
      </rPr>
      <t>Las unidades abajo señaladas corresponden a la información suministrada por el agente</t>
    </r>
    <r>
      <rPr>
        <sz val="10"/>
        <color rgb="FF000000"/>
        <rFont val="Calibri"/>
        <family val="2"/>
        <scheme val="minor"/>
      </rPr>
      <t>).</t>
    </r>
  </si>
  <si>
    <t>G3PIMEN4</t>
  </si>
  <si>
    <t>PIMENTEL 4</t>
  </si>
  <si>
    <t>DOMICEM GENERACIÓN</t>
  </si>
  <si>
    <t>ALEXANDER DE LA CRUZ</t>
  </si>
  <si>
    <t>G3SIBACS</t>
  </si>
  <si>
    <t>SIBA CICLO SIMPLE</t>
  </si>
  <si>
    <t>REGISTRO DE ACCIONES CORRECTIVAS SEGUN EL PROCEDIMIENTO DE LA RESOLUCION OC 70-2025</t>
  </si>
  <si>
    <t>¿SE APLICO ALGUNA ACCION CORRECTIVA?</t>
  </si>
  <si>
    <t>CVP UTILIZADO ($/MWh)</t>
  </si>
  <si>
    <t>NO</t>
  </si>
  <si>
    <t>CEN utilizado</t>
  </si>
  <si>
    <t>Pendiente por declarar o revisar CEN en los plazos establecidos en el procedimiento  de la resolución OC 70-2025.</t>
  </si>
  <si>
    <t>Pendiente de aprobación de CEN en los plazos establecidos en el procedimiento  de la resolución OC 70-2025.</t>
  </si>
  <si>
    <t>G3SIBACC</t>
  </si>
  <si>
    <t>SIBA CICLO COMBINADO</t>
  </si>
  <si>
    <t xml:space="preserve">El término que se utiliza el Mercado Eléctrico Mayorista (según el art. 180 del RALGE 125-01 y el Procedimiento de la resolución OC 70-2025) es el Consumo Específico Neto (CEN), el cual tiene las unidades de medidas invertidas al del Ratio: gal/kwh para los combustibles líquidos, MMBTU/kwh para los combustibles gaseosos y TM/kwh para los combustibles sólidos, siendo a su vez calculados y declarados una vez por mes.
Adicionalmente existen unas particularidades del CEN (CONSUMO DE COMBUSTIBLE/ENERGÍA NETA) que deben de ser tomadas en cuenta:
1. La componente ENERGÍA NETA corresponde a la energía que el generador inyectó a la red de transmisión, por lo tanto, no incluye la energía bruta desde los bornes del generador (es decir, no incluye los consumos propios ni las pérdidas de transformador del generador).
2. La componente de CONSUMO DE COMBUSTIBLE resulta del balance de la cantidad de combustible almacenado al inicio del mes correspondiente de la central en cuestión, más las compras de combustibles almacenadas durante el mes correspondiente para la central en cuestión, menos la cantidad de combustible almacenado al final del mes correspondiente de la central en cuestión (art. 5.5 del Procedimiento de la Resolución OC 70-2025), es decir:
CONSUMO DE COMBUSTIBLE= Cantidad de combustible almacenado al inicio del mes + Compras durante el mes – Cantidad de combustible al final del mes.
Los Agentes del MEM le remiten primero estos datos al Ministerio de Hacienda, y luego son reportados al OC como parte del sustento de su declaración. 
3. Los Agentes del MEM tienen hasta el segundo miércoles de cada mes para realizar su declaración del CEN (con los valores de consumo y energía del mes anterior), una vez vencido el plazo para la declaración mensual, el valor del CEN permanece como un valor fijo hasta la próxima declaración mensual.
4. Los valores y observaciones del CEN mensual pueden encontrarse en la hoja “ESTATUS VERIFICACION CEN”, del archivo “VERIFICACION CVP_dd-mm_dd-mm-aa” (favor ver archivo adjunto), el cual es publicado en la página web de OC (y está disponible para todo el interesado) como parte de la programación semanal.
</t>
  </si>
  <si>
    <t>G3E4CCFO</t>
  </si>
  <si>
    <t>ENERGAS 4 CICLO COMBINADO FO</t>
  </si>
  <si>
    <t>G3E4CCGN</t>
  </si>
  <si>
    <t>ENERGAS 4 CICLO COMBINADO GN</t>
  </si>
  <si>
    <t>ENERGíA 2000</t>
  </si>
  <si>
    <t>G3MPLACS</t>
  </si>
  <si>
    <t>MANZANILLO POWER LAND CICLO SIMPLE</t>
  </si>
  <si>
    <t>Ante esta situación, se ha procedido acorde a lo establecido en el numeral 6.1.1 literal a) párrafo primero del Procedimiento de la Resolución OC 70-2025.
En virtud a lo establecido en el numeral 6.1.1 literal a) párrafo tercero del Procedimiento de la Resolución OC 70-2025, por este medio se le notifica a todos los Agentes del MEM y a la SIE sobre el incumplimiento del plazo establecido para la declaración del precio de combustible puesto en planta.</t>
  </si>
  <si>
    <t>En atención la autorización de la SIE para el inicio de salida comercial de la central METALDOM, y lo comunicado por el agente responsable de la misma de iniciar su desmantelamiento a partir del 26 de marzo 2026, y por lo tanto, su permanente indisponibilidad, no fue requerido la declaración de las componentes del CVP, permaneciendo su valor anterior hasta tanto se complete su salida de operación comercial.</t>
  </si>
  <si>
    <t>SI</t>
  </si>
  <si>
    <t>En atención a la resolución SIE-051-2026-MEM donde se autoriza la desconexión y retiro definitivo del SENI de la central INCA KM22. En atención a lo comunicado por el agente responsable de dicha central al OC, en fecha 5 de mayo de 2026, de estar indisponible de manera permanente a partir del 9 de mayo 2026, no fue requerido la declaración de las componentes del CVP, permaneciendo su valor anterior hasta tanto se complete su salida de operación comercial.</t>
  </si>
  <si>
    <t>Acorde a lo establecido en el párrafo primero literal (a) numeral 6.1.2 del procedimiento de la Resolución OC 70-2025, al agente responsable le fue realizada la observación siguiente:
Estimado agente del MEM, hemos observado una discrepancia en el PCPP declarado. Agradeceríamos que realice las aclaraciones o las verificaciones y ajustes de lugar.
Dentro del plazo establecido en el literal (a) numeral 6.1.2 del Procedimiento de la Resolución OC 70-2025, el agente del MEM realizó las aclaraciones de lugar.</t>
  </si>
  <si>
    <t>AUN NO DECLARADO</t>
  </si>
  <si>
    <t>2026-06-06 - 2026-06-12</t>
  </si>
  <si>
    <t>Acorde a lo establecido en el párrafo primero literal (a) numeral 6.1.2 del procedimiento de la Resolución OC 70-2025, al agente responsable le fue realizada la observación siguiente:
Estimado agente del MEM, hemos observado discrepancias en el valor declarado de Existencia Combustible Almacenado. Agradeceríamos que realice las aclaraciones o las verificaciones y ajustes de lugar.
Dentro del plazo establecido en el literal (a) numeral 6.1.2 del Procedimiento de la Resolución OC 70-2025, el agente del MEM realizó las aclaraciones de lugar.</t>
  </si>
  <si>
    <t>Ante esta situación, se ha procedido acorde a lo establecido en el numeral 6.1.1 literal a) párrafo primero del Procedimiento de la Resolución OC 70-2025.
En virtud a lo establecido en el numeral 6.1.1 literal a) párrafo tercero del Procedimiento de la Resolución OC 70-2025, por este medio se le notifica a todos los Agentes del MEM y a la SIE sobre el incumplimiento del plazo establecido para la declaración del precio de combustible puesto en planta, y se ha procedido de acuerdo a lo establecido en el numeral 6.1.1 literal a) párrafo segundo de dicho procedimiento.</t>
  </si>
  <si>
    <t>Acorde a lo establecido en el párrafo primero literal (a) numeral 6.1.2 del procedimiento de la Resolución OC 70-2025, al agente responsable le fue realizada la observación siguiente:
Estimado agente del MEM, hemos observado una discrepancia en los sustentos presentados. Agradeceríamos que realice las aclaraciones o las verificaciones y ajustes de lugar.
Dentro del plazo establecido en el literal (a) numeral 6.1.2 del Procedimiento de la Resolución OC 70-2025, el agente del MEM realizó las aclaraciones y los ajustes de lugar.</t>
  </si>
  <si>
    <t>Acorde a lo establecido en el párrafo primero literal (a) numeral 6.1.2 del procedimiento de la Resolución OC 70-2025, al agente responsable le fue realizada la observación siguiente:
Estimado agente del MEM, hemos observado una discrepancia en el PCPP declarado y en el valor declarado de Existencia Combustible Almacenado. Agradeceríamos que realice las aclaraciones o las verificaciones y ajustes de lugar.
Dentro del plazo establecido en el literal (a) numeral 6.1.2 del Procedimiento de la Resolución OC 70-2025, el agente del MEM realizó los ajustes de lugar.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</si>
</sst>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1" formatCode="_(* #,##0_);_(* \(#,##0\);_(* &quot;-&quot;_);_(@_)"/>
    <numFmt numFmtId="44" formatCode="_(&quot;$&quot;* #,##0.00_);_(&quot;$&quot;* \(#,##0.00\);_(&quot;$&quot;* &quot;-&quot;??_);_(@_)"/>
    <numFmt numFmtId="43" formatCode="_(* #,##0.00_);_(* \(#,##0.00\);_(* &quot;-&quot;??_);_(@_)"/>
    <numFmt numFmtId="164" formatCode="0.0"/>
    <numFmt numFmtId="165" formatCode="0.00000"/>
    <numFmt numFmtId="166" formatCode="0.0000"/>
    <numFmt numFmtId="167" formatCode="_(* #,##0_);_(* \(#,##0\);_(* &quot;-&quot;??_);_(@_)"/>
    <numFmt numFmtId="168" formatCode="_([$€-2]* #,##0.00_);_([$€-2]* \(#,##0.00\);_([$€-2]* &quot;-&quot;??_)"/>
    <numFmt numFmtId="169" formatCode="_(* #,##0.0000_);_(* \(#,##0.0000\);_(* &quot;-&quot;??_);_(@_)"/>
    <numFmt numFmtId="170" formatCode="0.000"/>
    <numFmt numFmtId="171" formatCode="_(* #,##0.000000_);_(* \(#,##0.000000\);_(* &quot;-&quot;??_);_(@_)"/>
    <numFmt numFmtId="172" formatCode="00"/>
    <numFmt numFmtId="173" formatCode="0.000000000000000"/>
    <numFmt numFmtId="174" formatCode="0.00000000000000"/>
    <numFmt numFmtId="175" formatCode="0.00000000000000000000"/>
    <numFmt numFmtId="176" formatCode="0.000000000000000000000"/>
    <numFmt numFmtId="177" formatCode="0.0000000000000000000000"/>
  </numFmts>
  <fonts count="61" x14ac:knownFonts="1">
    <font>
      <sz val="11"/>
      <color theme="1"/>
      <name val="Calibri"/>
      <family val="2"/>
      <scheme val="minor"/>
    </font>
    <font>
      <sz val="11"/>
      <color theme="1"/>
      <name val="Calibri"/>
      <family val="2"/>
      <scheme val="minor"/>
    </font>
    <font>
      <sz val="11"/>
      <color rgb="FF006100"/>
      <name val="Calibri"/>
      <family val="2"/>
      <scheme val="minor"/>
    </font>
    <font>
      <sz val="11"/>
      <color theme="0"/>
      <name val="Calibri"/>
      <family val="2"/>
      <scheme val="minor"/>
    </font>
    <font>
      <sz val="10"/>
      <name val="Arial"/>
      <family val="2"/>
    </font>
    <font>
      <sz val="11"/>
      <name val="Calibri"/>
      <family val="2"/>
      <scheme val="minor"/>
    </font>
    <font>
      <sz val="10"/>
      <color theme="1"/>
      <name val="Arial"/>
      <family val="2"/>
    </font>
    <font>
      <u/>
      <sz val="7.5"/>
      <color indexed="12"/>
      <name val="Arial"/>
      <family val="2"/>
    </font>
    <font>
      <sz val="11"/>
      <color rgb="FF000000"/>
      <name val="Calibri"/>
      <family val="2"/>
    </font>
    <font>
      <sz val="8"/>
      <name val="Arial"/>
      <family val="2"/>
    </font>
    <font>
      <sz val="11"/>
      <color rgb="FF000000"/>
      <name val="Calibri"/>
      <family val="2"/>
    </font>
    <font>
      <sz val="12"/>
      <color theme="1"/>
      <name val="Calibri"/>
      <family val="2"/>
      <scheme val="minor"/>
    </font>
    <font>
      <sz val="14"/>
      <color rgb="FF000000"/>
      <name val="Calibri"/>
      <family val="2"/>
    </font>
    <font>
      <b/>
      <sz val="10"/>
      <color indexed="81"/>
      <name val="Tahoma"/>
      <family val="2"/>
    </font>
    <font>
      <sz val="10"/>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62"/>
      <name val="Calibri"/>
      <family val="2"/>
    </font>
    <font>
      <sz val="11"/>
      <color indexed="62"/>
      <name val="Calibri"/>
      <family val="2"/>
    </font>
    <font>
      <sz val="11"/>
      <color indexed="20"/>
      <name val="Calibri"/>
      <family val="2"/>
    </font>
    <font>
      <b/>
      <sz val="11"/>
      <color indexed="63"/>
      <name val="Calibri"/>
      <family val="2"/>
    </font>
    <font>
      <sz val="11"/>
      <color indexed="10"/>
      <name val="Calibri"/>
      <family val="2"/>
    </font>
    <font>
      <i/>
      <sz val="11"/>
      <color indexed="63"/>
      <name val="Calibri"/>
      <family val="2"/>
    </font>
    <font>
      <b/>
      <sz val="18"/>
      <color indexed="62"/>
      <name val="Cambria"/>
      <family val="2"/>
    </font>
    <font>
      <b/>
      <sz val="15"/>
      <color indexed="62"/>
      <name val="Calibri"/>
      <family val="2"/>
    </font>
    <font>
      <b/>
      <sz val="13"/>
      <color indexed="62"/>
      <name val="Calibri"/>
      <family val="2"/>
    </font>
    <font>
      <sz val="9"/>
      <color indexed="81"/>
      <name val="Tahoma"/>
      <family val="2"/>
    </font>
    <font>
      <b/>
      <sz val="9"/>
      <color indexed="81"/>
      <name val="Tahoma"/>
      <family val="2"/>
    </font>
    <font>
      <b/>
      <sz val="14"/>
      <color rgb="FF000000"/>
      <name val="Calibri"/>
      <family val="2"/>
    </font>
    <font>
      <sz val="10"/>
      <color rgb="FF000000"/>
      <name val="Arial"/>
      <family val="2"/>
    </font>
    <font>
      <b/>
      <sz val="14"/>
      <color theme="0"/>
      <name val="Calibri"/>
      <family val="2"/>
      <scheme val="minor"/>
    </font>
    <font>
      <b/>
      <sz val="28"/>
      <color rgb="FF004080"/>
      <name val="Calibri"/>
      <family val="2"/>
      <scheme val="minor"/>
    </font>
    <font>
      <sz val="10"/>
      <color rgb="FF000000"/>
      <name val="Calibri"/>
      <family val="2"/>
      <scheme val="minor"/>
    </font>
    <font>
      <sz val="11"/>
      <color rgb="FF000000"/>
      <name val="Calibri"/>
      <family val="2"/>
      <scheme val="minor"/>
    </font>
    <font>
      <b/>
      <sz val="11"/>
      <color rgb="FF008000"/>
      <name val="Calibri"/>
      <family val="2"/>
      <scheme val="minor"/>
    </font>
    <font>
      <b/>
      <sz val="11"/>
      <color rgb="FF000000"/>
      <name val="Calibri"/>
      <family val="2"/>
      <scheme val="minor"/>
    </font>
    <font>
      <sz val="12"/>
      <color rgb="FF000000"/>
      <name val="Calibri"/>
      <family val="2"/>
      <scheme val="minor"/>
    </font>
    <font>
      <sz val="10"/>
      <color rgb="FF008000"/>
      <name val="Calibri"/>
      <family val="2"/>
      <scheme val="minor"/>
    </font>
    <font>
      <b/>
      <u/>
      <sz val="10"/>
      <color rgb="FF000000"/>
      <name val="Calibri"/>
      <family val="2"/>
      <scheme val="minor"/>
    </font>
    <font>
      <sz val="9"/>
      <color rgb="FF000000"/>
      <name val="Calibri"/>
      <family val="2"/>
      <scheme val="minor"/>
    </font>
    <font>
      <b/>
      <sz val="14"/>
      <color rgb="FF000000"/>
      <name val="Calibri"/>
      <family val="2"/>
      <scheme val="minor"/>
    </font>
    <font>
      <sz val="14"/>
      <color rgb="FF000000"/>
      <name val="Calibri"/>
      <family val="2"/>
      <scheme val="minor"/>
    </font>
    <font>
      <b/>
      <sz val="14"/>
      <color theme="3"/>
      <name val="Calibri"/>
      <family val="2"/>
      <scheme val="minor"/>
    </font>
    <font>
      <sz val="14"/>
      <color theme="1"/>
      <name val="Calibri"/>
      <family val="2"/>
      <scheme val="minor"/>
    </font>
    <font>
      <b/>
      <sz val="24"/>
      <color theme="3"/>
      <name val="Calibri"/>
      <family val="2"/>
      <scheme val="minor"/>
    </font>
    <font>
      <b/>
      <sz val="16"/>
      <color theme="1"/>
      <name val="Calibri"/>
      <family val="2"/>
      <scheme val="minor"/>
    </font>
    <font>
      <b/>
      <sz val="14"/>
      <color theme="1"/>
      <name val="Calibri"/>
      <family val="2"/>
      <scheme val="minor"/>
    </font>
    <font>
      <vertAlign val="superscript"/>
      <sz val="11"/>
      <color rgb="FF000000"/>
      <name val="Calibri"/>
      <family val="2"/>
      <scheme val="minor"/>
    </font>
    <font>
      <b/>
      <sz val="10"/>
      <color rgb="FF000000"/>
      <name val="Calibri"/>
      <family val="2"/>
      <scheme val="minor"/>
    </font>
    <font>
      <b/>
      <sz val="14"/>
      <color rgb="FF003399"/>
      <name val="Calibri"/>
      <family val="2"/>
      <scheme val="minor"/>
    </font>
    <font>
      <sz val="14"/>
      <color rgb="FF003399"/>
      <name val="Calibri"/>
      <family val="2"/>
      <scheme val="minor"/>
    </font>
    <font>
      <b/>
      <sz val="14"/>
      <color indexed="81"/>
      <name val="Tahoma"/>
      <family val="2"/>
    </font>
    <font>
      <sz val="14"/>
      <color indexed="81"/>
      <name val="Tahoma"/>
      <family val="2"/>
    </font>
    <font>
      <sz val="8"/>
      <name val="Calibri"/>
      <family val="2"/>
      <scheme val="minor"/>
    </font>
    <font>
      <sz val="18"/>
      <color indexed="81"/>
      <name val="Tahoma"/>
      <family val="2"/>
    </font>
    <font>
      <b/>
      <sz val="11"/>
      <color indexed="81"/>
      <name val="Tahoma"/>
      <family val="2"/>
    </font>
    <font>
      <sz val="11"/>
      <color indexed="81"/>
      <name val="Tahoma"/>
      <family val="2"/>
    </font>
  </fonts>
  <fills count="25">
    <fill>
      <patternFill patternType="none"/>
    </fill>
    <fill>
      <patternFill patternType="gray125"/>
    </fill>
    <fill>
      <patternFill patternType="solid">
        <fgColor rgb="FFC6EFCE"/>
      </patternFill>
    </fill>
    <fill>
      <patternFill patternType="solid">
        <fgColor theme="0"/>
        <bgColor indexed="64"/>
      </patternFill>
    </fill>
    <fill>
      <patternFill patternType="solid">
        <fgColor indexed="22"/>
      </patternFill>
    </fill>
    <fill>
      <patternFill patternType="solid">
        <fgColor indexed="47"/>
      </patternFill>
    </fill>
    <fill>
      <patternFill patternType="solid">
        <fgColor indexed="26"/>
      </patternFill>
    </fill>
    <fill>
      <patternFill patternType="solid">
        <fgColor indexed="41"/>
      </patternFill>
    </fill>
    <fill>
      <patternFill patternType="solid">
        <fgColor indexed="55"/>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42"/>
      </patternFill>
    </fill>
    <fill>
      <patternFill patternType="solid">
        <fgColor indexed="23"/>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rgb="FFFFFFEA"/>
        <bgColor indexed="64"/>
      </patternFill>
    </fill>
    <fill>
      <patternFill patternType="solid">
        <fgColor rgb="FF006BBC"/>
        <bgColor indexed="64"/>
      </patternFill>
    </fill>
    <fill>
      <patternFill patternType="solid">
        <fgColor theme="5" tint="0.79998168889431442"/>
        <bgColor indexed="64"/>
      </patternFill>
    </fill>
    <fill>
      <patternFill patternType="solid">
        <fgColor rgb="FFDAEEF3"/>
        <bgColor indexed="64"/>
      </patternFill>
    </fill>
    <fill>
      <patternFill patternType="solid">
        <fgColor rgb="FFFDE9D9"/>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right/>
      <top/>
      <bottom style="thick">
        <color indexed="49"/>
      </bottom>
      <diagonal/>
    </border>
    <border>
      <left/>
      <right/>
      <top/>
      <bottom style="thick">
        <color indexed="55"/>
      </bottom>
      <diagonal/>
    </border>
    <border>
      <left/>
      <right/>
      <top/>
      <bottom style="medium">
        <color indexed="49"/>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top/>
      <bottom style="medium">
        <color indexed="64"/>
      </bottom>
      <diagonal/>
    </border>
    <border>
      <left/>
      <right/>
      <top style="medium">
        <color indexed="64"/>
      </top>
      <bottom/>
      <diagonal/>
    </border>
    <border>
      <left style="medium">
        <color indexed="64"/>
      </left>
      <right style="hair">
        <color indexed="64"/>
      </right>
      <top style="medium">
        <color indexed="64"/>
      </top>
      <bottom style="medium">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bottom style="double">
        <color auto="1"/>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right/>
      <top style="double">
        <color auto="1"/>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style="hair">
        <color indexed="64"/>
      </top>
      <bottom/>
      <diagonal/>
    </border>
    <border>
      <left style="thin">
        <color indexed="64"/>
      </left>
      <right style="thin">
        <color indexed="64"/>
      </right>
      <top/>
      <bottom/>
      <diagonal/>
    </border>
    <border>
      <left style="thin">
        <color indexed="64"/>
      </left>
      <right style="hair">
        <color indexed="64"/>
      </right>
      <top style="hair">
        <color indexed="64"/>
      </top>
      <bottom style="hair">
        <color indexed="64"/>
      </bottom>
      <diagonal/>
    </border>
    <border>
      <left/>
      <right/>
      <top style="medium">
        <color indexed="64"/>
      </top>
      <bottom style="medium">
        <color indexed="64"/>
      </bottom>
      <diagonal/>
    </border>
  </borders>
  <cellStyleXfs count="115">
    <xf numFmtId="0" fontId="0"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4" fontId="4" fillId="0" borderId="0" applyFont="0" applyFill="0" applyBorder="0" applyAlignment="0" applyProtection="0"/>
    <xf numFmtId="0" fontId="2" fillId="2" borderId="0" applyNumberFormat="0" applyBorder="0" applyAlignment="0" applyProtection="0"/>
    <xf numFmtId="0" fontId="7" fillId="0" borderId="0" applyNumberFormat="0" applyFill="0" applyBorder="0" applyAlignment="0" applyProtection="0">
      <alignment vertical="top"/>
      <protection locked="0"/>
    </xf>
    <xf numFmtId="4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8" fillId="0" borderId="0"/>
    <xf numFmtId="0" fontId="8" fillId="0" borderId="0"/>
    <xf numFmtId="0" fontId="4" fillId="0" borderId="0"/>
    <xf numFmtId="0" fontId="4" fillId="0" borderId="0"/>
    <xf numFmtId="0" fontId="4" fillId="0" borderId="0"/>
    <xf numFmtId="0" fontId="4" fillId="0" borderId="0"/>
    <xf numFmtId="0" fontId="9" fillId="0" borderId="0"/>
    <xf numFmtId="0" fontId="8" fillId="0" borderId="0"/>
    <xf numFmtId="0" fontId="4" fillId="0" borderId="0"/>
    <xf numFmtId="0" fontId="1" fillId="0" borderId="0"/>
    <xf numFmtId="0" fontId="1" fillId="0" borderId="0"/>
    <xf numFmtId="0" fontId="6"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0" fontId="10" fillId="0" borderId="0"/>
    <xf numFmtId="43" fontId="1" fillId="0" borderId="0" applyFont="0" applyFill="0" applyBorder="0" applyAlignment="0" applyProtection="0"/>
    <xf numFmtId="0" fontId="8" fillId="0" borderId="0"/>
    <xf numFmtId="0" fontId="8" fillId="0" borderId="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15" fillId="7"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5" fillId="5" borderId="0" applyNumberFormat="0" applyBorder="0" applyAlignment="0" applyProtection="0"/>
    <xf numFmtId="0" fontId="16" fillId="12"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8" borderId="0" applyNumberFormat="0" applyBorder="0" applyAlignment="0" applyProtection="0"/>
    <xf numFmtId="0" fontId="16" fillId="12" borderId="0" applyNumberFormat="0" applyBorder="0" applyAlignment="0" applyProtection="0"/>
    <xf numFmtId="0" fontId="16" fillId="5" borderId="0" applyNumberFormat="0" applyBorder="0" applyAlignment="0" applyProtection="0"/>
    <xf numFmtId="0" fontId="17" fillId="13" borderId="0" applyNumberFormat="0" applyBorder="0" applyAlignment="0" applyProtection="0"/>
    <xf numFmtId="0" fontId="18" fillId="4" borderId="11" applyNumberFormat="0" applyAlignment="0" applyProtection="0"/>
    <xf numFmtId="0" fontId="19" fillId="14" borderId="12" applyNumberFormat="0" applyAlignment="0" applyProtection="0"/>
    <xf numFmtId="0" fontId="20" fillId="0" borderId="13" applyNumberFormat="0" applyFill="0" applyAlignment="0" applyProtection="0"/>
    <xf numFmtId="0" fontId="21" fillId="0" borderId="0" applyNumberFormat="0" applyFill="0" applyBorder="0" applyAlignment="0" applyProtection="0"/>
    <xf numFmtId="0" fontId="16" fillId="12"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2" borderId="0" applyNumberFormat="0" applyBorder="0" applyAlignment="0" applyProtection="0"/>
    <xf numFmtId="0" fontId="16" fillId="18" borderId="0" applyNumberFormat="0" applyBorder="0" applyAlignment="0" applyProtection="0"/>
    <xf numFmtId="0" fontId="22" fillId="5" borderId="11" applyNumberFormat="0" applyAlignment="0" applyProtection="0"/>
    <xf numFmtId="168" fontId="4" fillId="0" borderId="0" applyFont="0" applyFill="0" applyBorder="0" applyAlignment="0" applyProtection="0"/>
    <xf numFmtId="0" fontId="23" fillId="19" borderId="0" applyNumberFormat="0" applyBorder="0" applyAlignment="0" applyProtection="0"/>
    <xf numFmtId="0" fontId="4" fillId="0" borderId="0"/>
    <xf numFmtId="0" fontId="1" fillId="0" borderId="0"/>
    <xf numFmtId="0" fontId="1" fillId="0" borderId="0"/>
    <xf numFmtId="0" fontId="1" fillId="0" borderId="0"/>
    <xf numFmtId="0" fontId="4" fillId="6" borderId="1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4" fillId="4" borderId="11"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15" applyNumberFormat="0" applyFill="0" applyAlignment="0" applyProtection="0"/>
    <xf numFmtId="0" fontId="29" fillId="0" borderId="16" applyNumberFormat="0" applyFill="0" applyAlignment="0" applyProtection="0"/>
    <xf numFmtId="0" fontId="21" fillId="0" borderId="17" applyNumberFormat="0" applyFill="0" applyAlignment="0" applyProtection="0"/>
    <xf numFmtId="44" fontId="1" fillId="0" borderId="0" applyFont="0" applyFill="0" applyBorder="0" applyAlignment="0" applyProtection="0"/>
  </cellStyleXfs>
  <cellXfs count="218">
    <xf numFmtId="0" fontId="0" fillId="0" borderId="0" xfId="0"/>
    <xf numFmtId="0" fontId="11" fillId="0" borderId="0" xfId="0" applyFont="1"/>
    <xf numFmtId="0" fontId="32" fillId="0" borderId="0" xfId="63" applyFont="1"/>
    <xf numFmtId="0" fontId="37" fillId="0" borderId="0" xfId="63" applyFont="1"/>
    <xf numFmtId="0" fontId="40" fillId="0" borderId="0" xfId="63" applyFont="1"/>
    <xf numFmtId="0" fontId="1" fillId="0" borderId="0" xfId="0" applyFont="1"/>
    <xf numFmtId="0" fontId="37" fillId="0" borderId="0" xfId="63" applyFont="1" applyAlignment="1">
      <alignment vertical="center"/>
    </xf>
    <xf numFmtId="49" fontId="36" fillId="3" borderId="0" xfId="0" applyNumberFormat="1" applyFont="1" applyFill="1" applyAlignment="1">
      <alignment horizontal="center" vertical="center" wrapText="1" shrinkToFit="1"/>
    </xf>
    <xf numFmtId="22" fontId="36" fillId="3" borderId="0" xfId="0" applyNumberFormat="1" applyFont="1" applyFill="1" applyAlignment="1">
      <alignment horizontal="center" vertical="center" wrapText="1" shrinkToFit="1"/>
    </xf>
    <xf numFmtId="166" fontId="36" fillId="3" borderId="0" xfId="0" applyNumberFormat="1" applyFont="1" applyFill="1" applyAlignment="1">
      <alignment horizontal="center" vertical="center" wrapText="1" shrinkToFit="1"/>
    </xf>
    <xf numFmtId="49" fontId="41" fillId="3" borderId="0" xfId="0" applyNumberFormat="1" applyFont="1" applyFill="1" applyAlignment="1">
      <alignment horizontal="center" vertical="center" wrapText="1" shrinkToFit="1"/>
    </xf>
    <xf numFmtId="0" fontId="36" fillId="3" borderId="0" xfId="64" applyFont="1" applyFill="1" applyAlignment="1">
      <alignment horizontal="left" wrapText="1"/>
    </xf>
    <xf numFmtId="22" fontId="36" fillId="0" borderId="0" xfId="0" applyNumberFormat="1" applyFont="1" applyAlignment="1">
      <alignment horizontal="center" vertical="center" wrapText="1" shrinkToFit="1"/>
    </xf>
    <xf numFmtId="0" fontId="36" fillId="3" borderId="26" xfId="64" applyFont="1" applyFill="1" applyBorder="1" applyAlignment="1">
      <alignment horizontal="left" vertical="center" wrapText="1"/>
    </xf>
    <xf numFmtId="49" fontId="36" fillId="0" borderId="0" xfId="0" applyNumberFormat="1" applyFont="1" applyAlignment="1">
      <alignment horizontal="right" vertical="top" wrapText="1" shrinkToFit="1"/>
    </xf>
    <xf numFmtId="49" fontId="43" fillId="0" borderId="0" xfId="63" applyNumberFormat="1" applyFont="1" applyAlignment="1">
      <alignment horizontal="right" vertical="top" wrapText="1" shrinkToFit="1"/>
    </xf>
    <xf numFmtId="0" fontId="37" fillId="0" borderId="6" xfId="63" applyFont="1" applyBorder="1"/>
    <xf numFmtId="0" fontId="37" fillId="0" borderId="7" xfId="63" applyFont="1" applyBorder="1"/>
    <xf numFmtId="0" fontId="44" fillId="0" borderId="0" xfId="63" applyFont="1"/>
    <xf numFmtId="0" fontId="34" fillId="21" borderId="1" xfId="0" applyFont="1" applyFill="1" applyBorder="1" applyAlignment="1">
      <alignment horizontal="center" vertical="center" wrapText="1" shrinkToFit="1"/>
    </xf>
    <xf numFmtId="0" fontId="37" fillId="0" borderId="10" xfId="63" applyFont="1" applyBorder="1" applyAlignment="1">
      <alignment horizontal="center"/>
    </xf>
    <xf numFmtId="0" fontId="40" fillId="0" borderId="7" xfId="63" applyFont="1" applyBorder="1" applyAlignment="1">
      <alignment horizontal="center"/>
    </xf>
    <xf numFmtId="49" fontId="36" fillId="0" borderId="21" xfId="0" applyNumberFormat="1" applyFont="1" applyBorder="1" applyAlignment="1">
      <alignment horizontal="center" vertical="top" wrapText="1" shrinkToFit="1"/>
    </xf>
    <xf numFmtId="0" fontId="37" fillId="0" borderId="0" xfId="61" applyFont="1"/>
    <xf numFmtId="0" fontId="39" fillId="0" borderId="0" xfId="61" applyFont="1"/>
    <xf numFmtId="0" fontId="34" fillId="21" borderId="29" xfId="0" applyFont="1" applyFill="1" applyBorder="1" applyAlignment="1">
      <alignment horizontal="center" vertical="center" wrapText="1" shrinkToFit="1"/>
    </xf>
    <xf numFmtId="0" fontId="37" fillId="0" borderId="2" xfId="61" applyFont="1" applyBorder="1"/>
    <xf numFmtId="0" fontId="37" fillId="0" borderId="8" xfId="61" applyFont="1" applyBorder="1"/>
    <xf numFmtId="0" fontId="37" fillId="0" borderId="3" xfId="61" applyFont="1" applyBorder="1"/>
    <xf numFmtId="0" fontId="37" fillId="0" borderId="4" xfId="61" applyFont="1" applyBorder="1"/>
    <xf numFmtId="0" fontId="37" fillId="0" borderId="9" xfId="61" applyFont="1" applyBorder="1"/>
    <xf numFmtId="0" fontId="37" fillId="0" borderId="5" xfId="61" applyFont="1" applyBorder="1"/>
    <xf numFmtId="0" fontId="37" fillId="0" borderId="6" xfId="61" applyFont="1" applyBorder="1"/>
    <xf numFmtId="0" fontId="37" fillId="0" borderId="10" xfId="61" applyFont="1" applyBorder="1"/>
    <xf numFmtId="0" fontId="37" fillId="0" borderId="10" xfId="61" applyFont="1" applyBorder="1" applyAlignment="1">
      <alignment horizontal="left"/>
    </xf>
    <xf numFmtId="0" fontId="37" fillId="0" borderId="7" xfId="61" applyFont="1" applyBorder="1" applyAlignment="1">
      <alignment horizontal="left"/>
    </xf>
    <xf numFmtId="0" fontId="0" fillId="0" borderId="0" xfId="0" applyAlignment="1">
      <alignment wrapText="1"/>
    </xf>
    <xf numFmtId="0" fontId="35" fillId="0" borderId="0" xfId="0" applyFont="1" applyAlignment="1">
      <alignment vertical="center" wrapText="1" shrinkToFit="1"/>
    </xf>
    <xf numFmtId="2" fontId="36" fillId="0" borderId="0" xfId="0" applyNumberFormat="1" applyFont="1" applyAlignment="1">
      <alignment horizontal="center" vertical="top" wrapText="1" shrinkToFit="1"/>
    </xf>
    <xf numFmtId="165" fontId="36" fillId="0" borderId="0" xfId="0" applyNumberFormat="1" applyFont="1" applyAlignment="1">
      <alignment horizontal="center" vertical="top" wrapText="1" shrinkToFit="1"/>
    </xf>
    <xf numFmtId="167" fontId="36" fillId="0" borderId="0" xfId="62" applyNumberFormat="1" applyFont="1" applyFill="1" applyBorder="1" applyAlignment="1">
      <alignment horizontal="center" vertical="top" wrapText="1" shrinkToFit="1"/>
    </xf>
    <xf numFmtId="0" fontId="36" fillId="0" borderId="0" xfId="0" applyFont="1" applyAlignment="1">
      <alignment horizontal="center" vertical="top" wrapText="1" shrinkToFit="1"/>
    </xf>
    <xf numFmtId="49" fontId="36" fillId="0" borderId="0" xfId="0" applyNumberFormat="1" applyFont="1" applyAlignment="1">
      <alignment horizontal="center" vertical="top" wrapText="1" shrinkToFit="1"/>
    </xf>
    <xf numFmtId="49" fontId="37" fillId="0" borderId="32" xfId="0" applyNumberFormat="1" applyFont="1" applyBorder="1" applyAlignment="1">
      <alignment horizontal="center" vertical="center" wrapText="1" shrinkToFit="1"/>
    </xf>
    <xf numFmtId="49" fontId="37" fillId="3" borderId="33" xfId="0" applyNumberFormat="1" applyFont="1" applyFill="1" applyBorder="1" applyAlignment="1">
      <alignment horizontal="center" vertical="center" wrapText="1" shrinkToFit="1"/>
    </xf>
    <xf numFmtId="2" fontId="37" fillId="3" borderId="33" xfId="0" applyNumberFormat="1" applyFont="1" applyFill="1" applyBorder="1" applyAlignment="1">
      <alignment horizontal="center" vertical="center" wrapText="1" shrinkToFit="1"/>
    </xf>
    <xf numFmtId="49" fontId="37" fillId="0" borderId="33" xfId="0" applyNumberFormat="1" applyFont="1" applyBorder="1" applyAlignment="1">
      <alignment horizontal="center" vertical="center" wrapText="1" shrinkToFit="1"/>
    </xf>
    <xf numFmtId="2" fontId="37" fillId="0" borderId="33" xfId="0" applyNumberFormat="1" applyFont="1" applyBorder="1" applyAlignment="1">
      <alignment horizontal="center" vertical="center" wrapText="1" shrinkToFit="1"/>
    </xf>
    <xf numFmtId="49" fontId="37" fillId="3" borderId="34" xfId="0" applyNumberFormat="1" applyFont="1" applyFill="1" applyBorder="1" applyAlignment="1">
      <alignment horizontal="center" vertical="center" wrapText="1" shrinkToFit="1"/>
    </xf>
    <xf numFmtId="2" fontId="37" fillId="3" borderId="34" xfId="0" applyNumberFormat="1" applyFont="1" applyFill="1" applyBorder="1" applyAlignment="1">
      <alignment horizontal="center" vertical="center" wrapText="1" shrinkToFit="1"/>
    </xf>
    <xf numFmtId="49" fontId="37" fillId="3" borderId="35" xfId="0" applyNumberFormat="1" applyFont="1" applyFill="1" applyBorder="1" applyAlignment="1">
      <alignment horizontal="center" vertical="center" wrapText="1" shrinkToFit="1"/>
    </xf>
    <xf numFmtId="0" fontId="48" fillId="0" borderId="0" xfId="0" applyFont="1" applyAlignment="1">
      <alignment wrapText="1"/>
    </xf>
    <xf numFmtId="49" fontId="37" fillId="0" borderId="33" xfId="0" applyNumberFormat="1" applyFont="1" applyBorder="1" applyAlignment="1">
      <alignment horizontal="center" vertical="top" wrapText="1" shrinkToFit="1"/>
    </xf>
    <xf numFmtId="2" fontId="37" fillId="0" borderId="33" xfId="0" applyNumberFormat="1" applyFont="1" applyBorder="1" applyAlignment="1">
      <alignment horizontal="center" vertical="top" wrapText="1" shrinkToFit="1"/>
    </xf>
    <xf numFmtId="165" fontId="37" fillId="0" borderId="33" xfId="0" applyNumberFormat="1" applyFont="1" applyBorder="1" applyAlignment="1">
      <alignment horizontal="center" vertical="top" wrapText="1" shrinkToFit="1"/>
    </xf>
    <xf numFmtId="167" fontId="37" fillId="0" borderId="33" xfId="62" applyNumberFormat="1" applyFont="1" applyFill="1" applyBorder="1" applyAlignment="1">
      <alignment horizontal="center" vertical="top" wrapText="1" shrinkToFit="1"/>
    </xf>
    <xf numFmtId="0" fontId="37" fillId="0" borderId="33" xfId="0" applyFont="1" applyBorder="1" applyAlignment="1">
      <alignment horizontal="center" vertical="top" wrapText="1" shrinkToFit="1"/>
    </xf>
    <xf numFmtId="49" fontId="37" fillId="0" borderId="22" xfId="0" applyNumberFormat="1" applyFont="1" applyBorder="1" applyAlignment="1">
      <alignment horizontal="center" vertical="top" wrapText="1" shrinkToFit="1"/>
    </xf>
    <xf numFmtId="4" fontId="37" fillId="0" borderId="33" xfId="0" applyNumberFormat="1" applyFont="1" applyBorder="1" applyAlignment="1">
      <alignment horizontal="center" vertical="top" wrapText="1" shrinkToFit="1"/>
    </xf>
    <xf numFmtId="169" fontId="37" fillId="0" borderId="33" xfId="0" applyNumberFormat="1" applyFont="1" applyBorder="1" applyAlignment="1">
      <alignment horizontal="center" vertical="top" wrapText="1" shrinkToFit="1"/>
    </xf>
    <xf numFmtId="169" fontId="37" fillId="0" borderId="33" xfId="62" applyNumberFormat="1" applyFont="1" applyFill="1" applyBorder="1" applyAlignment="1">
      <alignment horizontal="center" vertical="top" wrapText="1" shrinkToFit="1"/>
    </xf>
    <xf numFmtId="49" fontId="37" fillId="0" borderId="35" xfId="0" applyNumberFormat="1" applyFont="1" applyBorder="1" applyAlignment="1">
      <alignment horizontal="center" vertical="top" wrapText="1" shrinkToFit="1"/>
    </xf>
    <xf numFmtId="2" fontId="37" fillId="0" borderId="35" xfId="0" applyNumberFormat="1" applyFont="1" applyBorder="1" applyAlignment="1">
      <alignment horizontal="center" vertical="top" wrapText="1" shrinkToFit="1"/>
    </xf>
    <xf numFmtId="165" fontId="37" fillId="0" borderId="35" xfId="0" applyNumberFormat="1" applyFont="1" applyBorder="1" applyAlignment="1">
      <alignment horizontal="center" vertical="top" wrapText="1" shrinkToFit="1"/>
    </xf>
    <xf numFmtId="167" fontId="37" fillId="0" borderId="35" xfId="62" applyNumberFormat="1" applyFont="1" applyFill="1" applyBorder="1" applyAlignment="1">
      <alignment horizontal="center" vertical="top" wrapText="1" shrinkToFit="1"/>
    </xf>
    <xf numFmtId="49" fontId="37" fillId="0" borderId="31" xfId="0" applyNumberFormat="1" applyFont="1" applyBorder="1" applyAlignment="1">
      <alignment horizontal="center" vertical="top" wrapText="1" shrinkToFit="1"/>
    </xf>
    <xf numFmtId="4" fontId="37" fillId="0" borderId="35" xfId="0" applyNumberFormat="1" applyFont="1" applyBorder="1" applyAlignment="1">
      <alignment horizontal="center" vertical="top" wrapText="1" shrinkToFit="1"/>
    </xf>
    <xf numFmtId="169" fontId="37" fillId="0" borderId="35" xfId="0" applyNumberFormat="1" applyFont="1" applyBorder="1" applyAlignment="1">
      <alignment horizontal="center" vertical="top" wrapText="1" shrinkToFit="1"/>
    </xf>
    <xf numFmtId="0" fontId="34" fillId="21" borderId="1" xfId="64" applyFont="1" applyFill="1" applyBorder="1" applyAlignment="1">
      <alignment horizontal="center" vertical="center" wrapText="1" shrinkToFit="1"/>
    </xf>
    <xf numFmtId="49" fontId="37" fillId="0" borderId="38" xfId="0" applyNumberFormat="1" applyFont="1" applyBorder="1" applyAlignment="1">
      <alignment horizontal="center" vertical="top" wrapText="1" shrinkToFit="1"/>
    </xf>
    <xf numFmtId="2" fontId="37" fillId="0" borderId="34" xfId="0" applyNumberFormat="1" applyFont="1" applyBorder="1" applyAlignment="1">
      <alignment horizontal="center" vertical="top" wrapText="1" shrinkToFit="1"/>
    </xf>
    <xf numFmtId="4" fontId="37" fillId="0" borderId="34" xfId="0" applyNumberFormat="1" applyFont="1" applyBorder="1" applyAlignment="1">
      <alignment horizontal="center" vertical="top" wrapText="1" shrinkToFit="1"/>
    </xf>
    <xf numFmtId="169" fontId="37" fillId="0" borderId="34" xfId="62" applyNumberFormat="1" applyFont="1" applyFill="1" applyBorder="1" applyAlignment="1">
      <alignment horizontal="center" vertical="top" wrapText="1" shrinkToFit="1"/>
    </xf>
    <xf numFmtId="0" fontId="37" fillId="0" borderId="34" xfId="0" applyFont="1" applyBorder="1" applyAlignment="1">
      <alignment horizontal="center" vertical="top" wrapText="1" shrinkToFit="1"/>
    </xf>
    <xf numFmtId="0" fontId="37" fillId="0" borderId="0" xfId="61" applyFont="1" applyAlignment="1">
      <alignment horizontal="left"/>
    </xf>
    <xf numFmtId="0" fontId="34" fillId="21" borderId="39" xfId="0" applyFont="1" applyFill="1" applyBorder="1" applyAlignment="1">
      <alignment horizontal="center" vertical="center" wrapText="1" shrinkToFit="1"/>
    </xf>
    <xf numFmtId="0" fontId="37" fillId="0" borderId="27" xfId="61" applyFont="1" applyBorder="1"/>
    <xf numFmtId="0" fontId="37" fillId="0" borderId="27" xfId="61" applyFont="1" applyBorder="1" applyAlignment="1">
      <alignment horizontal="left"/>
    </xf>
    <xf numFmtId="0" fontId="36" fillId="22" borderId="25" xfId="64" applyFont="1" applyFill="1" applyBorder="1" applyAlignment="1">
      <alignment horizontal="left" vertical="center" wrapText="1"/>
    </xf>
    <xf numFmtId="0" fontId="50" fillId="22" borderId="29" xfId="0" applyFont="1" applyFill="1" applyBorder="1" applyAlignment="1">
      <alignment horizontal="center" vertical="center" wrapText="1" shrinkToFit="1"/>
    </xf>
    <xf numFmtId="0" fontId="50" fillId="22" borderId="39" xfId="0" applyFont="1" applyFill="1" applyBorder="1" applyAlignment="1">
      <alignment horizontal="center" vertical="center" wrapText="1" shrinkToFit="1"/>
    </xf>
    <xf numFmtId="166" fontId="37" fillId="0" borderId="0" xfId="63" applyNumberFormat="1" applyFont="1"/>
    <xf numFmtId="0" fontId="36" fillId="23" borderId="25" xfId="64" applyFont="1" applyFill="1" applyBorder="1" applyAlignment="1">
      <alignment horizontal="left" vertical="center" wrapText="1"/>
    </xf>
    <xf numFmtId="43" fontId="37" fillId="0" borderId="35" xfId="62" applyFont="1" applyFill="1" applyBorder="1" applyAlignment="1">
      <alignment horizontal="center" vertical="top" wrapText="1" shrinkToFit="1"/>
    </xf>
    <xf numFmtId="43" fontId="37" fillId="0" borderId="33" xfId="62" applyFont="1" applyFill="1" applyBorder="1" applyAlignment="1">
      <alignment horizontal="center" vertical="top" wrapText="1" shrinkToFit="1"/>
    </xf>
    <xf numFmtId="43" fontId="37" fillId="0" borderId="34" xfId="62" applyFont="1" applyFill="1" applyBorder="1" applyAlignment="1">
      <alignment horizontal="center" vertical="top" wrapText="1" shrinkToFit="1"/>
    </xf>
    <xf numFmtId="49" fontId="37" fillId="0" borderId="22" xfId="0" applyNumberFormat="1" applyFont="1" applyBorder="1" applyAlignment="1">
      <alignment horizontal="center" vertical="center" wrapText="1" shrinkToFit="1"/>
    </xf>
    <xf numFmtId="4" fontId="37" fillId="0" borderId="33" xfId="0" applyNumberFormat="1" applyFont="1" applyBorder="1" applyAlignment="1">
      <alignment horizontal="center" vertical="center" wrapText="1" shrinkToFit="1"/>
    </xf>
    <xf numFmtId="165" fontId="37" fillId="0" borderId="33" xfId="0" applyNumberFormat="1" applyFont="1" applyBorder="1" applyAlignment="1">
      <alignment horizontal="center" vertical="center" wrapText="1" shrinkToFit="1"/>
    </xf>
    <xf numFmtId="169" fontId="37" fillId="0" borderId="33" xfId="0" applyNumberFormat="1" applyFont="1" applyBorder="1" applyAlignment="1">
      <alignment horizontal="center" vertical="center" wrapText="1" shrinkToFit="1"/>
    </xf>
    <xf numFmtId="167" fontId="37" fillId="0" borderId="33" xfId="62" applyNumberFormat="1" applyFont="1" applyFill="1" applyBorder="1" applyAlignment="1">
      <alignment horizontal="center" vertical="center" wrapText="1" shrinkToFit="1"/>
    </xf>
    <xf numFmtId="43" fontId="37" fillId="0" borderId="33" xfId="62" applyFont="1" applyFill="1" applyBorder="1" applyAlignment="1">
      <alignment horizontal="center" vertical="center" wrapText="1" shrinkToFit="1"/>
    </xf>
    <xf numFmtId="0" fontId="0" fillId="0" borderId="0" xfId="0" applyAlignment="1">
      <alignment vertical="center"/>
    </xf>
    <xf numFmtId="0" fontId="36" fillId="24" borderId="25" xfId="64" applyFont="1" applyFill="1" applyBorder="1" applyAlignment="1">
      <alignment horizontal="left" vertical="center" wrapText="1"/>
    </xf>
    <xf numFmtId="2" fontId="37" fillId="0" borderId="35" xfId="0" applyNumberFormat="1" applyFont="1" applyBorder="1" applyAlignment="1">
      <alignment horizontal="center" vertical="center" wrapText="1" shrinkToFit="1"/>
    </xf>
    <xf numFmtId="0" fontId="1" fillId="0" borderId="0" xfId="0" applyFont="1" applyAlignment="1">
      <alignment vertical="center"/>
    </xf>
    <xf numFmtId="0" fontId="37" fillId="0" borderId="6" xfId="63" applyFont="1" applyBorder="1" applyAlignment="1">
      <alignment horizontal="center"/>
    </xf>
    <xf numFmtId="171" fontId="37" fillId="0" borderId="0" xfId="62" applyNumberFormat="1" applyFont="1" applyFill="1" applyAlignment="1"/>
    <xf numFmtId="43" fontId="0" fillId="0" borderId="0" xfId="0" applyNumberFormat="1"/>
    <xf numFmtId="0" fontId="3" fillId="0" borderId="0" xfId="0" applyFont="1" applyAlignment="1">
      <alignment horizontal="center"/>
    </xf>
    <xf numFmtId="0" fontId="3" fillId="0" borderId="0" xfId="0" applyFont="1"/>
    <xf numFmtId="0" fontId="50" fillId="0" borderId="0" xfId="0" quotePrefix="1" applyFont="1" applyAlignment="1">
      <alignment horizontal="center" vertical="center"/>
    </xf>
    <xf numFmtId="0" fontId="50" fillId="0" borderId="0" xfId="0" applyFont="1" applyAlignment="1">
      <alignment horizontal="center" vertical="center"/>
    </xf>
    <xf numFmtId="0" fontId="5" fillId="0" borderId="0" xfId="0" applyFont="1"/>
    <xf numFmtId="49" fontId="33" fillId="0" borderId="0" xfId="0" applyNumberFormat="1" applyFont="1" applyAlignment="1">
      <alignment horizontal="center" vertical="center" wrapText="1" shrinkToFit="1"/>
    </xf>
    <xf numFmtId="22" fontId="33" fillId="0" borderId="0" xfId="0" applyNumberFormat="1" applyFont="1" applyAlignment="1">
      <alignment horizontal="center" vertical="center" wrapText="1" shrinkToFit="1"/>
    </xf>
    <xf numFmtId="165" fontId="33" fillId="0" borderId="0" xfId="0" applyNumberFormat="1" applyFont="1" applyAlignment="1">
      <alignment horizontal="center" vertical="center" wrapText="1" shrinkToFit="1"/>
    </xf>
    <xf numFmtId="49" fontId="38" fillId="0" borderId="0" xfId="0" applyNumberFormat="1" applyFont="1" applyAlignment="1">
      <alignment horizontal="center" vertical="center" wrapText="1" shrinkToFit="1"/>
    </xf>
    <xf numFmtId="0" fontId="40" fillId="0" borderId="0" xfId="64" applyFont="1" applyAlignment="1">
      <alignment horizontal="left" vertical="center" wrapText="1"/>
    </xf>
    <xf numFmtId="49" fontId="37" fillId="3" borderId="45" xfId="0" applyNumberFormat="1" applyFont="1" applyFill="1" applyBorder="1" applyAlignment="1">
      <alignment horizontal="center" vertical="center" wrapText="1" shrinkToFit="1"/>
    </xf>
    <xf numFmtId="2" fontId="37" fillId="3" borderId="45" xfId="0" applyNumberFormat="1" applyFont="1" applyFill="1" applyBorder="1" applyAlignment="1">
      <alignment horizontal="center" vertical="center" wrapText="1" shrinkToFit="1"/>
    </xf>
    <xf numFmtId="49" fontId="37" fillId="0" borderId="46" xfId="0" applyNumberFormat="1" applyFont="1" applyBorder="1" applyAlignment="1">
      <alignment horizontal="center" vertical="top" wrapText="1" shrinkToFit="1"/>
    </xf>
    <xf numFmtId="2" fontId="37" fillId="0" borderId="45" xfId="0" applyNumberFormat="1" applyFont="1" applyBorder="1" applyAlignment="1">
      <alignment horizontal="center" vertical="top" wrapText="1" shrinkToFit="1"/>
    </xf>
    <xf numFmtId="4" fontId="37" fillId="0" borderId="45" xfId="0" applyNumberFormat="1" applyFont="1" applyBorder="1" applyAlignment="1">
      <alignment horizontal="center" vertical="top" wrapText="1" shrinkToFit="1"/>
    </xf>
    <xf numFmtId="2" fontId="37" fillId="0" borderId="47" xfId="0" applyNumberFormat="1" applyFont="1" applyBorder="1" applyAlignment="1">
      <alignment horizontal="center" vertical="center" wrapText="1" shrinkToFit="1"/>
    </xf>
    <xf numFmtId="169" fontId="37" fillId="0" borderId="45" xfId="62" applyNumberFormat="1" applyFont="1" applyFill="1" applyBorder="1" applyAlignment="1">
      <alignment horizontal="center" vertical="top" wrapText="1" shrinkToFit="1"/>
    </xf>
    <xf numFmtId="0" fontId="37" fillId="0" borderId="45" xfId="0" applyFont="1" applyBorder="1" applyAlignment="1">
      <alignment horizontal="center" vertical="top" wrapText="1" shrinkToFit="1"/>
    </xf>
    <xf numFmtId="43" fontId="37" fillId="0" borderId="45" xfId="62" applyFont="1" applyFill="1" applyBorder="1" applyAlignment="1">
      <alignment horizontal="center" vertical="top" wrapText="1" shrinkToFit="1"/>
    </xf>
    <xf numFmtId="2" fontId="37" fillId="0" borderId="45" xfId="0" applyNumberFormat="1" applyFont="1" applyBorder="1" applyAlignment="1">
      <alignment horizontal="center" vertical="center" wrapText="1" shrinkToFit="1"/>
    </xf>
    <xf numFmtId="49" fontId="37" fillId="0" borderId="35" xfId="0" applyNumberFormat="1" applyFont="1" applyBorder="1" applyAlignment="1">
      <alignment horizontal="center" vertical="center" wrapText="1" shrinkToFit="1"/>
    </xf>
    <xf numFmtId="49" fontId="33" fillId="0" borderId="30" xfId="0" applyNumberFormat="1" applyFont="1" applyBorder="1" applyAlignment="1">
      <alignment horizontal="center" vertical="center" wrapText="1" shrinkToFit="1"/>
    </xf>
    <xf numFmtId="49" fontId="33" fillId="0" borderId="37" xfId="0" applyNumberFormat="1" applyFont="1" applyBorder="1" applyAlignment="1">
      <alignment horizontal="center" vertical="center" wrapText="1" shrinkToFit="1"/>
    </xf>
    <xf numFmtId="22" fontId="33" fillId="0" borderId="37" xfId="0" applyNumberFormat="1" applyFont="1" applyBorder="1" applyAlignment="1">
      <alignment horizontal="center" vertical="center" wrapText="1" shrinkToFit="1"/>
    </xf>
    <xf numFmtId="165" fontId="33" fillId="0" borderId="40" xfId="0" applyNumberFormat="1" applyFont="1" applyBorder="1" applyAlignment="1">
      <alignment horizontal="center" vertical="center" wrapText="1" shrinkToFit="1"/>
    </xf>
    <xf numFmtId="165" fontId="33" fillId="0" borderId="43" xfId="0" applyNumberFormat="1" applyFont="1" applyBorder="1" applyAlignment="1">
      <alignment horizontal="center" vertical="center" wrapText="1" shrinkToFit="1"/>
    </xf>
    <xf numFmtId="0" fontId="40" fillId="0" borderId="21" xfId="64" applyFont="1" applyBorder="1" applyAlignment="1">
      <alignment horizontal="left" vertical="center" wrapText="1"/>
    </xf>
    <xf numFmtId="22" fontId="33" fillId="0" borderId="31" xfId="0" applyNumberFormat="1" applyFont="1" applyBorder="1" applyAlignment="1">
      <alignment horizontal="center" vertical="center" wrapText="1" shrinkToFit="1"/>
    </xf>
    <xf numFmtId="0" fontId="0" fillId="0" borderId="0" xfId="0" applyAlignment="1">
      <alignment horizontal="center"/>
    </xf>
    <xf numFmtId="14" fontId="0" fillId="0" borderId="0" xfId="0" applyNumberFormat="1"/>
    <xf numFmtId="172" fontId="5" fillId="0" borderId="0" xfId="0" applyNumberFormat="1" applyFont="1"/>
    <xf numFmtId="43" fontId="0" fillId="0" borderId="0" xfId="62" applyFont="1"/>
    <xf numFmtId="49" fontId="33" fillId="0" borderId="48" xfId="0" applyNumberFormat="1" applyFont="1" applyBorder="1" applyAlignment="1">
      <alignment horizontal="center" vertical="center" wrapText="1" shrinkToFit="1"/>
    </xf>
    <xf numFmtId="49" fontId="33" fillId="0" borderId="49" xfId="0" applyNumberFormat="1" applyFont="1" applyBorder="1" applyAlignment="1">
      <alignment horizontal="center" vertical="center" wrapText="1" shrinkToFit="1"/>
    </xf>
    <xf numFmtId="22" fontId="33" fillId="0" borderId="49" xfId="0" applyNumberFormat="1" applyFont="1" applyBorder="1" applyAlignment="1">
      <alignment horizontal="center" vertical="center" wrapText="1" shrinkToFit="1"/>
    </xf>
    <xf numFmtId="165" fontId="33" fillId="0" borderId="50" xfId="0" applyNumberFormat="1" applyFont="1" applyBorder="1" applyAlignment="1">
      <alignment horizontal="center" vertical="center" wrapText="1" shrinkToFit="1"/>
    </xf>
    <xf numFmtId="165" fontId="33" fillId="0" borderId="51" xfId="0" applyNumberFormat="1" applyFont="1" applyBorder="1" applyAlignment="1">
      <alignment horizontal="center" vertical="center" wrapText="1" shrinkToFit="1"/>
    </xf>
    <xf numFmtId="22" fontId="33" fillId="0" borderId="52" xfId="0" applyNumberFormat="1" applyFont="1" applyBorder="1" applyAlignment="1">
      <alignment horizontal="center" vertical="center" wrapText="1" shrinkToFit="1"/>
    </xf>
    <xf numFmtId="49" fontId="6" fillId="0" borderId="30" xfId="0" applyNumberFormat="1" applyFont="1" applyBorder="1" applyAlignment="1">
      <alignment horizontal="center" vertical="center" wrapText="1" shrinkToFit="1"/>
    </xf>
    <xf numFmtId="49" fontId="6" fillId="0" borderId="37" xfId="0" applyNumberFormat="1" applyFont="1" applyBorder="1" applyAlignment="1">
      <alignment horizontal="center" vertical="center" wrapText="1" shrinkToFit="1"/>
    </xf>
    <xf numFmtId="22" fontId="6" fillId="0" borderId="37" xfId="0" applyNumberFormat="1" applyFont="1" applyBorder="1" applyAlignment="1">
      <alignment horizontal="center" vertical="center" wrapText="1" shrinkToFit="1"/>
    </xf>
    <xf numFmtId="173" fontId="1" fillId="0" borderId="0" xfId="63" applyNumberFormat="1" applyFont="1"/>
    <xf numFmtId="0" fontId="1" fillId="0" borderId="0" xfId="63" applyFont="1"/>
    <xf numFmtId="0" fontId="1" fillId="0" borderId="0" xfId="63" applyFont="1" applyAlignment="1">
      <alignment vertical="center"/>
    </xf>
    <xf numFmtId="2" fontId="0" fillId="0" borderId="0" xfId="0" applyNumberFormat="1"/>
    <xf numFmtId="0" fontId="37" fillId="3" borderId="53" xfId="63" applyFont="1" applyFill="1" applyBorder="1" applyAlignment="1">
      <alignment vertical="center" wrapText="1"/>
    </xf>
    <xf numFmtId="0" fontId="34" fillId="21" borderId="54" xfId="0" applyFont="1" applyFill="1" applyBorder="1" applyAlignment="1">
      <alignment horizontal="center" vertical="center" wrapText="1" shrinkToFit="1"/>
    </xf>
    <xf numFmtId="2" fontId="37" fillId="3" borderId="45" xfId="0" applyNumberFormat="1" applyFont="1" applyFill="1" applyBorder="1" applyAlignment="1">
      <alignment horizontal="left" vertical="center" wrapText="1" shrinkToFit="1"/>
    </xf>
    <xf numFmtId="0" fontId="37" fillId="0" borderId="35" xfId="0" applyFont="1" applyBorder="1" applyAlignment="1">
      <alignment horizontal="center" vertical="top" wrapText="1" shrinkToFit="1"/>
    </xf>
    <xf numFmtId="164" fontId="37" fillId="0" borderId="35" xfId="0" applyNumberFormat="1" applyFont="1" applyBorder="1" applyAlignment="1">
      <alignment horizontal="center" vertical="top" wrapText="1" shrinkToFit="1"/>
    </xf>
    <xf numFmtId="44" fontId="0" fillId="0" borderId="0" xfId="114" applyFont="1" applyFill="1"/>
    <xf numFmtId="11" fontId="0" fillId="0" borderId="0" xfId="0" applyNumberFormat="1"/>
    <xf numFmtId="49" fontId="0" fillId="0" borderId="0" xfId="0" applyNumberFormat="1"/>
    <xf numFmtId="164" fontId="37" fillId="0" borderId="33" xfId="0" applyNumberFormat="1" applyFont="1" applyBorder="1" applyAlignment="1">
      <alignment horizontal="center" vertical="top" wrapText="1" shrinkToFit="1"/>
    </xf>
    <xf numFmtId="44" fontId="0" fillId="0" borderId="0" xfId="0" applyNumberFormat="1"/>
    <xf numFmtId="0" fontId="37" fillId="0" borderId="33" xfId="0" applyFont="1" applyBorder="1" applyAlignment="1">
      <alignment horizontal="center" vertical="center" wrapText="1" shrinkToFit="1"/>
    </xf>
    <xf numFmtId="164" fontId="37" fillId="0" borderId="33" xfId="0" applyNumberFormat="1" applyFont="1" applyBorder="1" applyAlignment="1">
      <alignment horizontal="center" vertical="center" wrapText="1" shrinkToFit="1"/>
    </xf>
    <xf numFmtId="176" fontId="0" fillId="0" borderId="0" xfId="114" applyNumberFormat="1" applyFont="1" applyFill="1"/>
    <xf numFmtId="174" fontId="0" fillId="0" borderId="0" xfId="0" applyNumberFormat="1"/>
    <xf numFmtId="175" fontId="0" fillId="0" borderId="0" xfId="114" applyNumberFormat="1" applyFont="1" applyFill="1"/>
    <xf numFmtId="170" fontId="37" fillId="0" borderId="33" xfId="0" applyNumberFormat="1" applyFont="1" applyBorder="1" applyAlignment="1">
      <alignment horizontal="center" vertical="top" wrapText="1" shrinkToFit="1"/>
    </xf>
    <xf numFmtId="177" fontId="0" fillId="0" borderId="0" xfId="114" applyNumberFormat="1" applyFont="1" applyFill="1"/>
    <xf numFmtId="166" fontId="37" fillId="0" borderId="33" xfId="0" applyNumberFormat="1" applyFont="1" applyBorder="1" applyAlignment="1">
      <alignment horizontal="center" vertical="top" wrapText="1" shrinkToFit="1"/>
    </xf>
    <xf numFmtId="49" fontId="37" fillId="0" borderId="34" xfId="0" applyNumberFormat="1" applyFont="1" applyBorder="1" applyAlignment="1">
      <alignment horizontal="center" vertical="top" wrapText="1" shrinkToFit="1"/>
    </xf>
    <xf numFmtId="165" fontId="37" fillId="0" borderId="34" xfId="0" applyNumberFormat="1" applyFont="1" applyBorder="1" applyAlignment="1">
      <alignment horizontal="center" vertical="top" wrapText="1" shrinkToFit="1"/>
    </xf>
    <xf numFmtId="167" fontId="37" fillId="0" borderId="34" xfId="62" applyNumberFormat="1" applyFont="1" applyFill="1" applyBorder="1" applyAlignment="1">
      <alignment horizontal="center" vertical="top" wrapText="1" shrinkToFit="1"/>
    </xf>
    <xf numFmtId="164" fontId="37" fillId="0" borderId="34" xfId="0" applyNumberFormat="1" applyFont="1" applyBorder="1" applyAlignment="1">
      <alignment horizontal="center" vertical="top" wrapText="1" shrinkToFit="1"/>
    </xf>
    <xf numFmtId="49" fontId="37" fillId="0" borderId="45" xfId="0" applyNumberFormat="1" applyFont="1" applyBorder="1" applyAlignment="1">
      <alignment horizontal="center" vertical="top" wrapText="1" shrinkToFit="1"/>
    </xf>
    <xf numFmtId="165" fontId="37" fillId="0" borderId="45" xfId="0" applyNumberFormat="1" applyFont="1" applyBorder="1" applyAlignment="1">
      <alignment horizontal="center" vertical="top" wrapText="1" shrinkToFit="1"/>
    </xf>
    <xf numFmtId="167" fontId="37" fillId="0" borderId="45" xfId="62" applyNumberFormat="1" applyFont="1" applyFill="1" applyBorder="1" applyAlignment="1">
      <alignment horizontal="center" vertical="top" wrapText="1" shrinkToFit="1"/>
    </xf>
    <xf numFmtId="164" fontId="37" fillId="0" borderId="45" xfId="0" applyNumberFormat="1" applyFont="1" applyBorder="1" applyAlignment="1">
      <alignment horizontal="center" vertical="top" wrapText="1" shrinkToFit="1"/>
    </xf>
    <xf numFmtId="49" fontId="5" fillId="0" borderId="21" xfId="0" applyNumberFormat="1" applyFont="1" applyBorder="1" applyAlignment="1">
      <alignment horizontal="center" vertical="center" wrapText="1" shrinkToFit="1"/>
    </xf>
    <xf numFmtId="49" fontId="5" fillId="0" borderId="49" xfId="0" applyNumberFormat="1" applyFont="1" applyBorder="1" applyAlignment="1">
      <alignment horizontal="center" vertical="center" wrapText="1" shrinkToFit="1"/>
    </xf>
    <xf numFmtId="49" fontId="33" fillId="0" borderId="56" xfId="0" applyNumberFormat="1" applyFont="1" applyBorder="1" applyAlignment="1">
      <alignment horizontal="center" vertical="center" wrapText="1" shrinkToFit="1"/>
    </xf>
    <xf numFmtId="49" fontId="33" fillId="0" borderId="57" xfId="0" applyNumberFormat="1" applyFont="1" applyBorder="1" applyAlignment="1">
      <alignment horizontal="center" vertical="center" wrapText="1" shrinkToFit="1"/>
    </xf>
    <xf numFmtId="22" fontId="33" fillId="0" borderId="57" xfId="0" applyNumberFormat="1" applyFont="1" applyBorder="1" applyAlignment="1">
      <alignment horizontal="center" vertical="center" wrapText="1" shrinkToFit="1"/>
    </xf>
    <xf numFmtId="165" fontId="33" fillId="0" borderId="58" xfId="0" applyNumberFormat="1" applyFont="1" applyBorder="1" applyAlignment="1">
      <alignment horizontal="center" vertical="center" wrapText="1" shrinkToFit="1"/>
    </xf>
    <xf numFmtId="2" fontId="37" fillId="0" borderId="34" xfId="0" applyNumberFormat="1" applyFont="1" applyBorder="1" applyAlignment="1">
      <alignment horizontal="center" vertical="center" wrapText="1" shrinkToFit="1"/>
    </xf>
    <xf numFmtId="2" fontId="37" fillId="0" borderId="59" xfId="0" applyNumberFormat="1" applyFont="1" applyBorder="1" applyAlignment="1">
      <alignment horizontal="center" vertical="center" wrapText="1" shrinkToFit="1"/>
    </xf>
    <xf numFmtId="49" fontId="33" fillId="0" borderId="60" xfId="0" applyNumberFormat="1" applyFont="1" applyBorder="1" applyAlignment="1">
      <alignment horizontal="center" vertical="center" wrapText="1" shrinkToFit="1"/>
    </xf>
    <xf numFmtId="49" fontId="33" fillId="0" borderId="21" xfId="0" applyNumberFormat="1" applyFont="1" applyBorder="1" applyAlignment="1">
      <alignment horizontal="center" vertical="center" wrapText="1" shrinkToFit="1"/>
    </xf>
    <xf numFmtId="22" fontId="33" fillId="0" borderId="21" xfId="0" applyNumberFormat="1" applyFont="1" applyBorder="1" applyAlignment="1">
      <alignment horizontal="center" vertical="center" wrapText="1" shrinkToFit="1"/>
    </xf>
    <xf numFmtId="0" fontId="37" fillId="0" borderId="53" xfId="63" applyFont="1" applyBorder="1" applyAlignment="1">
      <alignment vertical="center" wrapText="1"/>
    </xf>
    <xf numFmtId="0" fontId="0" fillId="0" borderId="61" xfId="0" applyBorder="1"/>
    <xf numFmtId="0" fontId="39" fillId="3" borderId="53" xfId="63" applyFont="1" applyFill="1" applyBorder="1" applyAlignment="1">
      <alignment vertical="center" wrapText="1"/>
    </xf>
    <xf numFmtId="0" fontId="54" fillId="0" borderId="44" xfId="0" applyFont="1" applyBorder="1" applyAlignment="1">
      <alignment horizontal="center" vertical="center"/>
    </xf>
    <xf numFmtId="15" fontId="54" fillId="0" borderId="44" xfId="0" applyNumberFormat="1" applyFont="1" applyBorder="1" applyAlignment="1">
      <alignment horizontal="center" vertical="center"/>
    </xf>
    <xf numFmtId="0" fontId="46" fillId="3" borderId="0" xfId="0" applyFont="1" applyFill="1" applyAlignment="1">
      <alignment horizontal="center" vertical="center"/>
    </xf>
    <xf numFmtId="0" fontId="47" fillId="0" borderId="0" xfId="0" quotePrefix="1" applyFont="1" applyAlignment="1">
      <alignment horizontal="center" vertical="center"/>
    </xf>
    <xf numFmtId="0" fontId="53" fillId="0" borderId="44" xfId="0" applyFont="1" applyBorder="1" applyAlignment="1">
      <alignment horizontal="center" vertical="center"/>
    </xf>
    <xf numFmtId="0" fontId="45" fillId="20" borderId="18" xfId="63" applyFont="1" applyFill="1" applyBorder="1" applyAlignment="1">
      <alignment horizontal="left" vertical="center" wrapText="1"/>
    </xf>
    <xf numFmtId="0" fontId="45" fillId="20" borderId="19" xfId="63" applyFont="1" applyFill="1" applyBorder="1" applyAlignment="1">
      <alignment horizontal="left" vertical="center" wrapText="1"/>
    </xf>
    <xf numFmtId="0" fontId="45" fillId="20" borderId="20" xfId="63" applyFont="1" applyFill="1" applyBorder="1" applyAlignment="1">
      <alignment horizontal="left" vertical="center" wrapText="1"/>
    </xf>
    <xf numFmtId="0" fontId="49" fillId="0" borderId="0" xfId="0" applyFont="1" applyAlignment="1">
      <alignment horizontal="center" vertical="center" wrapText="1" shrinkToFit="1"/>
    </xf>
    <xf numFmtId="49" fontId="42" fillId="3" borderId="23" xfId="0" applyNumberFormat="1" applyFont="1" applyFill="1" applyBorder="1" applyAlignment="1">
      <alignment horizontal="center" vertical="top" wrapText="1" shrinkToFit="1"/>
    </xf>
    <xf numFmtId="49" fontId="42" fillId="3" borderId="24" xfId="0" applyNumberFormat="1" applyFont="1" applyFill="1" applyBorder="1" applyAlignment="1">
      <alignment horizontal="center" vertical="top" wrapText="1" shrinkToFit="1"/>
    </xf>
    <xf numFmtId="0" fontId="48" fillId="0" borderId="36" xfId="0" applyFont="1" applyBorder="1" applyAlignment="1">
      <alignment horizontal="center" wrapText="1"/>
    </xf>
    <xf numFmtId="0" fontId="49" fillId="0" borderId="55" xfId="0" applyFont="1" applyBorder="1" applyAlignment="1">
      <alignment horizontal="center" vertical="center" wrapText="1" shrinkToFit="1"/>
    </xf>
    <xf numFmtId="0" fontId="12" fillId="20" borderId="2" xfId="63" applyFont="1" applyFill="1" applyBorder="1" applyAlignment="1">
      <alignment horizontal="left" vertical="center" wrapText="1"/>
    </xf>
    <xf numFmtId="0" fontId="12" fillId="20" borderId="28" xfId="63" applyFont="1" applyFill="1" applyBorder="1" applyAlignment="1">
      <alignment horizontal="left" vertical="center" wrapText="1"/>
    </xf>
    <xf numFmtId="0" fontId="12" fillId="20" borderId="3" xfId="63" applyFont="1" applyFill="1" applyBorder="1" applyAlignment="1">
      <alignment horizontal="left" vertical="center" wrapText="1"/>
    </xf>
    <xf numFmtId="0" fontId="12" fillId="20" borderId="4" xfId="63" applyFont="1" applyFill="1" applyBorder="1" applyAlignment="1">
      <alignment horizontal="left" vertical="center" wrapText="1"/>
    </xf>
    <xf numFmtId="0" fontId="12" fillId="20" borderId="0" xfId="63" applyFont="1" applyFill="1" applyAlignment="1">
      <alignment horizontal="left" vertical="center" wrapText="1"/>
    </xf>
    <xf numFmtId="0" fontId="12" fillId="20" borderId="5" xfId="63" applyFont="1" applyFill="1" applyBorder="1" applyAlignment="1">
      <alignment horizontal="left" vertical="center" wrapText="1"/>
    </xf>
    <xf numFmtId="0" fontId="12" fillId="20" borderId="6" xfId="63" applyFont="1" applyFill="1" applyBorder="1" applyAlignment="1">
      <alignment horizontal="left" vertical="center" wrapText="1"/>
    </xf>
    <xf numFmtId="0" fontId="12" fillId="20" borderId="27" xfId="63" applyFont="1" applyFill="1" applyBorder="1" applyAlignment="1">
      <alignment horizontal="left" vertical="center" wrapText="1"/>
    </xf>
    <xf numFmtId="0" fontId="12" fillId="20" borderId="7" xfId="63" applyFont="1" applyFill="1" applyBorder="1" applyAlignment="1">
      <alignment horizontal="left" vertical="center" wrapText="1"/>
    </xf>
    <xf numFmtId="0" fontId="40" fillId="20" borderId="2" xfId="63" applyFont="1" applyFill="1" applyBorder="1" applyAlignment="1">
      <alignment horizontal="left" vertical="center" wrapText="1"/>
    </xf>
    <xf numFmtId="0" fontId="40" fillId="20" borderId="28" xfId="63" applyFont="1" applyFill="1" applyBorder="1" applyAlignment="1">
      <alignment horizontal="left" vertical="center" wrapText="1"/>
    </xf>
    <xf numFmtId="0" fontId="40" fillId="20" borderId="3" xfId="63" applyFont="1" applyFill="1" applyBorder="1" applyAlignment="1">
      <alignment horizontal="left" vertical="center" wrapText="1"/>
    </xf>
    <xf numFmtId="0" fontId="40" fillId="20" borderId="6" xfId="63" applyFont="1" applyFill="1" applyBorder="1" applyAlignment="1">
      <alignment horizontal="left" vertical="center" wrapText="1"/>
    </xf>
    <xf numFmtId="0" fontId="40" fillId="20" borderId="27" xfId="63" applyFont="1" applyFill="1" applyBorder="1" applyAlignment="1">
      <alignment horizontal="left" vertical="center" wrapText="1"/>
    </xf>
    <xf numFmtId="0" fontId="40" fillId="20" borderId="7" xfId="63" applyFont="1" applyFill="1" applyBorder="1" applyAlignment="1">
      <alignment horizontal="left" vertical="center" wrapText="1"/>
    </xf>
    <xf numFmtId="0" fontId="36" fillId="3" borderId="40" xfId="64" applyFont="1" applyFill="1" applyBorder="1" applyAlignment="1">
      <alignment horizontal="left" vertical="center" wrapText="1"/>
    </xf>
    <xf numFmtId="0" fontId="36" fillId="3" borderId="41" xfId="64" applyFont="1" applyFill="1" applyBorder="1" applyAlignment="1">
      <alignment horizontal="left" vertical="center" wrapText="1"/>
    </xf>
    <xf numFmtId="0" fontId="36" fillId="3" borderId="42" xfId="64" applyFont="1" applyFill="1" applyBorder="1" applyAlignment="1">
      <alignment horizontal="left" vertical="center" wrapText="1"/>
    </xf>
    <xf numFmtId="49" fontId="42" fillId="3" borderId="2" xfId="0" applyNumberFormat="1" applyFont="1" applyFill="1" applyBorder="1" applyAlignment="1">
      <alignment horizontal="center" vertical="top" wrapText="1" shrinkToFit="1"/>
    </xf>
    <xf numFmtId="49" fontId="42" fillId="3" borderId="28" xfId="0" applyNumberFormat="1" applyFont="1" applyFill="1" applyBorder="1" applyAlignment="1">
      <alignment horizontal="center" vertical="top" wrapText="1" shrinkToFit="1"/>
    </xf>
    <xf numFmtId="49" fontId="42" fillId="3" borderId="3" xfId="0" applyNumberFormat="1" applyFont="1" applyFill="1" applyBorder="1" applyAlignment="1">
      <alignment horizontal="center" vertical="top" wrapText="1" shrinkToFit="1"/>
    </xf>
  </cellXfs>
  <cellStyles count="115">
    <cellStyle name="20% - Énfasis1" xfId="65" xr:uid="{00000000-0005-0000-0000-000000000000}"/>
    <cellStyle name="20% - Énfasis2" xfId="66" xr:uid="{00000000-0005-0000-0000-000001000000}"/>
    <cellStyle name="20% - Énfasis3" xfId="67" xr:uid="{00000000-0005-0000-0000-000002000000}"/>
    <cellStyle name="20% - Énfasis4" xfId="68" xr:uid="{00000000-0005-0000-0000-000003000000}"/>
    <cellStyle name="20% - Énfasis5" xfId="69" xr:uid="{00000000-0005-0000-0000-000004000000}"/>
    <cellStyle name="20% - Énfasis6" xfId="70" xr:uid="{00000000-0005-0000-0000-000005000000}"/>
    <cellStyle name="40% - Énfasis1" xfId="71" xr:uid="{00000000-0005-0000-0000-000006000000}"/>
    <cellStyle name="40% - Énfasis2" xfId="72" xr:uid="{00000000-0005-0000-0000-000007000000}"/>
    <cellStyle name="40% - Énfasis3" xfId="73" xr:uid="{00000000-0005-0000-0000-000008000000}"/>
    <cellStyle name="40% - Énfasis4" xfId="74" xr:uid="{00000000-0005-0000-0000-000009000000}"/>
    <cellStyle name="40% - Énfasis5" xfId="75" xr:uid="{00000000-0005-0000-0000-00000A000000}"/>
    <cellStyle name="40% - Énfasis6" xfId="76" xr:uid="{00000000-0005-0000-0000-00000B000000}"/>
    <cellStyle name="60% - Énfasis1" xfId="77" xr:uid="{00000000-0005-0000-0000-00000C000000}"/>
    <cellStyle name="60% - Énfasis2" xfId="78" xr:uid="{00000000-0005-0000-0000-00000D000000}"/>
    <cellStyle name="60% - Énfasis3" xfId="79" xr:uid="{00000000-0005-0000-0000-00000E000000}"/>
    <cellStyle name="60% - Énfasis4" xfId="80" xr:uid="{00000000-0005-0000-0000-00000F000000}"/>
    <cellStyle name="60% - Énfasis5" xfId="81" xr:uid="{00000000-0005-0000-0000-000010000000}"/>
    <cellStyle name="60% - Énfasis6" xfId="82" xr:uid="{00000000-0005-0000-0000-000011000000}"/>
    <cellStyle name="Buena" xfId="83" xr:uid="{00000000-0005-0000-0000-000012000000}"/>
    <cellStyle name="Cálculo" xfId="84" xr:uid="{00000000-0005-0000-0000-000013000000}"/>
    <cellStyle name="Celda de comprobación" xfId="85" xr:uid="{00000000-0005-0000-0000-000014000000}"/>
    <cellStyle name="Celda vinculada" xfId="86" xr:uid="{00000000-0005-0000-0000-000015000000}"/>
    <cellStyle name="Comma" xfId="62" builtinId="3"/>
    <cellStyle name="Comma 2" xfId="2" xr:uid="{00000000-0005-0000-0000-000017000000}"/>
    <cellStyle name="Comma 2 2" xfId="3" xr:uid="{00000000-0005-0000-0000-000018000000}"/>
    <cellStyle name="Comma 3" xfId="4" xr:uid="{00000000-0005-0000-0000-000019000000}"/>
    <cellStyle name="Comma 4" xfId="5" xr:uid="{00000000-0005-0000-0000-00001A000000}"/>
    <cellStyle name="Currency" xfId="114" builtinId="4"/>
    <cellStyle name="Currency 2" xfId="6" xr:uid="{00000000-0005-0000-0000-00001C000000}"/>
    <cellStyle name="Encabezado 4" xfId="87" xr:uid="{00000000-0005-0000-0000-00001D000000}"/>
    <cellStyle name="Énfasis1" xfId="88" xr:uid="{00000000-0005-0000-0000-00001E000000}"/>
    <cellStyle name="Énfasis2" xfId="89" xr:uid="{00000000-0005-0000-0000-00001F000000}"/>
    <cellStyle name="Énfasis3" xfId="90" xr:uid="{00000000-0005-0000-0000-000020000000}"/>
    <cellStyle name="Énfasis4" xfId="91" xr:uid="{00000000-0005-0000-0000-000021000000}"/>
    <cellStyle name="Énfasis5" xfId="92" xr:uid="{00000000-0005-0000-0000-000022000000}"/>
    <cellStyle name="Énfasis6" xfId="93" xr:uid="{00000000-0005-0000-0000-000023000000}"/>
    <cellStyle name="Entrada" xfId="94" xr:uid="{00000000-0005-0000-0000-000024000000}"/>
    <cellStyle name="Euro" xfId="95" xr:uid="{00000000-0005-0000-0000-000025000000}"/>
    <cellStyle name="Good 2" xfId="7" xr:uid="{00000000-0005-0000-0000-000026000000}"/>
    <cellStyle name="Hyperlink 2" xfId="8" xr:uid="{00000000-0005-0000-0000-000027000000}"/>
    <cellStyle name="Incorrecto" xfId="96" xr:uid="{00000000-0005-0000-0000-000028000000}"/>
    <cellStyle name="Millares [0] 2" xfId="9" xr:uid="{00000000-0005-0000-0000-000029000000}"/>
    <cellStyle name="Millares 2" xfId="10" xr:uid="{00000000-0005-0000-0000-00002A000000}"/>
    <cellStyle name="Millares 3" xfId="11" xr:uid="{00000000-0005-0000-0000-00002B000000}"/>
    <cellStyle name="Millares 4" xfId="12" xr:uid="{00000000-0005-0000-0000-00002C000000}"/>
    <cellStyle name="Millares 5" xfId="13" xr:uid="{00000000-0005-0000-0000-00002D000000}"/>
    <cellStyle name="Millares 6" xfId="14" xr:uid="{00000000-0005-0000-0000-00002E000000}"/>
    <cellStyle name="Millares 7" xfId="15" xr:uid="{00000000-0005-0000-0000-00002F000000}"/>
    <cellStyle name="Millares 8" xfId="16" xr:uid="{00000000-0005-0000-0000-000030000000}"/>
    <cellStyle name="Normal" xfId="0" builtinId="0"/>
    <cellStyle name="Normal 10" xfId="17" xr:uid="{00000000-0005-0000-0000-000032000000}"/>
    <cellStyle name="Normal 10 2" xfId="18" xr:uid="{00000000-0005-0000-0000-000033000000}"/>
    <cellStyle name="Normal 11" xfId="19" xr:uid="{00000000-0005-0000-0000-000034000000}"/>
    <cellStyle name="Normal 11 2" xfId="20" xr:uid="{00000000-0005-0000-0000-000035000000}"/>
    <cellStyle name="Normal 12" xfId="21" xr:uid="{00000000-0005-0000-0000-000036000000}"/>
    <cellStyle name="Normal 12 2" xfId="22" xr:uid="{00000000-0005-0000-0000-000037000000}"/>
    <cellStyle name="Normal 13" xfId="23" xr:uid="{00000000-0005-0000-0000-000038000000}"/>
    <cellStyle name="Normal 13 2" xfId="24" xr:uid="{00000000-0005-0000-0000-000039000000}"/>
    <cellStyle name="Normal 14" xfId="25" xr:uid="{00000000-0005-0000-0000-00003A000000}"/>
    <cellStyle name="Normal 15" xfId="26" xr:uid="{00000000-0005-0000-0000-00003B000000}"/>
    <cellStyle name="Normal 16" xfId="27" xr:uid="{00000000-0005-0000-0000-00003C000000}"/>
    <cellStyle name="Normal 17" xfId="28" xr:uid="{00000000-0005-0000-0000-00003D000000}"/>
    <cellStyle name="Normal 17 2 3" xfId="29" xr:uid="{00000000-0005-0000-0000-00003E000000}"/>
    <cellStyle name="Normal 18" xfId="30" xr:uid="{00000000-0005-0000-0000-00003F000000}"/>
    <cellStyle name="Normal 19" xfId="31" xr:uid="{00000000-0005-0000-0000-000040000000}"/>
    <cellStyle name="Normal 2" xfId="32" xr:uid="{00000000-0005-0000-0000-000041000000}"/>
    <cellStyle name="Normal 2 2" xfId="1" xr:uid="{00000000-0005-0000-0000-000042000000}"/>
    <cellStyle name="Normal 2 2 2" xfId="33" xr:uid="{00000000-0005-0000-0000-000043000000}"/>
    <cellStyle name="Normal 2 2 2 2" xfId="97" xr:uid="{00000000-0005-0000-0000-000044000000}"/>
    <cellStyle name="Normal 2 3" xfId="34" xr:uid="{00000000-0005-0000-0000-000045000000}"/>
    <cellStyle name="Normal 2 3 2" xfId="35" xr:uid="{00000000-0005-0000-0000-000046000000}"/>
    <cellStyle name="Normal 2 4" xfId="36" xr:uid="{00000000-0005-0000-0000-000047000000}"/>
    <cellStyle name="Normal 2 4 2" xfId="64" xr:uid="{00000000-0005-0000-0000-000048000000}"/>
    <cellStyle name="Normal 2 5" xfId="37" xr:uid="{00000000-0005-0000-0000-000049000000}"/>
    <cellStyle name="Normal 20" xfId="38" xr:uid="{00000000-0005-0000-0000-00004A000000}"/>
    <cellStyle name="Normal 21" xfId="61" xr:uid="{00000000-0005-0000-0000-00004B000000}"/>
    <cellStyle name="Normal 21 2" xfId="63" xr:uid="{00000000-0005-0000-0000-00004C000000}"/>
    <cellStyle name="Normal 3" xfId="39" xr:uid="{00000000-0005-0000-0000-00004D000000}"/>
    <cellStyle name="Normal 3 2" xfId="40" xr:uid="{00000000-0005-0000-0000-00004E000000}"/>
    <cellStyle name="Normal 3 2 2" xfId="41" xr:uid="{00000000-0005-0000-0000-00004F000000}"/>
    <cellStyle name="Normal 3 3" xfId="42" xr:uid="{00000000-0005-0000-0000-000050000000}"/>
    <cellStyle name="Normal 4" xfId="43" xr:uid="{00000000-0005-0000-0000-000051000000}"/>
    <cellStyle name="Normal 4 2" xfId="44" xr:uid="{00000000-0005-0000-0000-000052000000}"/>
    <cellStyle name="Normal 4 2 2" xfId="98" xr:uid="{00000000-0005-0000-0000-000053000000}"/>
    <cellStyle name="Normal 4 3" xfId="45" xr:uid="{00000000-0005-0000-0000-000054000000}"/>
    <cellStyle name="Normal 4 3 2" xfId="99" xr:uid="{00000000-0005-0000-0000-000055000000}"/>
    <cellStyle name="Normal 4 4" xfId="100" xr:uid="{00000000-0005-0000-0000-000056000000}"/>
    <cellStyle name="Normal 5" xfId="46" xr:uid="{00000000-0005-0000-0000-000057000000}"/>
    <cellStyle name="Normal 5 2" xfId="47" xr:uid="{00000000-0005-0000-0000-000058000000}"/>
    <cellStyle name="Normal 6" xfId="48" xr:uid="{00000000-0005-0000-0000-000059000000}"/>
    <cellStyle name="Normal 6 2" xfId="49" xr:uid="{00000000-0005-0000-0000-00005A000000}"/>
    <cellStyle name="Normal 6 3" xfId="50" xr:uid="{00000000-0005-0000-0000-00005B000000}"/>
    <cellStyle name="Normal 7" xfId="51" xr:uid="{00000000-0005-0000-0000-00005C000000}"/>
    <cellStyle name="Normal 7 2" xfId="52" xr:uid="{00000000-0005-0000-0000-00005D000000}"/>
    <cellStyle name="Normal 8" xfId="53" xr:uid="{00000000-0005-0000-0000-00005E000000}"/>
    <cellStyle name="Normal 8 2" xfId="54" xr:uid="{00000000-0005-0000-0000-00005F000000}"/>
    <cellStyle name="Normal 9" xfId="55" xr:uid="{00000000-0005-0000-0000-000060000000}"/>
    <cellStyle name="Normal 9 2" xfId="56" xr:uid="{00000000-0005-0000-0000-000061000000}"/>
    <cellStyle name="Notas" xfId="101" xr:uid="{00000000-0005-0000-0000-000062000000}"/>
    <cellStyle name="Percent 2" xfId="57" xr:uid="{00000000-0005-0000-0000-000063000000}"/>
    <cellStyle name="Percent 2 2" xfId="58" xr:uid="{00000000-0005-0000-0000-000064000000}"/>
    <cellStyle name="Percent 3" xfId="59" xr:uid="{00000000-0005-0000-0000-000065000000}"/>
    <cellStyle name="Percent 3 2" xfId="102" xr:uid="{00000000-0005-0000-0000-000066000000}"/>
    <cellStyle name="Percent 3 2 2" xfId="103" xr:uid="{00000000-0005-0000-0000-000067000000}"/>
    <cellStyle name="Percent 3 3" xfId="104" xr:uid="{00000000-0005-0000-0000-000068000000}"/>
    <cellStyle name="Percent 4" xfId="60" xr:uid="{00000000-0005-0000-0000-000069000000}"/>
    <cellStyle name="Percent 5" xfId="105" xr:uid="{00000000-0005-0000-0000-00006A000000}"/>
    <cellStyle name="Percent 6" xfId="106" xr:uid="{00000000-0005-0000-0000-00006B000000}"/>
    <cellStyle name="Salida" xfId="107" xr:uid="{00000000-0005-0000-0000-00006C000000}"/>
    <cellStyle name="Texto de advertencia" xfId="108" xr:uid="{00000000-0005-0000-0000-00006D000000}"/>
    <cellStyle name="Texto explicativo" xfId="109" xr:uid="{00000000-0005-0000-0000-00006E000000}"/>
    <cellStyle name="Título" xfId="110" xr:uid="{00000000-0005-0000-0000-00006F000000}"/>
    <cellStyle name="Título 1" xfId="111" xr:uid="{00000000-0005-0000-0000-000070000000}"/>
    <cellStyle name="Título 2" xfId="112" xr:uid="{00000000-0005-0000-0000-000071000000}"/>
    <cellStyle name="Título 3" xfId="113" xr:uid="{00000000-0005-0000-0000-000072000000}"/>
  </cellStyles>
  <dxfs count="19">
    <dxf>
      <font>
        <color rgb="FF9C0006"/>
      </font>
      <fill>
        <patternFill>
          <bgColor rgb="FFFFC7CE"/>
        </patternFill>
      </fill>
    </dxf>
    <dxf>
      <fill>
        <patternFill>
          <bgColor rgb="FFFF0000"/>
        </patternFill>
      </fill>
    </dxf>
    <dxf>
      <fill>
        <patternFill>
          <bgColor rgb="FFFF0000"/>
        </patternFill>
      </fill>
    </dxf>
    <dxf>
      <font>
        <color rgb="FFFF0000"/>
      </font>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ont>
        <b/>
        <i val="0"/>
        <color rgb="FF008000"/>
      </font>
      <fill>
        <patternFill>
          <bgColor theme="6" tint="0.79998168889431442"/>
        </patternFill>
      </fill>
    </dxf>
    <dxf>
      <font>
        <b/>
        <i val="0"/>
        <color rgb="FFFF0000"/>
      </font>
      <fill>
        <patternFill>
          <bgColor theme="0"/>
        </patternFill>
      </fill>
    </dxf>
    <dxf>
      <font>
        <b/>
        <i val="0"/>
        <color rgb="FF008000"/>
      </font>
    </dxf>
    <dxf>
      <font>
        <b/>
        <i val="0"/>
        <color theme="9" tint="-0.499984740745262"/>
      </font>
    </dxf>
    <dxf>
      <font>
        <b/>
        <i val="0"/>
        <color rgb="FFFF0000"/>
      </font>
      <fill>
        <patternFill>
          <bgColor theme="5" tint="0.79998168889431442"/>
        </patternFill>
      </fill>
    </dxf>
    <dxf>
      <font>
        <b/>
        <i val="0"/>
        <color rgb="FFFF0000"/>
      </font>
      <fill>
        <patternFill>
          <bgColor theme="5" tint="0.59996337778862885"/>
        </patternFill>
      </fill>
    </dxf>
    <dxf>
      <fill>
        <patternFill>
          <bgColor theme="8" tint="0.79998168889431442"/>
        </patternFill>
      </fill>
    </dxf>
    <dxf>
      <font>
        <color theme="0"/>
      </font>
    </dxf>
    <dxf>
      <font>
        <color theme="0"/>
      </font>
    </dxf>
    <dxf>
      <font>
        <color theme="0"/>
      </font>
    </dxf>
    <dxf>
      <font>
        <color theme="0"/>
      </font>
    </dxf>
  </dxfs>
  <tableStyles count="1" defaultTableStyle="TableStyleMedium2" defaultPivotStyle="PivotStyleLight16">
    <tableStyle name="Invisible" pivot="0" table="0" count="0" xr9:uid="{C5CEF1EF-32B6-4C3D-ABFB-C720313D6294}"/>
  </tableStyles>
  <colors>
    <mruColors>
      <color rgb="FFFF0000"/>
      <color rgb="FFDAEEF3"/>
      <color rgb="FFFDE9D9"/>
      <color rgb="FFFFFF99"/>
      <color rgb="FFF6E7E6"/>
      <color rgb="FFFEF1E6"/>
      <color rgb="FFFFFFEA"/>
      <color rgb="FFBFBFBF"/>
      <color rgb="FFFFFFCC"/>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strRef>
              <c:f>'COSTO VARIABLE DE PRODUCCIÓN'!$C$4:$C$57</c:f>
              <c:strCache>
                <c:ptCount val="54"/>
                <c:pt idx="0">
                  <c:v>G3AANDGN</c:v>
                </c:pt>
                <c:pt idx="1">
                  <c:v>G3AANDFO</c:v>
                </c:pt>
                <c:pt idx="2">
                  <c:v>G3BERSAL</c:v>
                </c:pt>
                <c:pt idx="3">
                  <c:v>G3CES2GN</c:v>
                </c:pt>
                <c:pt idx="4">
                  <c:v>G3CES1FO</c:v>
                </c:pt>
                <c:pt idx="5">
                  <c:v>G3E4CCFO</c:v>
                </c:pt>
                <c:pt idx="6">
                  <c:v>G3CES1GN</c:v>
                </c:pt>
                <c:pt idx="7">
                  <c:v>G3CES3FO</c:v>
                </c:pt>
                <c:pt idx="8">
                  <c:v>G3CES2FO</c:v>
                </c:pt>
                <c:pt idx="9">
                  <c:v>G3CES3GN</c:v>
                </c:pt>
                <c:pt idx="10">
                  <c:v>G3E4CCGN</c:v>
                </c:pt>
                <c:pt idx="11">
                  <c:v>G3METALD</c:v>
                </c:pt>
                <c:pt idx="12">
                  <c:v>G3PALENQ</c:v>
                </c:pt>
                <c:pt idx="13">
                  <c:v>G3LMINA5</c:v>
                </c:pt>
                <c:pt idx="14">
                  <c:v>G3LMINA6</c:v>
                </c:pt>
                <c:pt idx="15">
                  <c:v>G3PEMCT</c:v>
                </c:pt>
                <c:pt idx="16">
                  <c:v>G3PEMCP</c:v>
                </c:pt>
                <c:pt idx="17">
                  <c:v>G3MPLACS</c:v>
                </c:pt>
                <c:pt idx="18">
                  <c:v>G3QUI2FO</c:v>
                </c:pt>
                <c:pt idx="19">
                  <c:v>G3HTG</c:v>
                </c:pt>
                <c:pt idx="20">
                  <c:v>G3SESTE</c:v>
                </c:pt>
                <c:pt idx="21">
                  <c:v>G3BCARBO</c:v>
                </c:pt>
                <c:pt idx="22">
                  <c:v>G3QUI2GN</c:v>
                </c:pt>
                <c:pt idx="23">
                  <c:v>G3ITABO2</c:v>
                </c:pt>
                <c:pt idx="24">
                  <c:v>G3SLORE1</c:v>
                </c:pt>
                <c:pt idx="25">
                  <c:v>G3ITABO1</c:v>
                </c:pt>
                <c:pt idx="26">
                  <c:v>G3PCATA2</c:v>
                </c:pt>
                <c:pt idx="27">
                  <c:v>G3PCATA1</c:v>
                </c:pt>
                <c:pt idx="28">
                  <c:v>G3EM2SGN</c:v>
                </c:pt>
                <c:pt idx="29">
                  <c:v>G3EM3CCP</c:v>
                </c:pt>
                <c:pt idx="30">
                  <c:v>G3EM2SFO</c:v>
                </c:pt>
                <c:pt idx="31">
                  <c:v>G3EM2CGN</c:v>
                </c:pt>
                <c:pt idx="32">
                  <c:v>G3EM2CFO</c:v>
                </c:pt>
                <c:pt idx="33">
                  <c:v>G3EM3CCT</c:v>
                </c:pt>
                <c:pt idx="34">
                  <c:v>G3EM3CS</c:v>
                </c:pt>
                <c:pt idx="35">
                  <c:v>G3LVEGA</c:v>
                </c:pt>
                <c:pt idx="36">
                  <c:v>G3PALAMA</c:v>
                </c:pt>
                <c:pt idx="37">
                  <c:v>G3PAK26</c:v>
                </c:pt>
                <c:pt idx="38">
                  <c:v>G3PAK60</c:v>
                </c:pt>
                <c:pt idx="39">
                  <c:v>G3PIMEN4</c:v>
                </c:pt>
                <c:pt idx="40">
                  <c:v>G3PIMEN2</c:v>
                </c:pt>
                <c:pt idx="41">
                  <c:v>G3PIMEN1</c:v>
                </c:pt>
                <c:pt idx="42">
                  <c:v>G3PIMEN3</c:v>
                </c:pt>
                <c:pt idx="43">
                  <c:v>G3MRIO</c:v>
                </c:pt>
                <c:pt idx="44">
                  <c:v>G3LOPPGN</c:v>
                </c:pt>
                <c:pt idx="45">
                  <c:v>G3LOPPFO</c:v>
                </c:pt>
                <c:pt idx="46">
                  <c:v>G3IKM22</c:v>
                </c:pt>
                <c:pt idx="47">
                  <c:v>G3Q1SPGN</c:v>
                </c:pt>
                <c:pt idx="48">
                  <c:v>G3QUI1GN</c:v>
                </c:pt>
                <c:pt idx="49">
                  <c:v>G3QUI1FO</c:v>
                </c:pt>
                <c:pt idx="50">
                  <c:v>G3Q1SPFO</c:v>
                </c:pt>
                <c:pt idx="51">
                  <c:v>G3SIBACC</c:v>
                </c:pt>
                <c:pt idx="52">
                  <c:v>G3SIBACS</c:v>
                </c:pt>
                <c:pt idx="53">
                  <c:v>G3SPBIOE</c:v>
                </c:pt>
              </c:strCache>
            </c:strRef>
          </c:cat>
          <c:val>
            <c:numRef>
              <c:f>'COSTO VARIABLE DE PRODUCCIÓN'!$K$4:$K$57</c:f>
              <c:numCache>
                <c:formatCode>0.00</c:formatCode>
                <c:ptCount val="54"/>
                <c:pt idx="0">
                  <c:v>4699.8236247391078</c:v>
                </c:pt>
                <c:pt idx="1">
                  <c:v>12643.298241880208</c:v>
                </c:pt>
                <c:pt idx="2">
                  <c:v>9309.4128443256577</c:v>
                </c:pt>
                <c:pt idx="3">
                  <c:v>3403.989273342605</c:v>
                </c:pt>
                <c:pt idx="4">
                  <c:v>12959.437067472842</c:v>
                </c:pt>
                <c:pt idx="5">
                  <c:v>10175.024797855966</c:v>
                </c:pt>
                <c:pt idx="6">
                  <c:v>3433.8319942758903</c:v>
                </c:pt>
                <c:pt idx="7">
                  <c:v>11708.287784873621</c:v>
                </c:pt>
                <c:pt idx="8">
                  <c:v>17581.972870244917</c:v>
                </c:pt>
                <c:pt idx="9">
                  <c:v>3427.7870468822425</c:v>
                </c:pt>
                <c:pt idx="10">
                  <c:v>4561.1264764163025</c:v>
                </c:pt>
                <c:pt idx="11">
                  <c:v>6177.6366894135426</c:v>
                </c:pt>
                <c:pt idx="12">
                  <c:v>9467.5585024668162</c:v>
                </c:pt>
                <c:pt idx="13">
                  <c:v>11678.667318733702</c:v>
                </c:pt>
                <c:pt idx="14">
                  <c:v>11755.091782273275</c:v>
                </c:pt>
                <c:pt idx="15">
                  <c:v>8407.4247049043424</c:v>
                </c:pt>
                <c:pt idx="16">
                  <c:v>8516.0944963158836</c:v>
                </c:pt>
                <c:pt idx="17">
                  <c:v>10625.95413193415</c:v>
                </c:pt>
                <c:pt idx="18">
                  <c:v>6930.357744173808</c:v>
                </c:pt>
                <c:pt idx="19">
                  <c:v>12816.315065212397</c:v>
                </c:pt>
                <c:pt idx="20">
                  <c:v>7533.2288412115713</c:v>
                </c:pt>
                <c:pt idx="21">
                  <c:v>3825.8278117165551</c:v>
                </c:pt>
                <c:pt idx="22">
                  <c:v>3469.4567591272294</c:v>
                </c:pt>
                <c:pt idx="23">
                  <c:v>3234.27464145866</c:v>
                </c:pt>
                <c:pt idx="24">
                  <c:v>14229.867674858222</c:v>
                </c:pt>
                <c:pt idx="25">
                  <c:v>3423.1033345998662</c:v>
                </c:pt>
                <c:pt idx="26">
                  <c:v>1845.8487961825676</c:v>
                </c:pt>
                <c:pt idx="27">
                  <c:v>1889.8390320491212</c:v>
                </c:pt>
                <c:pt idx="28">
                  <c:v>5793.0075746446128</c:v>
                </c:pt>
                <c:pt idx="29">
                  <c:v>3676.7575621213637</c:v>
                </c:pt>
                <c:pt idx="30">
                  <c:v>7841.8589379161731</c:v>
                </c:pt>
                <c:pt idx="31">
                  <c:v>5512.2649326057399</c:v>
                </c:pt>
                <c:pt idx="32">
                  <c:v>7449.2504545752072</c:v>
                </c:pt>
                <c:pt idx="33">
                  <c:v>3626.6978548231664</c:v>
                </c:pt>
                <c:pt idx="34">
                  <c:v>5363.7760217011537</c:v>
                </c:pt>
                <c:pt idx="35">
                  <c:v>8918.20708919145</c:v>
                </c:pt>
                <c:pt idx="36">
                  <c:v>8682.6070084906405</c:v>
                </c:pt>
                <c:pt idx="37">
                  <c:v>8150.0647162578744</c:v>
                </c:pt>
                <c:pt idx="38">
                  <c:v>8098.3497521858944</c:v>
                </c:pt>
                <c:pt idx="39">
                  <c:v>8604.112105111275</c:v>
                </c:pt>
                <c:pt idx="40">
                  <c:v>9098.8294815517038</c:v>
                </c:pt>
                <c:pt idx="41">
                  <c:v>8997.276870150883</c:v>
                </c:pt>
                <c:pt idx="42">
                  <c:v>8561.4300891341463</c:v>
                </c:pt>
                <c:pt idx="43">
                  <c:v>9442.0700570120152</c:v>
                </c:pt>
                <c:pt idx="44">
                  <c:v>7747.859272473559</c:v>
                </c:pt>
                <c:pt idx="45">
                  <c:v>8644.3368042687653</c:v>
                </c:pt>
                <c:pt idx="46">
                  <c:v>9739.0580802120003</c:v>
                </c:pt>
                <c:pt idx="47">
                  <c:v>3971.0930022651519</c:v>
                </c:pt>
                <c:pt idx="48">
                  <c:v>3971.0930022651519</c:v>
                </c:pt>
                <c:pt idx="49">
                  <c:v>6588.2442220030089</c:v>
                </c:pt>
                <c:pt idx="50">
                  <c:v>6588.2442220030089</c:v>
                </c:pt>
                <c:pt idx="51">
                  <c:v>9809.396999256769</c:v>
                </c:pt>
                <c:pt idx="52">
                  <c:v>13073.3784317354</c:v>
                </c:pt>
                <c:pt idx="53">
                  <c:v>5136.4863002305692</c:v>
                </c:pt>
              </c:numCache>
            </c:numRef>
          </c:val>
          <c:extLst>
            <c:ext xmlns:c16="http://schemas.microsoft.com/office/drawing/2014/chart" uri="{C3380CC4-5D6E-409C-BE32-E72D297353CC}">
              <c16:uniqueId val="{00000000-9643-4AC1-9628-AD9B2457EC56}"/>
            </c:ext>
          </c:extLst>
        </c:ser>
        <c:dLbls>
          <c:showLegendKey val="0"/>
          <c:showVal val="0"/>
          <c:showCatName val="0"/>
          <c:showSerName val="0"/>
          <c:showPercent val="0"/>
          <c:showBubbleSize val="0"/>
        </c:dLbls>
        <c:gapWidth val="150"/>
        <c:axId val="207199232"/>
        <c:axId val="207254272"/>
      </c:barChart>
      <c:catAx>
        <c:axId val="207199232"/>
        <c:scaling>
          <c:orientation val="minMax"/>
        </c:scaling>
        <c:delete val="0"/>
        <c:axPos val="b"/>
        <c:numFmt formatCode="General" sourceLinked="0"/>
        <c:majorTickMark val="out"/>
        <c:minorTickMark val="none"/>
        <c:tickLblPos val="nextTo"/>
        <c:crossAx val="207254272"/>
        <c:crosses val="autoZero"/>
        <c:auto val="1"/>
        <c:lblAlgn val="ctr"/>
        <c:lblOffset val="100"/>
        <c:noMultiLvlLbl val="0"/>
      </c:catAx>
      <c:valAx>
        <c:axId val="207254272"/>
        <c:scaling>
          <c:orientation val="minMax"/>
        </c:scaling>
        <c:delete val="0"/>
        <c:axPos val="l"/>
        <c:majorGridlines/>
        <c:numFmt formatCode="0" sourceLinked="0"/>
        <c:majorTickMark val="out"/>
        <c:minorTickMark val="none"/>
        <c:tickLblPos val="nextTo"/>
        <c:crossAx val="207199232"/>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0</xdr:rowOff>
    </xdr:from>
    <xdr:to>
      <xdr:col>15</xdr:col>
      <xdr:colOff>14654</xdr:colOff>
      <xdr:row>13</xdr:row>
      <xdr:rowOff>184546</xdr:rowOff>
    </xdr:to>
    <xdr:grpSp>
      <xdr:nvGrpSpPr>
        <xdr:cNvPr id="2" name="Group 1">
          <a:extLst>
            <a:ext uri="{FF2B5EF4-FFF2-40B4-BE49-F238E27FC236}">
              <a16:creationId xmlns:a16="http://schemas.microsoft.com/office/drawing/2014/main" id="{5BA7EB24-6DC5-4DDC-A55C-282C9A2AFFCB}"/>
            </a:ext>
          </a:extLst>
        </xdr:cNvPr>
        <xdr:cNvGrpSpPr/>
      </xdr:nvGrpSpPr>
      <xdr:grpSpPr>
        <a:xfrm>
          <a:off x="14654" y="0"/>
          <a:ext cx="9145112" cy="2622946"/>
          <a:chOff x="0" y="192352"/>
          <a:chExt cx="8893969" cy="2581813"/>
        </a:xfrm>
      </xdr:grpSpPr>
      <xdr:grpSp>
        <xdr:nvGrpSpPr>
          <xdr:cNvPr id="3" name="Group 2">
            <a:extLst>
              <a:ext uri="{FF2B5EF4-FFF2-40B4-BE49-F238E27FC236}">
                <a16:creationId xmlns:a16="http://schemas.microsoft.com/office/drawing/2014/main" id="{AD2952AE-82FE-4D0B-93E2-162056AC73E3}"/>
              </a:ext>
            </a:extLst>
          </xdr:cNvPr>
          <xdr:cNvGrpSpPr/>
        </xdr:nvGrpSpPr>
        <xdr:grpSpPr>
          <a:xfrm>
            <a:off x="0" y="410769"/>
            <a:ext cx="8893969" cy="2363396"/>
            <a:chOff x="0" y="381001"/>
            <a:chExt cx="8893969" cy="2363396"/>
          </a:xfrm>
        </xdr:grpSpPr>
        <xdr:pic>
          <xdr:nvPicPr>
            <xdr:cNvPr id="5" name="Picture 4">
              <a:extLst>
                <a:ext uri="{FF2B5EF4-FFF2-40B4-BE49-F238E27FC236}">
                  <a16:creationId xmlns:a16="http://schemas.microsoft.com/office/drawing/2014/main" id="{4D854758-514C-487B-8C34-66748FDDEE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r="3640"/>
            <a:stretch/>
          </xdr:blipFill>
          <xdr:spPr>
            <a:xfrm rot="5400000">
              <a:off x="3265287" y="-2884286"/>
              <a:ext cx="2363396" cy="8893969"/>
            </a:xfrm>
            <a:prstGeom prst="rect">
              <a:avLst/>
            </a:prstGeom>
          </xdr:spPr>
        </xdr:pic>
        <xdr:grpSp>
          <xdr:nvGrpSpPr>
            <xdr:cNvPr id="6" name="Group 5">
              <a:extLst>
                <a:ext uri="{FF2B5EF4-FFF2-40B4-BE49-F238E27FC236}">
                  <a16:creationId xmlns:a16="http://schemas.microsoft.com/office/drawing/2014/main" id="{6F9336FD-A78A-4563-BF42-BEC5255031AA}"/>
                </a:ext>
              </a:extLst>
            </xdr:cNvPr>
            <xdr:cNvGrpSpPr/>
          </xdr:nvGrpSpPr>
          <xdr:grpSpPr>
            <a:xfrm>
              <a:off x="5953" y="1845469"/>
              <a:ext cx="8882063" cy="857250"/>
              <a:chOff x="5953" y="1845469"/>
              <a:chExt cx="8882063" cy="857250"/>
            </a:xfrm>
          </xdr:grpSpPr>
          <xdr:cxnSp macro="">
            <xdr:nvCxnSpPr>
              <xdr:cNvPr id="7" name="Straight Connector 6">
                <a:extLst>
                  <a:ext uri="{FF2B5EF4-FFF2-40B4-BE49-F238E27FC236}">
                    <a16:creationId xmlns:a16="http://schemas.microsoft.com/office/drawing/2014/main" id="{D493BD19-723E-44A4-BC17-4CBA8F3E86E4}"/>
                  </a:ext>
                </a:extLst>
              </xdr:cNvPr>
              <xdr:cNvCxnSpPr/>
            </xdr:nvCxnSpPr>
            <xdr:spPr>
              <a:xfrm>
                <a:off x="5953" y="1845469"/>
                <a:ext cx="791766" cy="845343"/>
              </a:xfrm>
              <a:prstGeom prst="line">
                <a:avLst/>
              </a:prstGeom>
              <a:ln w="19050"/>
            </xdr:spPr>
            <xdr:style>
              <a:lnRef idx="1">
                <a:schemeClr val="accent6"/>
              </a:lnRef>
              <a:fillRef idx="0">
                <a:schemeClr val="accent6"/>
              </a:fillRef>
              <a:effectRef idx="0">
                <a:schemeClr val="accent6"/>
              </a:effectRef>
              <a:fontRef idx="minor">
                <a:schemeClr val="tx1"/>
              </a:fontRef>
            </xdr:style>
          </xdr:cxnSp>
          <xdr:cxnSp macro="">
            <xdr:nvCxnSpPr>
              <xdr:cNvPr id="8" name="Straight Connector 7">
                <a:extLst>
                  <a:ext uri="{FF2B5EF4-FFF2-40B4-BE49-F238E27FC236}">
                    <a16:creationId xmlns:a16="http://schemas.microsoft.com/office/drawing/2014/main" id="{786A48ED-F4B7-41DA-A314-E966ADCF439F}"/>
                  </a:ext>
                </a:extLst>
              </xdr:cNvPr>
              <xdr:cNvCxnSpPr/>
            </xdr:nvCxnSpPr>
            <xdr:spPr>
              <a:xfrm flipV="1">
                <a:off x="797719" y="1857375"/>
                <a:ext cx="1012031" cy="845344"/>
              </a:xfrm>
              <a:prstGeom prst="line">
                <a:avLst/>
              </a:prstGeom>
              <a:ln w="19050"/>
            </xdr:spPr>
            <xdr:style>
              <a:lnRef idx="1">
                <a:schemeClr val="accent6"/>
              </a:lnRef>
              <a:fillRef idx="0">
                <a:schemeClr val="accent6"/>
              </a:fillRef>
              <a:effectRef idx="0">
                <a:schemeClr val="accent6"/>
              </a:effectRef>
              <a:fontRef idx="minor">
                <a:schemeClr val="tx1"/>
              </a:fontRef>
            </xdr:style>
          </xdr:cxnSp>
          <xdr:cxnSp macro="">
            <xdr:nvCxnSpPr>
              <xdr:cNvPr id="9" name="Straight Connector 8">
                <a:extLst>
                  <a:ext uri="{FF2B5EF4-FFF2-40B4-BE49-F238E27FC236}">
                    <a16:creationId xmlns:a16="http://schemas.microsoft.com/office/drawing/2014/main" id="{DB2167F4-8BF6-460F-A5F8-37547317E076}"/>
                  </a:ext>
                </a:extLst>
              </xdr:cNvPr>
              <xdr:cNvCxnSpPr/>
            </xdr:nvCxnSpPr>
            <xdr:spPr>
              <a:xfrm flipV="1">
                <a:off x="1809750" y="1851422"/>
                <a:ext cx="7078266" cy="11906"/>
              </a:xfrm>
              <a:prstGeom prst="line">
                <a:avLst/>
              </a:prstGeom>
              <a:ln w="19050"/>
            </xdr:spPr>
            <xdr:style>
              <a:lnRef idx="1">
                <a:schemeClr val="accent6"/>
              </a:lnRef>
              <a:fillRef idx="0">
                <a:schemeClr val="accent6"/>
              </a:fillRef>
              <a:effectRef idx="0">
                <a:schemeClr val="accent6"/>
              </a:effectRef>
              <a:fontRef idx="minor">
                <a:schemeClr val="tx1"/>
              </a:fontRef>
            </xdr:style>
          </xdr:cxnSp>
        </xdr:grpSp>
      </xdr:grpSp>
      <xdr:pic>
        <xdr:nvPicPr>
          <xdr:cNvPr id="4" name="Picture 3" descr="C:\Users\malvarez\AppData\Local\Microsoft\Windows\Temporary Internet Files\Content.Outlook\IIFWKQ5F\logo OC.jpg">
            <a:extLst>
              <a:ext uri="{FF2B5EF4-FFF2-40B4-BE49-F238E27FC236}">
                <a16:creationId xmlns:a16="http://schemas.microsoft.com/office/drawing/2014/main" id="{6FF90A74-954C-4FFE-8E0F-DBCF1C11B9D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17156" y="192352"/>
            <a:ext cx="2024061" cy="906342"/>
          </a:xfrm>
          <a:prstGeom prst="rect">
            <a:avLst/>
          </a:prstGeom>
          <a:noFill/>
          <a:ln>
            <a:noFill/>
          </a:ln>
        </xdr:spPr>
      </xdr:pic>
    </xdr:grpSp>
    <xdr:clientData/>
  </xdr:twoCellAnchor>
  <xdr:twoCellAnchor>
    <xdr:from>
      <xdr:col>3</xdr:col>
      <xdr:colOff>59531</xdr:colOff>
      <xdr:row>5</xdr:row>
      <xdr:rowOff>1</xdr:rowOff>
    </xdr:from>
    <xdr:to>
      <xdr:col>14</xdr:col>
      <xdr:colOff>506016</xdr:colOff>
      <xdr:row>6</xdr:row>
      <xdr:rowOff>47625</xdr:rowOff>
    </xdr:to>
    <xdr:sp macro="" textlink="">
      <xdr:nvSpPr>
        <xdr:cNvPr id="10" name="TextBox 9">
          <a:extLst>
            <a:ext uri="{FF2B5EF4-FFF2-40B4-BE49-F238E27FC236}">
              <a16:creationId xmlns:a16="http://schemas.microsoft.com/office/drawing/2014/main" id="{D08C4434-815C-4146-9012-1EB51D090149}"/>
            </a:ext>
          </a:extLst>
        </xdr:cNvPr>
        <xdr:cNvSpPr txBox="1"/>
      </xdr:nvSpPr>
      <xdr:spPr>
        <a:xfrm>
          <a:off x="1669256" y="952501"/>
          <a:ext cx="715208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ORGANISMO COORDINADOR DEL SISTEMA ELÉCTRICO NACIONAL INTERCONECTADO DE LA REPÚBLICA DOMINICANA, INC.</a:t>
          </a:r>
        </a:p>
      </xdr:txBody>
    </xdr:sp>
    <xdr:clientData/>
  </xdr:twoCellAnchor>
  <xdr:twoCellAnchor>
    <xdr:from>
      <xdr:col>5</xdr:col>
      <xdr:colOff>426247</xdr:colOff>
      <xdr:row>10</xdr:row>
      <xdr:rowOff>27389</xdr:rowOff>
    </xdr:from>
    <xdr:to>
      <xdr:col>11</xdr:col>
      <xdr:colOff>301229</xdr:colOff>
      <xdr:row>11</xdr:row>
      <xdr:rowOff>92870</xdr:rowOff>
    </xdr:to>
    <xdr:sp macro="" textlink="$O$22">
      <xdr:nvSpPr>
        <xdr:cNvPr id="11" name="TextBox 10">
          <a:extLst>
            <a:ext uri="{FF2B5EF4-FFF2-40B4-BE49-F238E27FC236}">
              <a16:creationId xmlns:a16="http://schemas.microsoft.com/office/drawing/2014/main" id="{DA5A774E-2842-4F49-88B6-35CA21651B84}"/>
            </a:ext>
          </a:extLst>
        </xdr:cNvPr>
        <xdr:cNvSpPr txBox="1"/>
      </xdr:nvSpPr>
      <xdr:spPr>
        <a:xfrm>
          <a:off x="3255172" y="1932389"/>
          <a:ext cx="3532582" cy="25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B1C050-3EA9-4030-8291-D70B9A977374}" type="TxLink">
            <a:rPr lang="en-US" sz="1100" b="0" i="0" u="none" strike="noStrike">
              <a:solidFill>
                <a:schemeClr val="bg1"/>
              </a:solidFill>
              <a:latin typeface="Calibri"/>
              <a:ea typeface="Calibri"/>
              <a:cs typeface="Calibri"/>
            </a:rPr>
            <a:pPr algn="ctr"/>
            <a:t>SEMANA DEL CVP_06-06_12-06-26</a:t>
          </a:fld>
          <a:endParaRPr lang="en-US" sz="1100" b="1">
            <a:solidFill>
              <a:schemeClr val="bg1"/>
            </a:solidFill>
          </a:endParaRPr>
        </a:p>
      </xdr:txBody>
    </xdr:sp>
    <xdr:clientData/>
  </xdr:twoCellAnchor>
  <xdr:twoCellAnchor>
    <xdr:from>
      <xdr:col>3</xdr:col>
      <xdr:colOff>168520</xdr:colOff>
      <xdr:row>7</xdr:row>
      <xdr:rowOff>21981</xdr:rowOff>
    </xdr:from>
    <xdr:to>
      <xdr:col>14</xdr:col>
      <xdr:colOff>219809</xdr:colOff>
      <xdr:row>8</xdr:row>
      <xdr:rowOff>87462</xdr:rowOff>
    </xdr:to>
    <xdr:sp macro="" textlink="">
      <xdr:nvSpPr>
        <xdr:cNvPr id="12" name="TextBox 11">
          <a:extLst>
            <a:ext uri="{FF2B5EF4-FFF2-40B4-BE49-F238E27FC236}">
              <a16:creationId xmlns:a16="http://schemas.microsoft.com/office/drawing/2014/main" id="{7210AFC3-E781-49DC-83ED-ABF24BBA3EF5}"/>
            </a:ext>
          </a:extLst>
        </xdr:cNvPr>
        <xdr:cNvSpPr txBox="1"/>
      </xdr:nvSpPr>
      <xdr:spPr>
        <a:xfrm>
          <a:off x="1778245" y="1355481"/>
          <a:ext cx="6756889" cy="25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tx1"/>
              </a:solidFill>
              <a:latin typeface="+mn-lt"/>
              <a:cs typeface="Gisha"/>
            </a:rPr>
            <a:t>VERIFICACIÓN DE COSTOS VARIABLES DE PRODUCCIÓN</a:t>
          </a:r>
          <a:endParaRPr lang="en-US" sz="600" b="1">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1356704</xdr:colOff>
      <xdr:row>0</xdr:row>
      <xdr:rowOff>95610</xdr:rowOff>
    </xdr:from>
    <xdr:to>
      <xdr:col>6</xdr:col>
      <xdr:colOff>1163719</xdr:colOff>
      <xdr:row>0</xdr:row>
      <xdr:rowOff>1008473</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3579" y="95610"/>
          <a:ext cx="2085939" cy="92048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1665912</xdr:colOff>
      <xdr:row>0</xdr:row>
      <xdr:rowOff>97651</xdr:rowOff>
    </xdr:from>
    <xdr:to>
      <xdr:col>6</xdr:col>
      <xdr:colOff>105693</xdr:colOff>
      <xdr:row>0</xdr:row>
      <xdr:rowOff>1025754</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7441" y="97651"/>
          <a:ext cx="1998412" cy="92048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258536</xdr:colOff>
      <xdr:row>3</xdr:row>
      <xdr:rowOff>47716</xdr:rowOff>
    </xdr:from>
    <xdr:to>
      <xdr:col>37</xdr:col>
      <xdr:colOff>312964</xdr:colOff>
      <xdr:row>23</xdr:row>
      <xdr:rowOff>149678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500500</xdr:colOff>
      <xdr:row>0</xdr:row>
      <xdr:rowOff>97651</xdr:rowOff>
    </xdr:from>
    <xdr:to>
      <xdr:col>7</xdr:col>
      <xdr:colOff>741267</xdr:colOff>
      <xdr:row>0</xdr:row>
      <xdr:rowOff>1008609</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3853" y="97651"/>
          <a:ext cx="1953587" cy="92048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1126429</xdr:colOff>
      <xdr:row>0</xdr:row>
      <xdr:rowOff>136073</xdr:rowOff>
    </xdr:from>
    <xdr:to>
      <xdr:col>8</xdr:col>
      <xdr:colOff>1079448</xdr:colOff>
      <xdr:row>0</xdr:row>
      <xdr:rowOff>1054651</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036" y="136073"/>
          <a:ext cx="2072227" cy="92048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martich\Desktop\Prueba%20base%20con%20Kaizen\Diario\4.Agregar%20Caribe%20Glass\MODOM_DIARIO_dd-mm-yyyy_V24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Gerencia%20Operaciones\3.PROGRAMACION\1.CASOS%20BASES\1.MODOM\1.DIARIO\ARCHIVO%20DE%20EXCEL\MODOM_DIARIO_dd-mm-yyyy_V1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S\nas02\Gerencia%20Operaciones\3.PROGRAMACION\1.CASOS%20BASES\1.MODOM\2.SEMANAL\ARCHIVO%20DE%20EXCEL\MODOM_PSO_dd-mm_dd-mm-yyyy_16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AS\nas02\Gerencia%20Operaciones\3.PROGRAMACION\3.PROGRAMA%20DE%20PREDESPACHO\03%20BASE%20PREDESPACHO%20SEMANAL%20(09-01_15-01-16).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ANIEL\PDNRM%20-%20DANIEL\05.%20PRUEBAS\4.OPF\4.%20V_12\42-Generador%20de%20Archivo%20Dole%20SENI_(SC)_10-10-2017.xlsm"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emanda%20Activa%20Declarad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IQUETA"/>
      <sheetName val="Menu"/>
      <sheetName val="DESPACHO EN OM"/>
      <sheetName val="e_datgen"/>
      <sheetName val="e_datdem"/>
      <sheetName val="e_datmnx"/>
      <sheetName val="e_datgrpf"/>
      <sheetName val="e_datred"/>
      <sheetName val="e_modred"/>
      <sheetName val="e_opcn"/>
      <sheetName val="e_hidro"/>
      <sheetName val="e_fgate"/>
      <sheetName val="e_sets"/>
      <sheetName val="S_FWGATE"/>
      <sheetName val="S_FLUJO"/>
      <sheetName val="S_PNSU"/>
      <sheetName val="S_FNODO"/>
      <sheetName val="RFRIA"/>
      <sheetName val="PForz"/>
      <sheetName val="Lista de Mérito"/>
      <sheetName val="CVP"/>
      <sheetName val="SIE 039-2013"/>
      <sheetName val="Mantenimientos Red Transmision"/>
      <sheetName val="Reporte de Disponibilidad"/>
      <sheetName val="DEMANDA SENI"/>
      <sheetName val="Pronostico Renovable"/>
      <sheetName val="Pronostico GIZ"/>
      <sheetName val="Reporte de Indisponibilidad"/>
      <sheetName val="S_DESPACHOM"/>
      <sheetName val="s_resumen"/>
      <sheetName val="Despacho Potencia"/>
      <sheetName val="Información Recibida"/>
      <sheetName val="Despacho de Reserva RPF"/>
      <sheetName val="Despacho de Reserva RSF"/>
      <sheetName val="Reporte Reserva Operativa"/>
      <sheetName val="Reporte Reserva Fria"/>
      <sheetName val="Factores de Nodo (Inyección)"/>
      <sheetName val="Factores de Nodo (Retiro)"/>
      <sheetName val="S_NEMBALSE"/>
      <sheetName val="e_opf"/>
      <sheetName val="e_AreaTrafoSet"/>
      <sheetName val="e_TapSetPoints"/>
      <sheetName val="e_Pload"/>
      <sheetName val="e_Qload"/>
      <sheetName val="S_ASIGRPF"/>
      <sheetName val="Acuerdos de cobertura"/>
      <sheetName val="Listing"/>
      <sheetName val="S_RPF"/>
      <sheetName val="S_ACRPF"/>
      <sheetName val="S_RSF"/>
      <sheetName val="S_PENSB"/>
      <sheetName val="FLUJO_ACTIVA"/>
      <sheetName val="FLUJO_REACTIVA"/>
      <sheetName val="GEN_Q"/>
      <sheetName val="P_ENS"/>
      <sheetName val="Q_ENS"/>
      <sheetName val="TAPS"/>
      <sheetName val="VOLTAJE"/>
      <sheetName val="CAPACITORES"/>
      <sheetName val="ROPERATIVA"/>
      <sheetName val="varstado"/>
      <sheetName val="generadores"/>
      <sheetName val="Reporte"/>
      <sheetName val="Analisis de Estabilidad"/>
      <sheetName val="Detalle de los Redespachos"/>
      <sheetName val="s_lmerito"/>
      <sheetName val="RTERM"/>
      <sheetName val="DESPACHO_MOTOR"/>
      <sheetName val="Despacho de Potencia Reactiva"/>
      <sheetName val="Voltaje por barras"/>
      <sheetName val="Detalle de Subsistemas"/>
      <sheetName val="PDemanda"/>
      <sheetName val="QDemanda"/>
      <sheetName val="Demanda Activa por cargas"/>
      <sheetName val="Demanda Reactiva por cargas"/>
      <sheetName val="DEMANDA SENI - DECLARADA"/>
      <sheetName val="Demanda Activa por cargas - DEC"/>
      <sheetName val="Demanda Reactiva por cargas DEC"/>
      <sheetName val="PDemanda_Declarado"/>
      <sheetName val="QDemanda_Declarado"/>
      <sheetName val="e_Qload_Declarado"/>
      <sheetName val="e_datdem_Declarado"/>
      <sheetName val="Barras (Zonas)"/>
      <sheetName val="Centrales (Zonas)"/>
      <sheetName val="MAPEO TODAS LAS BARRAS"/>
      <sheetName val="MAPEO CENTRALES DE GENERACION"/>
      <sheetName val="DR ITABO"/>
      <sheetName val="CMG"/>
      <sheetName val="RF Tiempo Real"/>
      <sheetName val="Pruebas operativas"/>
      <sheetName val="DATA_GRAFICOS"/>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502">
          <cell r="B502" t="str">
            <v xml:space="preserve">G3TAVER1    </v>
          </cell>
          <cell r="C502" t="str">
            <v>TAVERA 1</v>
          </cell>
          <cell r="D502">
            <v>0</v>
          </cell>
          <cell r="E502">
            <v>0</v>
          </cell>
          <cell r="F502">
            <v>0</v>
          </cell>
          <cell r="G502">
            <v>0</v>
          </cell>
          <cell r="H502">
            <v>0</v>
          </cell>
          <cell r="I502">
            <v>0</v>
          </cell>
          <cell r="J502">
            <v>0</v>
          </cell>
          <cell r="K502">
            <v>0</v>
          </cell>
          <cell r="L502">
            <v>41.9</v>
          </cell>
          <cell r="M502">
            <v>41.9</v>
          </cell>
          <cell r="N502">
            <v>41.9</v>
          </cell>
          <cell r="O502">
            <v>41.9</v>
          </cell>
          <cell r="P502">
            <v>0</v>
          </cell>
          <cell r="Q502">
            <v>0</v>
          </cell>
          <cell r="R502">
            <v>0</v>
          </cell>
          <cell r="S502">
            <v>0</v>
          </cell>
          <cell r="T502">
            <v>0</v>
          </cell>
          <cell r="U502">
            <v>0</v>
          </cell>
          <cell r="V502">
            <v>41.9</v>
          </cell>
          <cell r="W502">
            <v>41.9</v>
          </cell>
          <cell r="X502">
            <v>41.9</v>
          </cell>
          <cell r="Y502">
            <v>41.9</v>
          </cell>
          <cell r="Z502">
            <v>41.9</v>
          </cell>
          <cell r="AA502">
            <v>41.9</v>
          </cell>
        </row>
        <row r="503">
          <cell r="B503" t="str">
            <v xml:space="preserve">G3TAVER2    </v>
          </cell>
          <cell r="C503" t="str">
            <v>TAVERA 2</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row>
        <row r="504">
          <cell r="B504" t="str">
            <v xml:space="preserve">G3JIGUE1    </v>
          </cell>
          <cell r="C504" t="str">
            <v>JIGUEY 1</v>
          </cell>
          <cell r="D504">
            <v>0</v>
          </cell>
          <cell r="E504">
            <v>0</v>
          </cell>
          <cell r="F504">
            <v>0</v>
          </cell>
          <cell r="G504">
            <v>0</v>
          </cell>
          <cell r="H504">
            <v>0</v>
          </cell>
          <cell r="I504">
            <v>0</v>
          </cell>
          <cell r="J504">
            <v>0</v>
          </cell>
          <cell r="K504">
            <v>0</v>
          </cell>
          <cell r="L504">
            <v>46.56</v>
          </cell>
          <cell r="M504">
            <v>46.56</v>
          </cell>
          <cell r="N504">
            <v>45.7</v>
          </cell>
          <cell r="O504">
            <v>45.7</v>
          </cell>
          <cell r="P504">
            <v>0</v>
          </cell>
          <cell r="Q504">
            <v>0</v>
          </cell>
          <cell r="R504">
            <v>0</v>
          </cell>
          <cell r="S504">
            <v>0</v>
          </cell>
          <cell r="T504">
            <v>0</v>
          </cell>
          <cell r="U504">
            <v>0</v>
          </cell>
          <cell r="V504">
            <v>46.56</v>
          </cell>
          <cell r="W504">
            <v>46.56</v>
          </cell>
          <cell r="X504">
            <v>46.56</v>
          </cell>
          <cell r="Y504">
            <v>46.56</v>
          </cell>
          <cell r="Z504">
            <v>46.56</v>
          </cell>
          <cell r="AA504">
            <v>46.56</v>
          </cell>
        </row>
        <row r="505">
          <cell r="B505" t="str">
            <v xml:space="preserve">G3JIGUE2    </v>
          </cell>
          <cell r="C505" t="str">
            <v>JIGUEY 2</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row>
        <row r="506">
          <cell r="B506" t="str">
            <v xml:space="preserve">G3AGUAC1    </v>
          </cell>
          <cell r="C506" t="str">
            <v>AGUACATE 1</v>
          </cell>
          <cell r="D506">
            <v>0</v>
          </cell>
          <cell r="E506">
            <v>0</v>
          </cell>
          <cell r="F506">
            <v>0</v>
          </cell>
          <cell r="G506">
            <v>0</v>
          </cell>
          <cell r="H506">
            <v>0</v>
          </cell>
          <cell r="I506">
            <v>0</v>
          </cell>
          <cell r="J506">
            <v>0</v>
          </cell>
          <cell r="K506">
            <v>0</v>
          </cell>
          <cell r="L506">
            <v>27.16</v>
          </cell>
          <cell r="M506">
            <v>27.16</v>
          </cell>
          <cell r="N506">
            <v>27.04</v>
          </cell>
          <cell r="O506">
            <v>25</v>
          </cell>
          <cell r="P506">
            <v>25</v>
          </cell>
          <cell r="Q506">
            <v>25</v>
          </cell>
          <cell r="R506">
            <v>25</v>
          </cell>
          <cell r="S506">
            <v>25</v>
          </cell>
          <cell r="T506">
            <v>25</v>
          </cell>
          <cell r="U506">
            <v>25</v>
          </cell>
          <cell r="V506">
            <v>25</v>
          </cell>
          <cell r="W506">
            <v>27.16</v>
          </cell>
          <cell r="X506">
            <v>27.16</v>
          </cell>
          <cell r="Y506">
            <v>27.16</v>
          </cell>
          <cell r="Z506">
            <v>27.16</v>
          </cell>
          <cell r="AA506">
            <v>25</v>
          </cell>
        </row>
        <row r="507">
          <cell r="B507" t="str">
            <v xml:space="preserve">G3AGUAC2    </v>
          </cell>
          <cell r="C507" t="str">
            <v>AGUACATE 2</v>
          </cell>
          <cell r="D507">
            <v>26.19</v>
          </cell>
          <cell r="E507">
            <v>26.19</v>
          </cell>
          <cell r="F507">
            <v>26.19</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row>
        <row r="508">
          <cell r="B508" t="str">
            <v xml:space="preserve">G3VALDE1    </v>
          </cell>
          <cell r="C508" t="str">
            <v>VALDESIA 1</v>
          </cell>
          <cell r="D508">
            <v>0</v>
          </cell>
          <cell r="E508">
            <v>0</v>
          </cell>
          <cell r="F508">
            <v>0</v>
          </cell>
          <cell r="G508">
            <v>0</v>
          </cell>
          <cell r="H508">
            <v>0</v>
          </cell>
          <cell r="I508">
            <v>0</v>
          </cell>
          <cell r="J508">
            <v>0</v>
          </cell>
          <cell r="K508">
            <v>23</v>
          </cell>
          <cell r="L508">
            <v>24.25</v>
          </cell>
          <cell r="M508">
            <v>24.25</v>
          </cell>
          <cell r="N508">
            <v>0</v>
          </cell>
          <cell r="O508">
            <v>0</v>
          </cell>
          <cell r="P508">
            <v>0</v>
          </cell>
          <cell r="Q508">
            <v>0</v>
          </cell>
          <cell r="R508">
            <v>0</v>
          </cell>
          <cell r="S508">
            <v>0</v>
          </cell>
          <cell r="T508">
            <v>0</v>
          </cell>
          <cell r="U508">
            <v>0</v>
          </cell>
          <cell r="V508">
            <v>24.25</v>
          </cell>
          <cell r="W508">
            <v>24.25</v>
          </cell>
          <cell r="X508">
            <v>24.25</v>
          </cell>
          <cell r="Y508">
            <v>24.25</v>
          </cell>
          <cell r="Z508">
            <v>24.25</v>
          </cell>
          <cell r="AA508">
            <v>0</v>
          </cell>
        </row>
        <row r="509">
          <cell r="B509" t="str">
            <v xml:space="preserve">G3VALDE2    </v>
          </cell>
          <cell r="C509" t="str">
            <v>VALDESIA 2</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row>
        <row r="510">
          <cell r="B510" t="str">
            <v xml:space="preserve">G3RBLAN1    </v>
          </cell>
          <cell r="C510" t="str">
            <v>RIO BLANCO 1</v>
          </cell>
          <cell r="D510">
            <v>12.13</v>
          </cell>
          <cell r="E510">
            <v>12.13</v>
          </cell>
          <cell r="F510">
            <v>12.13</v>
          </cell>
          <cell r="G510">
            <v>11.5</v>
          </cell>
          <cell r="H510">
            <v>11.5</v>
          </cell>
          <cell r="I510">
            <v>11.5</v>
          </cell>
          <cell r="J510">
            <v>11.5</v>
          </cell>
          <cell r="K510">
            <v>11.5</v>
          </cell>
          <cell r="L510">
            <v>12.13</v>
          </cell>
          <cell r="M510">
            <v>12.13</v>
          </cell>
          <cell r="N510">
            <v>12.13</v>
          </cell>
          <cell r="O510">
            <v>12.13</v>
          </cell>
          <cell r="P510">
            <v>11.79</v>
          </cell>
          <cell r="Q510">
            <v>11.79</v>
          </cell>
          <cell r="R510">
            <v>11.79</v>
          </cell>
          <cell r="S510">
            <v>11.79</v>
          </cell>
          <cell r="T510">
            <v>11.79</v>
          </cell>
          <cell r="U510">
            <v>11.75</v>
          </cell>
          <cell r="V510">
            <v>12.13</v>
          </cell>
          <cell r="W510">
            <v>12.13</v>
          </cell>
          <cell r="X510">
            <v>12.13</v>
          </cell>
          <cell r="Y510">
            <v>12.13</v>
          </cell>
          <cell r="Z510">
            <v>12.13</v>
          </cell>
          <cell r="AA510">
            <v>12.13</v>
          </cell>
        </row>
        <row r="511">
          <cell r="B511" t="str">
            <v xml:space="preserve">G3RBLAN2    </v>
          </cell>
          <cell r="C511" t="str">
            <v>RIO BLANCO 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row>
        <row r="512">
          <cell r="B512" t="str">
            <v xml:space="preserve">G3MONCI1    </v>
          </cell>
          <cell r="C512" t="str">
            <v>MONCION 1</v>
          </cell>
          <cell r="D512">
            <v>0</v>
          </cell>
          <cell r="E512">
            <v>0</v>
          </cell>
          <cell r="F512">
            <v>0</v>
          </cell>
          <cell r="G512">
            <v>0</v>
          </cell>
          <cell r="H512">
            <v>0</v>
          </cell>
          <cell r="I512">
            <v>0</v>
          </cell>
          <cell r="J512">
            <v>0</v>
          </cell>
          <cell r="K512">
            <v>0</v>
          </cell>
          <cell r="L512">
            <v>21.34</v>
          </cell>
          <cell r="M512">
            <v>21.34</v>
          </cell>
          <cell r="N512">
            <v>21.34</v>
          </cell>
          <cell r="O512">
            <v>20.91</v>
          </cell>
          <cell r="P512">
            <v>19.5</v>
          </cell>
          <cell r="Q512">
            <v>19.5</v>
          </cell>
          <cell r="R512">
            <v>19.5</v>
          </cell>
          <cell r="S512">
            <v>19.5</v>
          </cell>
          <cell r="T512">
            <v>19.5</v>
          </cell>
          <cell r="U512">
            <v>19.5</v>
          </cell>
          <cell r="V512">
            <v>20.88</v>
          </cell>
          <cell r="W512">
            <v>21.34</v>
          </cell>
          <cell r="X512">
            <v>21.34</v>
          </cell>
          <cell r="Y512">
            <v>21.34</v>
          </cell>
          <cell r="Z512">
            <v>21.34</v>
          </cell>
          <cell r="AA512">
            <v>20.88</v>
          </cell>
        </row>
        <row r="513">
          <cell r="B513" t="str">
            <v xml:space="preserve">G3MONCI2    </v>
          </cell>
          <cell r="C513" t="str">
            <v>MONCION 2</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row>
        <row r="514">
          <cell r="B514" t="str">
            <v xml:space="preserve">G3LANGOS    </v>
          </cell>
          <cell r="C514" t="str">
            <v>LOPEZ ANGOSTURA</v>
          </cell>
          <cell r="D514">
            <v>6.31</v>
          </cell>
          <cell r="E514">
            <v>6.31</v>
          </cell>
          <cell r="F514">
            <v>6.31</v>
          </cell>
          <cell r="G514">
            <v>6</v>
          </cell>
          <cell r="H514">
            <v>6</v>
          </cell>
          <cell r="I514">
            <v>6</v>
          </cell>
          <cell r="J514">
            <v>6</v>
          </cell>
          <cell r="K514">
            <v>6.31</v>
          </cell>
          <cell r="L514">
            <v>6.31</v>
          </cell>
          <cell r="M514">
            <v>6.31</v>
          </cell>
          <cell r="N514">
            <v>6.31</v>
          </cell>
          <cell r="O514">
            <v>6.31</v>
          </cell>
          <cell r="P514">
            <v>6.31</v>
          </cell>
          <cell r="Q514">
            <v>6.06</v>
          </cell>
          <cell r="R514">
            <v>6.31</v>
          </cell>
          <cell r="S514">
            <v>6.31</v>
          </cell>
          <cell r="T514">
            <v>6.31</v>
          </cell>
          <cell r="U514">
            <v>6.31</v>
          </cell>
          <cell r="V514">
            <v>6.31</v>
          </cell>
          <cell r="W514">
            <v>6.31</v>
          </cell>
          <cell r="X514">
            <v>6.31</v>
          </cell>
          <cell r="Y514">
            <v>6.31</v>
          </cell>
          <cell r="Z514">
            <v>6.31</v>
          </cell>
          <cell r="AA514">
            <v>6.31</v>
          </cell>
        </row>
        <row r="515">
          <cell r="B515" t="str">
            <v xml:space="preserve">G3CEMON1    </v>
          </cell>
          <cell r="C515" t="str">
            <v>CONTRA EMBALSE MONCION 1</v>
          </cell>
          <cell r="D515">
            <v>0.8</v>
          </cell>
          <cell r="E515">
            <v>0.8</v>
          </cell>
          <cell r="F515">
            <v>0.8</v>
          </cell>
          <cell r="G515">
            <v>0.8</v>
          </cell>
          <cell r="H515">
            <v>0.8</v>
          </cell>
          <cell r="I515">
            <v>0.8</v>
          </cell>
          <cell r="J515">
            <v>0.8</v>
          </cell>
          <cell r="K515">
            <v>0.8</v>
          </cell>
          <cell r="L515">
            <v>0.8</v>
          </cell>
          <cell r="M515">
            <v>0.8</v>
          </cell>
          <cell r="N515">
            <v>0.8</v>
          </cell>
          <cell r="O515">
            <v>0.8</v>
          </cell>
          <cell r="P515">
            <v>0.8</v>
          </cell>
          <cell r="Q515">
            <v>0.8</v>
          </cell>
          <cell r="R515">
            <v>0.8</v>
          </cell>
          <cell r="S515">
            <v>0.8</v>
          </cell>
          <cell r="T515">
            <v>0.8</v>
          </cell>
          <cell r="U515">
            <v>0.8</v>
          </cell>
          <cell r="V515">
            <v>0.8</v>
          </cell>
          <cell r="W515">
            <v>0.8</v>
          </cell>
          <cell r="X515">
            <v>0.8</v>
          </cell>
          <cell r="Y515">
            <v>0.8</v>
          </cell>
          <cell r="Z515">
            <v>0.8</v>
          </cell>
          <cell r="AA515">
            <v>0.8</v>
          </cell>
        </row>
        <row r="516">
          <cell r="B516" t="str">
            <v xml:space="preserve">G3CEMON2    </v>
          </cell>
          <cell r="C516" t="str">
            <v>CONTRA EMBALSE MONCION 2</v>
          </cell>
          <cell r="D516">
            <v>0.8</v>
          </cell>
          <cell r="E516">
            <v>0.8</v>
          </cell>
          <cell r="F516">
            <v>0.8</v>
          </cell>
          <cell r="G516">
            <v>0.8</v>
          </cell>
          <cell r="H516">
            <v>0.8</v>
          </cell>
          <cell r="I516">
            <v>0.8</v>
          </cell>
          <cell r="J516">
            <v>0.8</v>
          </cell>
          <cell r="K516">
            <v>0.8</v>
          </cell>
          <cell r="L516">
            <v>0.8</v>
          </cell>
          <cell r="M516">
            <v>0.8</v>
          </cell>
          <cell r="N516">
            <v>0.8</v>
          </cell>
          <cell r="O516">
            <v>0.8</v>
          </cell>
          <cell r="P516">
            <v>0.8</v>
          </cell>
          <cell r="Q516">
            <v>0.8</v>
          </cell>
          <cell r="R516">
            <v>0.8</v>
          </cell>
          <cell r="S516">
            <v>0.8</v>
          </cell>
          <cell r="T516">
            <v>0.8</v>
          </cell>
          <cell r="U516">
            <v>0.8</v>
          </cell>
          <cell r="V516">
            <v>0.8</v>
          </cell>
          <cell r="W516">
            <v>0.8</v>
          </cell>
          <cell r="X516">
            <v>0.8</v>
          </cell>
          <cell r="Y516">
            <v>0.8</v>
          </cell>
          <cell r="Z516">
            <v>0.8</v>
          </cell>
          <cell r="AA516">
            <v>0.8</v>
          </cell>
        </row>
        <row r="517">
          <cell r="B517" t="str">
            <v xml:space="preserve">G3BAIGU1    </v>
          </cell>
          <cell r="C517" t="str">
            <v>BAIGUAQUE 1</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row>
        <row r="518">
          <cell r="B518" t="str">
            <v xml:space="preserve">G3BAIGU2    </v>
          </cell>
          <cell r="C518" t="str">
            <v>BAIGUAQUE 2</v>
          </cell>
          <cell r="D518">
            <v>0.2</v>
          </cell>
          <cell r="E518">
            <v>0.2</v>
          </cell>
          <cell r="F518">
            <v>0.2</v>
          </cell>
          <cell r="G518">
            <v>0.2</v>
          </cell>
          <cell r="H518">
            <v>0.2</v>
          </cell>
          <cell r="I518">
            <v>0.2</v>
          </cell>
          <cell r="J518">
            <v>0.2</v>
          </cell>
          <cell r="K518">
            <v>0.2</v>
          </cell>
          <cell r="L518">
            <v>0.2</v>
          </cell>
          <cell r="M518">
            <v>0.2</v>
          </cell>
          <cell r="N518">
            <v>0.2</v>
          </cell>
          <cell r="O518">
            <v>0.2</v>
          </cell>
          <cell r="P518">
            <v>0.2</v>
          </cell>
          <cell r="Q518">
            <v>0.2</v>
          </cell>
          <cell r="R518">
            <v>0.2</v>
          </cell>
          <cell r="S518">
            <v>0.2</v>
          </cell>
          <cell r="T518">
            <v>0.2</v>
          </cell>
          <cell r="U518">
            <v>0.2</v>
          </cell>
          <cell r="V518">
            <v>0.2</v>
          </cell>
          <cell r="W518">
            <v>0.2</v>
          </cell>
          <cell r="X518">
            <v>0.2</v>
          </cell>
          <cell r="Y518">
            <v>0.2</v>
          </cell>
          <cell r="Z518">
            <v>0.2</v>
          </cell>
          <cell r="AA518">
            <v>0.2</v>
          </cell>
        </row>
        <row r="519">
          <cell r="B519" t="str">
            <v xml:space="preserve">G3RINCON    </v>
          </cell>
          <cell r="C519" t="str">
            <v>RINCON</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row>
        <row r="520">
          <cell r="B520" t="str">
            <v xml:space="preserve">G3HATILL    </v>
          </cell>
          <cell r="C520" t="str">
            <v>HATILLO</v>
          </cell>
          <cell r="D520">
            <v>7.76</v>
          </cell>
          <cell r="E520">
            <v>7.76</v>
          </cell>
          <cell r="F520">
            <v>7.76</v>
          </cell>
          <cell r="G520">
            <v>7.72</v>
          </cell>
          <cell r="H520">
            <v>7.72</v>
          </cell>
          <cell r="I520">
            <v>7.72</v>
          </cell>
          <cell r="J520">
            <v>7.72</v>
          </cell>
          <cell r="K520">
            <v>7.76</v>
          </cell>
          <cell r="L520">
            <v>4.24</v>
          </cell>
          <cell r="M520">
            <v>0</v>
          </cell>
          <cell r="N520">
            <v>0</v>
          </cell>
          <cell r="O520">
            <v>0</v>
          </cell>
          <cell r="P520">
            <v>4.24</v>
          </cell>
          <cell r="Q520">
            <v>0</v>
          </cell>
          <cell r="R520">
            <v>0</v>
          </cell>
          <cell r="S520">
            <v>7.76</v>
          </cell>
          <cell r="T520">
            <v>7.76</v>
          </cell>
          <cell r="U520">
            <v>7.76</v>
          </cell>
          <cell r="V520">
            <v>7.76</v>
          </cell>
          <cell r="W520">
            <v>7.76</v>
          </cell>
          <cell r="X520">
            <v>7.76</v>
          </cell>
          <cell r="Y520">
            <v>6.37</v>
          </cell>
          <cell r="Z520">
            <v>7.76</v>
          </cell>
          <cell r="AA520">
            <v>7.76</v>
          </cell>
        </row>
        <row r="521">
          <cell r="B521" t="str">
            <v xml:space="preserve">G3HATIL2    </v>
          </cell>
          <cell r="C521" t="str">
            <v>HATILLO 2</v>
          </cell>
          <cell r="D521">
            <v>5</v>
          </cell>
          <cell r="E521">
            <v>5</v>
          </cell>
          <cell r="F521">
            <v>5</v>
          </cell>
          <cell r="G521">
            <v>5</v>
          </cell>
          <cell r="H521">
            <v>5</v>
          </cell>
          <cell r="I521">
            <v>5</v>
          </cell>
          <cell r="J521">
            <v>4.75</v>
          </cell>
          <cell r="K521">
            <v>5</v>
          </cell>
          <cell r="L521">
            <v>3.45</v>
          </cell>
          <cell r="M521">
            <v>5</v>
          </cell>
          <cell r="N521">
            <v>5</v>
          </cell>
          <cell r="O521">
            <v>5</v>
          </cell>
          <cell r="P521">
            <v>3.4</v>
          </cell>
          <cell r="Q521">
            <v>5</v>
          </cell>
          <cell r="R521">
            <v>5</v>
          </cell>
          <cell r="S521">
            <v>4.37</v>
          </cell>
          <cell r="T521">
            <v>5</v>
          </cell>
          <cell r="U521">
            <v>5</v>
          </cell>
          <cell r="V521">
            <v>5</v>
          </cell>
          <cell r="W521">
            <v>5</v>
          </cell>
          <cell r="X521">
            <v>3.98</v>
          </cell>
          <cell r="Y521">
            <v>5</v>
          </cell>
          <cell r="Z521">
            <v>3.67</v>
          </cell>
          <cell r="AA521">
            <v>5</v>
          </cell>
        </row>
        <row r="522">
          <cell r="B522" t="str">
            <v xml:space="preserve">G3JIMENO    </v>
          </cell>
          <cell r="C522" t="str">
            <v>JIMENOA</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row>
        <row r="523">
          <cell r="B523" t="str">
            <v xml:space="preserve">G3ESALTO    </v>
          </cell>
          <cell r="C523" t="str">
            <v>EL SALTO</v>
          </cell>
          <cell r="D523">
            <v>0.4</v>
          </cell>
          <cell r="E523">
            <v>0.4</v>
          </cell>
          <cell r="F523">
            <v>0.4</v>
          </cell>
          <cell r="G523">
            <v>0.4</v>
          </cell>
          <cell r="H523">
            <v>0.4</v>
          </cell>
          <cell r="I523">
            <v>0.4</v>
          </cell>
          <cell r="J523">
            <v>0.4</v>
          </cell>
          <cell r="K523">
            <v>0.4</v>
          </cell>
          <cell r="L523">
            <v>0.4</v>
          </cell>
          <cell r="M523">
            <v>0.4</v>
          </cell>
          <cell r="N523">
            <v>0.4</v>
          </cell>
          <cell r="O523">
            <v>0.4</v>
          </cell>
          <cell r="P523">
            <v>0.4</v>
          </cell>
          <cell r="Q523">
            <v>0.4</v>
          </cell>
          <cell r="R523">
            <v>0.4</v>
          </cell>
          <cell r="S523">
            <v>0.4</v>
          </cell>
          <cell r="T523">
            <v>0.4</v>
          </cell>
          <cell r="U523">
            <v>0.4</v>
          </cell>
          <cell r="V523">
            <v>0.4</v>
          </cell>
          <cell r="W523">
            <v>0.4</v>
          </cell>
          <cell r="X523">
            <v>0.4</v>
          </cell>
          <cell r="Y523">
            <v>0.4</v>
          </cell>
          <cell r="Z523">
            <v>0.4</v>
          </cell>
          <cell r="AA523">
            <v>0.4</v>
          </cell>
        </row>
        <row r="524">
          <cell r="B524" t="str">
            <v xml:space="preserve">G3NNAJAY    </v>
          </cell>
          <cell r="C524" t="str">
            <v>NIZAO NAJAYO</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B525" t="str">
            <v xml:space="preserve">G3LANONE    </v>
          </cell>
          <cell r="C525" t="str">
            <v>LOS ANONES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row>
        <row r="526">
          <cell r="B526" t="str">
            <v xml:space="preserve">G3SYEGUA    </v>
          </cell>
          <cell r="C526" t="str">
            <v>SABANA YEGUA</v>
          </cell>
          <cell r="D526">
            <v>9.5</v>
          </cell>
          <cell r="E526">
            <v>9.5</v>
          </cell>
          <cell r="F526">
            <v>9.5</v>
          </cell>
          <cell r="G526">
            <v>9.5</v>
          </cell>
          <cell r="H526">
            <v>9.5</v>
          </cell>
          <cell r="I526">
            <v>9.5</v>
          </cell>
          <cell r="J526">
            <v>9.5</v>
          </cell>
          <cell r="K526">
            <v>9.5</v>
          </cell>
          <cell r="L526">
            <v>9.5</v>
          </cell>
          <cell r="M526">
            <v>9.5</v>
          </cell>
          <cell r="N526">
            <v>9.5</v>
          </cell>
          <cell r="O526">
            <v>9.5</v>
          </cell>
          <cell r="P526">
            <v>9.5</v>
          </cell>
          <cell r="Q526">
            <v>9.5</v>
          </cell>
          <cell r="R526">
            <v>9.5</v>
          </cell>
          <cell r="S526">
            <v>9.5</v>
          </cell>
          <cell r="T526">
            <v>9.5</v>
          </cell>
          <cell r="U526">
            <v>9.5</v>
          </cell>
          <cell r="V526">
            <v>9.5</v>
          </cell>
          <cell r="W526">
            <v>9.5</v>
          </cell>
          <cell r="X526">
            <v>9.5</v>
          </cell>
          <cell r="Y526">
            <v>9.5</v>
          </cell>
          <cell r="Z526">
            <v>9.5</v>
          </cell>
          <cell r="AA526">
            <v>9.5</v>
          </cell>
        </row>
        <row r="527">
          <cell r="B527" t="str">
            <v xml:space="preserve">G3SABANE    </v>
          </cell>
          <cell r="C527" t="str">
            <v>SABANETA</v>
          </cell>
          <cell r="D527">
            <v>4.8499999999999996</v>
          </cell>
          <cell r="E527">
            <v>4.8499999999999996</v>
          </cell>
          <cell r="F527">
            <v>4.8499999999999996</v>
          </cell>
          <cell r="G527">
            <v>4.8499999999999996</v>
          </cell>
          <cell r="H527">
            <v>4.8499999999999996</v>
          </cell>
          <cell r="I527">
            <v>4.8499999999999996</v>
          </cell>
          <cell r="J527">
            <v>4.8</v>
          </cell>
          <cell r="K527">
            <v>4.8</v>
          </cell>
          <cell r="L527">
            <v>4.8499999999999996</v>
          </cell>
          <cell r="M527">
            <v>4.8499999999999996</v>
          </cell>
          <cell r="N527">
            <v>4.8499999999999996</v>
          </cell>
          <cell r="O527">
            <v>4.8499999999999996</v>
          </cell>
          <cell r="P527">
            <v>4.8499999999999996</v>
          </cell>
          <cell r="Q527">
            <v>4.8499999999999996</v>
          </cell>
          <cell r="R527">
            <v>4.8499999999999996</v>
          </cell>
          <cell r="S527">
            <v>4.8499999999999996</v>
          </cell>
          <cell r="T527">
            <v>4.8499999999999996</v>
          </cell>
          <cell r="U527">
            <v>4.8499999999999996</v>
          </cell>
          <cell r="V527">
            <v>4.8499999999999996</v>
          </cell>
          <cell r="W527">
            <v>4.8499999999999996</v>
          </cell>
          <cell r="X527">
            <v>4.8499999999999996</v>
          </cell>
          <cell r="Y527">
            <v>4.8499999999999996</v>
          </cell>
          <cell r="Z527">
            <v>4.8499999999999996</v>
          </cell>
          <cell r="AA527">
            <v>4.8499999999999996</v>
          </cell>
        </row>
        <row r="528">
          <cell r="B528" t="str">
            <v xml:space="preserve">G3LDAMAS    </v>
          </cell>
          <cell r="C528" t="str">
            <v>LAS DAMAS</v>
          </cell>
          <cell r="D528">
            <v>1.55</v>
          </cell>
          <cell r="E528">
            <v>1.55</v>
          </cell>
          <cell r="F528">
            <v>1.55</v>
          </cell>
          <cell r="G528">
            <v>1.55</v>
          </cell>
          <cell r="H528">
            <v>1.55</v>
          </cell>
          <cell r="I528">
            <v>1.55</v>
          </cell>
          <cell r="J528">
            <v>1.5</v>
          </cell>
          <cell r="K528">
            <v>1.5</v>
          </cell>
          <cell r="L528">
            <v>1.55</v>
          </cell>
          <cell r="M528">
            <v>1.55</v>
          </cell>
          <cell r="N528">
            <v>1.55</v>
          </cell>
          <cell r="O528">
            <v>1.55</v>
          </cell>
          <cell r="P528">
            <v>1.55</v>
          </cell>
          <cell r="Q528">
            <v>1.55</v>
          </cell>
          <cell r="R528">
            <v>1.55</v>
          </cell>
          <cell r="S528">
            <v>1.55</v>
          </cell>
          <cell r="T528">
            <v>1.55</v>
          </cell>
          <cell r="U528">
            <v>1.55</v>
          </cell>
          <cell r="V528">
            <v>1.55</v>
          </cell>
          <cell r="W528">
            <v>1.55</v>
          </cell>
          <cell r="X528">
            <v>1.55</v>
          </cell>
          <cell r="Y528">
            <v>1.55</v>
          </cell>
          <cell r="Z528">
            <v>1.55</v>
          </cell>
          <cell r="AA528">
            <v>1.55</v>
          </cell>
        </row>
        <row r="529">
          <cell r="B529" t="str">
            <v xml:space="preserve">G3LTORO1    </v>
          </cell>
          <cell r="C529" t="str">
            <v>LOS TOROS 1</v>
          </cell>
          <cell r="D529">
            <v>3.8</v>
          </cell>
          <cell r="E529">
            <v>3.8</v>
          </cell>
          <cell r="F529">
            <v>3.8</v>
          </cell>
          <cell r="G529">
            <v>3.8</v>
          </cell>
          <cell r="H529">
            <v>3.8</v>
          </cell>
          <cell r="I529">
            <v>3.8</v>
          </cell>
          <cell r="J529">
            <v>3.8</v>
          </cell>
          <cell r="K529">
            <v>3.8</v>
          </cell>
          <cell r="L529">
            <v>3.8</v>
          </cell>
          <cell r="M529">
            <v>3.8</v>
          </cell>
          <cell r="N529">
            <v>3.8</v>
          </cell>
          <cell r="O529">
            <v>3.8</v>
          </cell>
          <cell r="P529">
            <v>3.8</v>
          </cell>
          <cell r="Q529">
            <v>3.8</v>
          </cell>
          <cell r="R529">
            <v>3.8</v>
          </cell>
          <cell r="S529">
            <v>3.8</v>
          </cell>
          <cell r="T529">
            <v>3.8</v>
          </cell>
          <cell r="U529">
            <v>3.8</v>
          </cell>
          <cell r="V529">
            <v>3.8</v>
          </cell>
          <cell r="W529">
            <v>3.8</v>
          </cell>
          <cell r="X529">
            <v>3.8</v>
          </cell>
          <cell r="Y529">
            <v>3.8</v>
          </cell>
          <cell r="Z529">
            <v>3.8</v>
          </cell>
          <cell r="AA529">
            <v>3.8</v>
          </cell>
        </row>
        <row r="530">
          <cell r="B530" t="str">
            <v xml:space="preserve">G3LTORO2    </v>
          </cell>
          <cell r="C530" t="str">
            <v>LOS TOROS 2</v>
          </cell>
          <cell r="D530">
            <v>2.2999999999999998</v>
          </cell>
          <cell r="E530">
            <v>2.2999999999999998</v>
          </cell>
          <cell r="F530">
            <v>2.2999999999999998</v>
          </cell>
          <cell r="G530">
            <v>2.2999999999999998</v>
          </cell>
          <cell r="H530">
            <v>2.2999999999999998</v>
          </cell>
          <cell r="I530">
            <v>2.2999999999999998</v>
          </cell>
          <cell r="J530">
            <v>2.2999999999999998</v>
          </cell>
          <cell r="K530">
            <v>2.2999999999999998</v>
          </cell>
          <cell r="L530">
            <v>2.2999999999999998</v>
          </cell>
          <cell r="M530">
            <v>2.2999999999999998</v>
          </cell>
          <cell r="N530">
            <v>2.2999999999999998</v>
          </cell>
          <cell r="O530">
            <v>2.2999999999999998</v>
          </cell>
          <cell r="P530">
            <v>2.2999999999999998</v>
          </cell>
          <cell r="Q530">
            <v>2.2999999999999998</v>
          </cell>
          <cell r="R530">
            <v>2.2999999999999998</v>
          </cell>
          <cell r="S530">
            <v>2.2999999999999998</v>
          </cell>
          <cell r="T530">
            <v>2.2999999999999998</v>
          </cell>
          <cell r="U530">
            <v>2.2999999999999998</v>
          </cell>
          <cell r="V530">
            <v>2.2999999999999998</v>
          </cell>
          <cell r="W530">
            <v>2.2999999999999998</v>
          </cell>
          <cell r="X530">
            <v>2.2999999999999998</v>
          </cell>
          <cell r="Y530">
            <v>2.2999999999999998</v>
          </cell>
          <cell r="Z530">
            <v>2.2999999999999998</v>
          </cell>
          <cell r="AA530">
            <v>2.2999999999999998</v>
          </cell>
        </row>
        <row r="531">
          <cell r="B531" t="str">
            <v xml:space="preserve">G3AVARG1    </v>
          </cell>
          <cell r="C531" t="str">
            <v>ANIANA VARGAS 1</v>
          </cell>
          <cell r="D531">
            <v>0.2</v>
          </cell>
          <cell r="E531">
            <v>0.2</v>
          </cell>
          <cell r="F531">
            <v>0.2</v>
          </cell>
          <cell r="G531">
            <v>0.2</v>
          </cell>
          <cell r="H531">
            <v>0.2</v>
          </cell>
          <cell r="I531">
            <v>0.2</v>
          </cell>
          <cell r="J531">
            <v>0.2</v>
          </cell>
          <cell r="K531">
            <v>0.2</v>
          </cell>
          <cell r="L531">
            <v>0.2</v>
          </cell>
          <cell r="M531">
            <v>0.2</v>
          </cell>
          <cell r="N531">
            <v>0.2</v>
          </cell>
          <cell r="O531">
            <v>0.2</v>
          </cell>
          <cell r="P531">
            <v>0.2</v>
          </cell>
          <cell r="Q531">
            <v>0.2</v>
          </cell>
          <cell r="R531">
            <v>0.2</v>
          </cell>
          <cell r="S531">
            <v>0.2</v>
          </cell>
          <cell r="T531">
            <v>0.2</v>
          </cell>
          <cell r="U531">
            <v>0.2</v>
          </cell>
          <cell r="V531">
            <v>0.2</v>
          </cell>
          <cell r="W531">
            <v>0.2</v>
          </cell>
          <cell r="X531">
            <v>0.2</v>
          </cell>
          <cell r="Y531">
            <v>0.2</v>
          </cell>
          <cell r="Z531">
            <v>0.2</v>
          </cell>
          <cell r="AA531">
            <v>0.2</v>
          </cell>
        </row>
        <row r="532">
          <cell r="B532" t="str">
            <v xml:space="preserve">G3AVARG2    </v>
          </cell>
          <cell r="C532" t="str">
            <v>ANIANA VARGAS 2</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row>
        <row r="533">
          <cell r="B533" t="str">
            <v xml:space="preserve">G3DRODR1    </v>
          </cell>
          <cell r="C533" t="str">
            <v>DOMINGO RODRIGUEZ 1</v>
          </cell>
          <cell r="D533">
            <v>1</v>
          </cell>
          <cell r="E533">
            <v>1</v>
          </cell>
          <cell r="F533">
            <v>1</v>
          </cell>
          <cell r="G533">
            <v>1</v>
          </cell>
          <cell r="H533">
            <v>1</v>
          </cell>
          <cell r="I533">
            <v>1</v>
          </cell>
          <cell r="J533">
            <v>1</v>
          </cell>
          <cell r="K533">
            <v>1</v>
          </cell>
          <cell r="L533">
            <v>1</v>
          </cell>
          <cell r="M533">
            <v>1</v>
          </cell>
          <cell r="N533">
            <v>1</v>
          </cell>
          <cell r="O533">
            <v>1</v>
          </cell>
          <cell r="P533">
            <v>1</v>
          </cell>
          <cell r="Q533">
            <v>1</v>
          </cell>
          <cell r="R533">
            <v>1</v>
          </cell>
          <cell r="S533">
            <v>1</v>
          </cell>
          <cell r="T533">
            <v>1</v>
          </cell>
          <cell r="U533">
            <v>1</v>
          </cell>
          <cell r="V533">
            <v>1</v>
          </cell>
          <cell r="W533">
            <v>1</v>
          </cell>
          <cell r="X533">
            <v>1</v>
          </cell>
          <cell r="Y533">
            <v>1</v>
          </cell>
          <cell r="Z533">
            <v>1</v>
          </cell>
          <cell r="AA533">
            <v>1</v>
          </cell>
        </row>
        <row r="534">
          <cell r="B534" t="str">
            <v xml:space="preserve">G3DRODR2    </v>
          </cell>
          <cell r="C534" t="str">
            <v>DOMINGO RODRIGUEZ 2</v>
          </cell>
          <cell r="D534">
            <v>1</v>
          </cell>
          <cell r="E534">
            <v>1</v>
          </cell>
          <cell r="F534">
            <v>1</v>
          </cell>
          <cell r="G534">
            <v>1</v>
          </cell>
          <cell r="H534">
            <v>1</v>
          </cell>
          <cell r="I534">
            <v>1</v>
          </cell>
          <cell r="J534">
            <v>1</v>
          </cell>
          <cell r="K534">
            <v>1</v>
          </cell>
          <cell r="L534">
            <v>1</v>
          </cell>
          <cell r="M534">
            <v>1</v>
          </cell>
          <cell r="N534">
            <v>1</v>
          </cell>
          <cell r="O534">
            <v>1</v>
          </cell>
          <cell r="P534">
            <v>1</v>
          </cell>
          <cell r="Q534">
            <v>1</v>
          </cell>
          <cell r="R534">
            <v>1</v>
          </cell>
          <cell r="S534">
            <v>1</v>
          </cell>
          <cell r="T534">
            <v>1</v>
          </cell>
          <cell r="U534">
            <v>1</v>
          </cell>
          <cell r="V534">
            <v>1</v>
          </cell>
          <cell r="W534">
            <v>1</v>
          </cell>
          <cell r="X534">
            <v>1</v>
          </cell>
          <cell r="Y534">
            <v>1</v>
          </cell>
          <cell r="Z534">
            <v>1</v>
          </cell>
          <cell r="AA534">
            <v>1</v>
          </cell>
        </row>
        <row r="535">
          <cell r="B535" t="str">
            <v xml:space="preserve">G3RJCRUZ    </v>
          </cell>
          <cell r="C535" t="str">
            <v>ROSA JULIA DE LA CRUZ</v>
          </cell>
          <cell r="D535">
            <v>0.4</v>
          </cell>
          <cell r="E535">
            <v>0.4</v>
          </cell>
          <cell r="F535">
            <v>0.4</v>
          </cell>
          <cell r="G535">
            <v>0.4</v>
          </cell>
          <cell r="H535">
            <v>0.4</v>
          </cell>
          <cell r="I535">
            <v>0.4</v>
          </cell>
          <cell r="J535">
            <v>0.4</v>
          </cell>
          <cell r="K535">
            <v>0.4</v>
          </cell>
          <cell r="L535">
            <v>0.4</v>
          </cell>
          <cell r="M535">
            <v>0.4</v>
          </cell>
          <cell r="N535">
            <v>0.4</v>
          </cell>
          <cell r="O535">
            <v>0.4</v>
          </cell>
          <cell r="P535">
            <v>0.4</v>
          </cell>
          <cell r="Q535">
            <v>0.4</v>
          </cell>
          <cell r="R535">
            <v>0.4</v>
          </cell>
          <cell r="S535">
            <v>0.4</v>
          </cell>
          <cell r="T535">
            <v>0.4</v>
          </cell>
          <cell r="U535">
            <v>0.4</v>
          </cell>
          <cell r="V535">
            <v>0.4</v>
          </cell>
          <cell r="W535">
            <v>0.4</v>
          </cell>
          <cell r="X535">
            <v>0.4</v>
          </cell>
          <cell r="Y535">
            <v>0.4</v>
          </cell>
          <cell r="Z535">
            <v>0.4</v>
          </cell>
          <cell r="AA535">
            <v>0.4</v>
          </cell>
        </row>
        <row r="536">
          <cell r="B536" t="str">
            <v xml:space="preserve">G3MAGUE1    </v>
          </cell>
          <cell r="C536" t="str">
            <v>MAGUEYAL 1</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row>
        <row r="537">
          <cell r="B537" t="str">
            <v xml:space="preserve">G3MAGUE2    </v>
          </cell>
          <cell r="C537" t="str">
            <v>MAGUEYAL 2</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1.2</v>
          </cell>
          <cell r="V537">
            <v>1.2</v>
          </cell>
          <cell r="W537">
            <v>1.2</v>
          </cell>
          <cell r="X537">
            <v>1.2</v>
          </cell>
          <cell r="Y537">
            <v>1.2</v>
          </cell>
          <cell r="Z537">
            <v>1.2</v>
          </cell>
          <cell r="AA537">
            <v>1.2</v>
          </cell>
        </row>
        <row r="538">
          <cell r="B538" t="str">
            <v xml:space="preserve">G3LBARIA    </v>
          </cell>
          <cell r="C538" t="str">
            <v>LAS BARIAS</v>
          </cell>
          <cell r="D538">
            <v>0.5</v>
          </cell>
          <cell r="E538">
            <v>0.5</v>
          </cell>
          <cell r="F538">
            <v>0.5</v>
          </cell>
          <cell r="G538">
            <v>0.5</v>
          </cell>
          <cell r="H538">
            <v>0.5</v>
          </cell>
          <cell r="I538">
            <v>0.5</v>
          </cell>
          <cell r="J538">
            <v>0.5</v>
          </cell>
          <cell r="K538">
            <v>0.5</v>
          </cell>
          <cell r="L538">
            <v>0.5</v>
          </cell>
          <cell r="M538">
            <v>0.5</v>
          </cell>
          <cell r="N538">
            <v>0.5</v>
          </cell>
          <cell r="O538">
            <v>0.5</v>
          </cell>
          <cell r="P538">
            <v>0.5</v>
          </cell>
          <cell r="Q538">
            <v>0.5</v>
          </cell>
          <cell r="R538">
            <v>0.5</v>
          </cell>
          <cell r="S538">
            <v>0.5</v>
          </cell>
          <cell r="T538">
            <v>0.5</v>
          </cell>
          <cell r="U538">
            <v>0.5</v>
          </cell>
          <cell r="V538">
            <v>0.5</v>
          </cell>
          <cell r="W538">
            <v>0.5</v>
          </cell>
          <cell r="X538">
            <v>0.5</v>
          </cell>
          <cell r="Y538">
            <v>0.5</v>
          </cell>
          <cell r="Z538">
            <v>0.5</v>
          </cell>
          <cell r="AA538">
            <v>0.5</v>
          </cell>
        </row>
        <row r="539">
          <cell r="B539" t="str">
            <v xml:space="preserve">G3PINAL1    </v>
          </cell>
          <cell r="C539" t="str">
            <v>PINALITO 1</v>
          </cell>
          <cell r="D539">
            <v>10</v>
          </cell>
          <cell r="E539">
            <v>10</v>
          </cell>
          <cell r="F539">
            <v>10</v>
          </cell>
          <cell r="G539">
            <v>10</v>
          </cell>
          <cell r="H539">
            <v>10</v>
          </cell>
          <cell r="I539">
            <v>10</v>
          </cell>
          <cell r="J539">
            <v>10</v>
          </cell>
          <cell r="K539">
            <v>10</v>
          </cell>
          <cell r="L539">
            <v>10</v>
          </cell>
          <cell r="M539">
            <v>10</v>
          </cell>
          <cell r="N539">
            <v>10</v>
          </cell>
          <cell r="O539">
            <v>10</v>
          </cell>
          <cell r="P539">
            <v>10</v>
          </cell>
          <cell r="Q539">
            <v>10</v>
          </cell>
          <cell r="R539">
            <v>10</v>
          </cell>
          <cell r="S539">
            <v>10</v>
          </cell>
          <cell r="T539">
            <v>10</v>
          </cell>
          <cell r="U539">
            <v>10</v>
          </cell>
          <cell r="V539">
            <v>10</v>
          </cell>
          <cell r="W539">
            <v>10</v>
          </cell>
          <cell r="X539">
            <v>10</v>
          </cell>
          <cell r="Y539">
            <v>10</v>
          </cell>
          <cell r="Z539">
            <v>10</v>
          </cell>
          <cell r="AA539">
            <v>10</v>
          </cell>
        </row>
        <row r="540">
          <cell r="B540" t="str">
            <v xml:space="preserve">G3PINAL2    </v>
          </cell>
          <cell r="C540" t="str">
            <v>PINALITO 2</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row>
        <row r="541">
          <cell r="B541" t="str">
            <v xml:space="preserve">G3BDEREC    </v>
          </cell>
          <cell r="C541" t="str">
            <v>BRAZO DERECHO</v>
          </cell>
          <cell r="D541">
            <v>1.3</v>
          </cell>
          <cell r="E541">
            <v>1.3</v>
          </cell>
          <cell r="F541">
            <v>1.3</v>
          </cell>
          <cell r="G541">
            <v>1.3</v>
          </cell>
          <cell r="H541">
            <v>1.3</v>
          </cell>
          <cell r="I541">
            <v>1.3</v>
          </cell>
          <cell r="J541">
            <v>1.3</v>
          </cell>
          <cell r="K541">
            <v>1.3</v>
          </cell>
          <cell r="L541">
            <v>1.3</v>
          </cell>
          <cell r="M541">
            <v>1.3</v>
          </cell>
          <cell r="N541">
            <v>1.3</v>
          </cell>
          <cell r="O541">
            <v>1.3</v>
          </cell>
          <cell r="P541">
            <v>1.3</v>
          </cell>
          <cell r="Q541">
            <v>1.3</v>
          </cell>
          <cell r="R541">
            <v>1.3</v>
          </cell>
          <cell r="S541">
            <v>1.3</v>
          </cell>
          <cell r="T541">
            <v>1.3</v>
          </cell>
          <cell r="U541">
            <v>1.3</v>
          </cell>
          <cell r="V541">
            <v>1.3</v>
          </cell>
          <cell r="W541">
            <v>1.3</v>
          </cell>
          <cell r="X541">
            <v>1.3</v>
          </cell>
          <cell r="Y541">
            <v>1.3</v>
          </cell>
          <cell r="Z541">
            <v>1.3</v>
          </cell>
          <cell r="AA541">
            <v>1.3</v>
          </cell>
        </row>
        <row r="542">
          <cell r="B542" t="str">
            <v xml:space="preserve">G3PALOM1    </v>
          </cell>
          <cell r="C542" t="str">
            <v>PALOMINO 1</v>
          </cell>
          <cell r="D542">
            <v>0</v>
          </cell>
          <cell r="E542">
            <v>0</v>
          </cell>
          <cell r="F542">
            <v>0</v>
          </cell>
          <cell r="G542">
            <v>0</v>
          </cell>
          <cell r="H542">
            <v>0</v>
          </cell>
          <cell r="I542">
            <v>0</v>
          </cell>
          <cell r="J542">
            <v>0</v>
          </cell>
          <cell r="K542">
            <v>0</v>
          </cell>
          <cell r="L542">
            <v>34.46</v>
          </cell>
          <cell r="M542">
            <v>34.46</v>
          </cell>
          <cell r="N542">
            <v>34.22</v>
          </cell>
          <cell r="O542">
            <v>0</v>
          </cell>
          <cell r="P542">
            <v>0</v>
          </cell>
          <cell r="Q542">
            <v>0</v>
          </cell>
          <cell r="R542">
            <v>0</v>
          </cell>
          <cell r="S542">
            <v>0</v>
          </cell>
          <cell r="T542">
            <v>0</v>
          </cell>
          <cell r="U542">
            <v>0</v>
          </cell>
          <cell r="V542">
            <v>0</v>
          </cell>
          <cell r="W542">
            <v>34.43</v>
          </cell>
          <cell r="X542">
            <v>34.43</v>
          </cell>
          <cell r="Y542">
            <v>34.43</v>
          </cell>
          <cell r="Z542">
            <v>34.43</v>
          </cell>
          <cell r="AA542">
            <v>0</v>
          </cell>
        </row>
        <row r="543">
          <cell r="B543" t="str">
            <v xml:space="preserve">G3PALOM2    </v>
          </cell>
          <cell r="C543" t="str">
            <v>PALOMINO 2</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row>
        <row r="544">
          <cell r="B544"/>
          <cell r="C544"/>
          <cell r="D544"/>
          <cell r="E544"/>
          <cell r="F544"/>
          <cell r="G544"/>
          <cell r="H544"/>
          <cell r="I544"/>
          <cell r="J544"/>
          <cell r="K544"/>
          <cell r="L544"/>
          <cell r="M544"/>
          <cell r="N544"/>
          <cell r="O544"/>
          <cell r="P544"/>
          <cell r="Q544"/>
          <cell r="R544"/>
          <cell r="S544"/>
          <cell r="T544"/>
          <cell r="U544"/>
          <cell r="V544"/>
          <cell r="W544"/>
          <cell r="X544"/>
          <cell r="Y544"/>
          <cell r="Z544"/>
          <cell r="AA544"/>
        </row>
        <row r="545">
          <cell r="B545"/>
          <cell r="C545"/>
          <cell r="D545"/>
          <cell r="E545"/>
          <cell r="F545"/>
          <cell r="G545"/>
          <cell r="H545"/>
          <cell r="I545"/>
          <cell r="J545"/>
          <cell r="K545"/>
          <cell r="L545"/>
          <cell r="M545"/>
          <cell r="N545"/>
          <cell r="O545"/>
          <cell r="P545"/>
          <cell r="Q545"/>
          <cell r="R545"/>
          <cell r="S545"/>
          <cell r="T545"/>
          <cell r="U545"/>
          <cell r="V545"/>
          <cell r="W545"/>
          <cell r="X545"/>
          <cell r="Y545"/>
          <cell r="Z545"/>
          <cell r="AA545"/>
        </row>
        <row r="546">
          <cell r="B546"/>
          <cell r="C546"/>
          <cell r="D546"/>
          <cell r="E546"/>
          <cell r="F546"/>
          <cell r="G546"/>
          <cell r="H546"/>
          <cell r="I546"/>
          <cell r="J546"/>
          <cell r="K546"/>
          <cell r="L546"/>
          <cell r="M546"/>
          <cell r="N546"/>
          <cell r="O546"/>
          <cell r="P546"/>
          <cell r="Q546"/>
          <cell r="R546"/>
          <cell r="S546"/>
          <cell r="T546"/>
          <cell r="U546"/>
          <cell r="V546"/>
          <cell r="W546"/>
          <cell r="X546"/>
          <cell r="Y546"/>
          <cell r="Z546"/>
          <cell r="AA546"/>
        </row>
        <row r="547">
          <cell r="B547"/>
          <cell r="C547"/>
          <cell r="D547"/>
          <cell r="E547"/>
          <cell r="F547"/>
          <cell r="G547"/>
          <cell r="H547"/>
          <cell r="I547"/>
          <cell r="J547"/>
          <cell r="K547"/>
          <cell r="L547"/>
          <cell r="M547"/>
          <cell r="N547"/>
          <cell r="O547"/>
          <cell r="P547"/>
          <cell r="Q547"/>
          <cell r="R547"/>
          <cell r="S547"/>
          <cell r="T547"/>
          <cell r="U547"/>
          <cell r="V547"/>
          <cell r="W547"/>
          <cell r="X547"/>
          <cell r="Y547"/>
          <cell r="Z547"/>
          <cell r="AA547"/>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TIQUETA"/>
      <sheetName val="DESPACHO EN OM"/>
      <sheetName val="e_datgen"/>
      <sheetName val="e_datdem"/>
      <sheetName val="e_datmnx"/>
      <sheetName val="e_datgrpf"/>
      <sheetName val="e_datred"/>
      <sheetName val="e_modred"/>
      <sheetName val="e_opcn"/>
      <sheetName val="e_hidro"/>
      <sheetName val="e_fgate"/>
      <sheetName val="S_FWGATE"/>
      <sheetName val="S_FLUJO"/>
      <sheetName val="S_PNSU"/>
      <sheetName val="S_FNODO"/>
      <sheetName val="RFRIA"/>
      <sheetName val="PForz"/>
      <sheetName val="Lista de Mérito"/>
      <sheetName val="CVP"/>
      <sheetName val="SIE 039-2013"/>
      <sheetName val="Mantenimientos Red Transmision"/>
      <sheetName val="Reporte de Disponibilidad"/>
      <sheetName val="Reporte de Indisponibilidad"/>
      <sheetName val="S_DESPACHOM"/>
      <sheetName val="Despacho Potencia"/>
      <sheetName val="DEMANDA SENI"/>
      <sheetName val="Información Recibida"/>
      <sheetName val="Despacho de Reserva RPF"/>
      <sheetName val="Despacho de Reserva RSF"/>
      <sheetName val="Reporte Reserva Operativa"/>
      <sheetName val="Reporte Reserva Fria"/>
      <sheetName val="Factores de Nodo (Inyección)"/>
      <sheetName val="Factores de Nodo (Retiro)"/>
      <sheetName val="e_sets"/>
      <sheetName val="S_NEMBALSE"/>
      <sheetName val="e_opf"/>
      <sheetName val="e_AreaTrafoSet"/>
      <sheetName val="e_TapSetPoints"/>
      <sheetName val="e_Pload"/>
      <sheetName val="e_Qload"/>
      <sheetName val="S_ASIGRPF"/>
      <sheetName val="Acuerdos de cobertura"/>
      <sheetName val="Listing"/>
      <sheetName val="S_RPF"/>
      <sheetName val="S_RSF"/>
      <sheetName val="S_PENSB"/>
      <sheetName val="FLUJO_ACTIVA"/>
      <sheetName val="FLUJO_REACTIVA"/>
      <sheetName val="GEN_Q"/>
      <sheetName val="P_ENS"/>
      <sheetName val="Q_ENS"/>
      <sheetName val="TAPS"/>
      <sheetName val="VOLTAJE"/>
      <sheetName val="CAPACITORES"/>
      <sheetName val="ROPERATIVA"/>
      <sheetName val="varstado"/>
      <sheetName val="Costos Variables de Producción"/>
      <sheetName val="generadores"/>
      <sheetName val="Reporte"/>
      <sheetName val="Analisis de Estabilidad"/>
      <sheetName val="Detalle de los Redespachos"/>
      <sheetName val="s_resumen"/>
      <sheetName val="s_lmerito"/>
      <sheetName val="RTERM"/>
      <sheetName val="DESPACHO_MOTOR"/>
      <sheetName val="Despacho de Potencia Reactiva"/>
      <sheetName val="Voltaje por barras"/>
      <sheetName val="Detalle de Subsistemas"/>
      <sheetName val="PDemanda"/>
      <sheetName val="QDemanda"/>
      <sheetName val="Demanda Activa por cargas"/>
      <sheetName val="Demanda Reactiva por cargas"/>
      <sheetName val="PDemanda_Declarado"/>
      <sheetName val="QDemanda_Declarado"/>
      <sheetName val="e_Qload_Declarado"/>
      <sheetName val="e_datdem_Declarado"/>
      <sheetName val="Barras (Zonas)"/>
      <sheetName val="Centrales (Zo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7">
          <cell r="A7" t="str">
            <v xml:space="preserve">CENTRALES  </v>
          </cell>
          <cell r="B7">
            <v>1</v>
          </cell>
          <cell r="C7">
            <v>2</v>
          </cell>
          <cell r="D7">
            <v>3</v>
          </cell>
          <cell r="E7">
            <v>4</v>
          </cell>
          <cell r="F7">
            <v>5</v>
          </cell>
          <cell r="G7">
            <v>6</v>
          </cell>
          <cell r="H7">
            <v>7</v>
          </cell>
          <cell r="I7">
            <v>8</v>
          </cell>
          <cell r="J7">
            <v>9</v>
          </cell>
          <cell r="K7">
            <v>10</v>
          </cell>
          <cell r="L7">
            <v>11</v>
          </cell>
          <cell r="M7">
            <v>12</v>
          </cell>
          <cell r="N7">
            <v>13</v>
          </cell>
          <cell r="O7">
            <v>14</v>
          </cell>
          <cell r="P7">
            <v>15</v>
          </cell>
          <cell r="Q7">
            <v>16</v>
          </cell>
          <cell r="R7">
            <v>17</v>
          </cell>
          <cell r="S7">
            <v>18</v>
          </cell>
          <cell r="T7">
            <v>19</v>
          </cell>
          <cell r="U7">
            <v>20</v>
          </cell>
          <cell r="V7">
            <v>21</v>
          </cell>
          <cell r="W7">
            <v>22</v>
          </cell>
          <cell r="X7">
            <v>23</v>
          </cell>
          <cell r="Y7">
            <v>24</v>
          </cell>
        </row>
        <row r="8">
          <cell r="A8" t="str">
            <v xml:space="preserve">    G3AANDRE</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row>
        <row r="9">
          <cell r="A9" t="str">
            <v xml:space="preserve">    G3SLORE1</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row>
        <row r="10">
          <cell r="A10" t="str">
            <v xml:space="preserve">    G3LMINA6</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A11" t="str">
            <v xml:space="preserve">    G3LMINA5</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G3BARAHC</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G3ITABO2</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G3ITABO1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G3SESTE</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G3PIMEN3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G3CEPP2</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G3EM2CGN</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G3EM2SGN</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G3EM2CFO</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row>
        <row r="21">
          <cell r="A21" t="str">
            <v xml:space="preserve">    G3EM2SFO</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A22" t="str">
            <v xml:space="preserve">    G3PIMEN2</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23">
          <cell r="A23" t="str">
            <v xml:space="preserve">    G3PIMEN1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G3METALD</v>
          </cell>
          <cell r="B24">
            <v>0</v>
          </cell>
          <cell r="C24">
            <v>0</v>
          </cell>
          <cell r="D24">
            <v>0</v>
          </cell>
          <cell r="E24">
            <v>40</v>
          </cell>
          <cell r="F24">
            <v>40</v>
          </cell>
          <cell r="G24">
            <v>40</v>
          </cell>
          <cell r="H24">
            <v>40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row>
        <row r="25">
          <cell r="A25" t="str">
            <v xml:space="preserve">      G3MRIO</v>
          </cell>
          <cell r="B25">
            <v>0</v>
          </cell>
          <cell r="C25">
            <v>0</v>
          </cell>
          <cell r="D25">
            <v>54.2</v>
          </cell>
          <cell r="E25">
            <v>54.2</v>
          </cell>
          <cell r="F25">
            <v>54.2</v>
          </cell>
          <cell r="G25">
            <v>54.2</v>
          </cell>
          <cell r="H25">
            <v>54.2</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row>
        <row r="26">
          <cell r="A26" t="str">
            <v xml:space="preserve">     G3CEPP1</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 xml:space="preserve">    G3PALAMA</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row>
        <row r="28">
          <cell r="A28" t="str">
            <v xml:space="preserve">     G3LVEGA</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row>
        <row r="29">
          <cell r="A29" t="str">
            <v xml:space="preserve">    G3CESPM1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row>
        <row r="30">
          <cell r="A30" t="str">
            <v xml:space="preserve">    G3CESPM2</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G3CESPM3</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95</v>
          </cell>
          <cell r="X31">
            <v>95</v>
          </cell>
          <cell r="Y31">
            <v>95</v>
          </cell>
        </row>
        <row r="32">
          <cell r="A32" t="str">
            <v xml:space="preserve">    G3SFELIP</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G3SFELCC</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G3SFELIV</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row>
        <row r="35">
          <cell r="A35" t="str">
            <v xml:space="preserve">    G3SPEDRV</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G3RSJUAN</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7">
          <cell r="A37" t="str">
            <v xml:space="preserve">    G3HAINAG</v>
          </cell>
          <cell r="B37">
            <v>85</v>
          </cell>
          <cell r="C37">
            <v>85</v>
          </cell>
          <cell r="D37">
            <v>85</v>
          </cell>
          <cell r="E37">
            <v>85</v>
          </cell>
          <cell r="F37">
            <v>85</v>
          </cell>
          <cell r="G37">
            <v>85</v>
          </cell>
          <cell r="H37">
            <v>85</v>
          </cell>
          <cell r="I37">
            <v>85</v>
          </cell>
          <cell r="J37">
            <v>85</v>
          </cell>
          <cell r="K37">
            <v>85</v>
          </cell>
          <cell r="L37">
            <v>85</v>
          </cell>
          <cell r="M37">
            <v>85</v>
          </cell>
          <cell r="N37">
            <v>85</v>
          </cell>
          <cell r="O37">
            <v>85</v>
          </cell>
          <cell r="P37">
            <v>85</v>
          </cell>
          <cell r="Q37">
            <v>85</v>
          </cell>
          <cell r="R37">
            <v>85</v>
          </cell>
          <cell r="S37">
            <v>85</v>
          </cell>
          <cell r="T37">
            <v>85</v>
          </cell>
          <cell r="U37">
            <v>85</v>
          </cell>
          <cell r="V37">
            <v>85</v>
          </cell>
          <cell r="W37">
            <v>85</v>
          </cell>
          <cell r="X37">
            <v>85</v>
          </cell>
          <cell r="Y37">
            <v>85</v>
          </cell>
        </row>
        <row r="38">
          <cell r="A38" t="str">
            <v xml:space="preserve">     G3IKM22</v>
          </cell>
          <cell r="B38">
            <v>0</v>
          </cell>
          <cell r="C38">
            <v>0</v>
          </cell>
          <cell r="D38">
            <v>0</v>
          </cell>
          <cell r="E38">
            <v>13.4</v>
          </cell>
          <cell r="F38">
            <v>13.4</v>
          </cell>
          <cell r="G38">
            <v>13.4</v>
          </cell>
          <cell r="H38">
            <v>13.4</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G3LOPPFO</v>
          </cell>
          <cell r="B39">
            <v>0</v>
          </cell>
          <cell r="C39">
            <v>0</v>
          </cell>
          <cell r="D39">
            <v>0</v>
          </cell>
          <cell r="E39">
            <v>0</v>
          </cell>
          <cell r="F39">
            <v>41.9</v>
          </cell>
          <cell r="G39">
            <v>41.9</v>
          </cell>
          <cell r="H39">
            <v>41.9</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row>
        <row r="40">
          <cell r="A40" t="str">
            <v xml:space="preserve">    G3LOPPGN</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row>
        <row r="41">
          <cell r="A41" t="str">
            <v xml:space="preserve">    G3QUISQ1</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row>
        <row r="42">
          <cell r="A42" t="str">
            <v xml:space="preserve">    G3QUISQ2</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G3BERSAL</v>
          </cell>
          <cell r="B43">
            <v>0</v>
          </cell>
          <cell r="C43">
            <v>22</v>
          </cell>
          <cell r="D43">
            <v>22</v>
          </cell>
          <cell r="E43">
            <v>22</v>
          </cell>
          <cell r="F43">
            <v>22</v>
          </cell>
          <cell r="G43">
            <v>22</v>
          </cell>
          <cell r="H43">
            <v>22</v>
          </cell>
          <cell r="I43">
            <v>22</v>
          </cell>
          <cell r="J43">
            <v>0</v>
          </cell>
          <cell r="K43">
            <v>0</v>
          </cell>
          <cell r="L43">
            <v>0</v>
          </cell>
          <cell r="M43">
            <v>0</v>
          </cell>
          <cell r="N43">
            <v>22</v>
          </cell>
          <cell r="O43">
            <v>0</v>
          </cell>
          <cell r="P43">
            <v>0</v>
          </cell>
          <cell r="Q43">
            <v>0</v>
          </cell>
          <cell r="R43">
            <v>0</v>
          </cell>
          <cell r="S43">
            <v>0</v>
          </cell>
          <cell r="T43">
            <v>0</v>
          </cell>
          <cell r="U43">
            <v>0</v>
          </cell>
          <cell r="V43">
            <v>22</v>
          </cell>
          <cell r="W43">
            <v>0</v>
          </cell>
          <cell r="X43">
            <v>0</v>
          </cell>
          <cell r="Y43">
            <v>0</v>
          </cell>
        </row>
        <row r="44">
          <cell r="A44" t="str">
            <v xml:space="preserve">    G3PELMCP</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5">
          <cell r="A45" t="str">
            <v xml:space="preserve">    G3PELMCT</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row>
        <row r="46">
          <cell r="A46" t="str">
            <v xml:space="preserve">    G3PALENQ</v>
          </cell>
          <cell r="B46">
            <v>0</v>
          </cell>
          <cell r="C46">
            <v>0</v>
          </cell>
          <cell r="D46">
            <v>0</v>
          </cell>
          <cell r="E46">
            <v>25</v>
          </cell>
          <cell r="F46">
            <v>25</v>
          </cell>
          <cell r="G46">
            <v>25</v>
          </cell>
          <cell r="H46">
            <v>25</v>
          </cell>
          <cell r="I46">
            <v>25</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A47" t="str">
            <v xml:space="preserve">    G3Q1SPED</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RFRIA TOTAL</v>
          </cell>
          <cell r="B48">
            <v>85</v>
          </cell>
          <cell r="C48">
            <v>107</v>
          </cell>
          <cell r="D48">
            <v>161.19999999999999</v>
          </cell>
          <cell r="E48">
            <v>239.6</v>
          </cell>
          <cell r="F48">
            <v>281.5</v>
          </cell>
          <cell r="G48">
            <v>281.5</v>
          </cell>
          <cell r="H48">
            <v>281.5</v>
          </cell>
          <cell r="I48">
            <v>132</v>
          </cell>
          <cell r="J48">
            <v>85</v>
          </cell>
          <cell r="K48">
            <v>85</v>
          </cell>
          <cell r="L48">
            <v>85</v>
          </cell>
          <cell r="M48">
            <v>85</v>
          </cell>
          <cell r="N48">
            <v>107</v>
          </cell>
          <cell r="O48">
            <v>85</v>
          </cell>
          <cell r="P48">
            <v>85</v>
          </cell>
          <cell r="Q48">
            <v>85</v>
          </cell>
          <cell r="R48">
            <v>85</v>
          </cell>
          <cell r="S48">
            <v>85</v>
          </cell>
          <cell r="T48">
            <v>85</v>
          </cell>
          <cell r="U48">
            <v>85</v>
          </cell>
          <cell r="V48">
            <v>107</v>
          </cell>
          <cell r="W48">
            <v>180</v>
          </cell>
          <cell r="X48">
            <v>180</v>
          </cell>
          <cell r="Y48">
            <v>180</v>
          </cell>
        </row>
        <row r="51">
          <cell r="A51" t="str">
            <v>RESERVA TOTAL SENI</v>
          </cell>
        </row>
        <row r="53">
          <cell r="A53" t="str">
            <v xml:space="preserve">PERIODOS   </v>
          </cell>
          <cell r="B53">
            <v>1</v>
          </cell>
          <cell r="C53">
            <v>2</v>
          </cell>
          <cell r="D53">
            <v>3</v>
          </cell>
          <cell r="E53">
            <v>4</v>
          </cell>
          <cell r="F53">
            <v>5</v>
          </cell>
          <cell r="G53">
            <v>6</v>
          </cell>
          <cell r="H53">
            <v>7</v>
          </cell>
          <cell r="I53">
            <v>8</v>
          </cell>
          <cell r="J53">
            <v>9</v>
          </cell>
          <cell r="K53">
            <v>10</v>
          </cell>
          <cell r="L53">
            <v>11</v>
          </cell>
          <cell r="M53">
            <v>12</v>
          </cell>
          <cell r="N53">
            <v>13</v>
          </cell>
          <cell r="O53">
            <v>14</v>
          </cell>
          <cell r="P53">
            <v>15</v>
          </cell>
          <cell r="Q53">
            <v>16</v>
          </cell>
          <cell r="R53">
            <v>17</v>
          </cell>
          <cell r="S53">
            <v>18</v>
          </cell>
          <cell r="T53">
            <v>19</v>
          </cell>
          <cell r="U53">
            <v>20</v>
          </cell>
          <cell r="V53">
            <v>21</v>
          </cell>
          <cell r="W53">
            <v>22</v>
          </cell>
          <cell r="X53">
            <v>23</v>
          </cell>
          <cell r="Y53">
            <v>24</v>
          </cell>
        </row>
        <row r="54">
          <cell r="A54" t="str">
            <v xml:space="preserve">TOTAL      </v>
          </cell>
          <cell r="B54">
            <v>114.06</v>
          </cell>
          <cell r="C54">
            <v>150.06</v>
          </cell>
          <cell r="D54">
            <v>196.06</v>
          </cell>
          <cell r="E54">
            <v>290.26</v>
          </cell>
          <cell r="F54">
            <v>348.56</v>
          </cell>
          <cell r="G54">
            <v>402.58</v>
          </cell>
          <cell r="H54">
            <v>335.96</v>
          </cell>
          <cell r="I54">
            <v>243.95</v>
          </cell>
          <cell r="J54">
            <v>132.16</v>
          </cell>
          <cell r="K54">
            <v>114.24</v>
          </cell>
          <cell r="L54">
            <v>119.62</v>
          </cell>
          <cell r="M54">
            <v>117.34</v>
          </cell>
          <cell r="N54">
            <v>137.88</v>
          </cell>
          <cell r="O54">
            <v>131.27000000000001</v>
          </cell>
          <cell r="P54">
            <v>102.45</v>
          </cell>
          <cell r="Q54">
            <v>125.24</v>
          </cell>
          <cell r="R54">
            <v>127.02</v>
          </cell>
          <cell r="S54">
            <v>130.02000000000001</v>
          </cell>
          <cell r="T54">
            <v>110</v>
          </cell>
          <cell r="U54">
            <v>135.30000000000001</v>
          </cell>
          <cell r="V54">
            <v>117</v>
          </cell>
          <cell r="W54">
            <v>198.93</v>
          </cell>
          <cell r="X54">
            <v>190</v>
          </cell>
          <cell r="Y54">
            <v>201.14</v>
          </cell>
        </row>
        <row r="57">
          <cell r="A57" t="str">
            <v>VECTOR RESERVA DEL SENI</v>
          </cell>
        </row>
        <row r="59">
          <cell r="A59" t="str">
            <v xml:space="preserve">PERIODOS   </v>
          </cell>
          <cell r="B59">
            <v>1</v>
          </cell>
          <cell r="C59">
            <v>2</v>
          </cell>
          <cell r="D59">
            <v>3</v>
          </cell>
          <cell r="E59">
            <v>4</v>
          </cell>
          <cell r="F59">
            <v>5</v>
          </cell>
          <cell r="G59">
            <v>6</v>
          </cell>
          <cell r="H59">
            <v>7</v>
          </cell>
          <cell r="I59">
            <v>8</v>
          </cell>
          <cell r="J59">
            <v>9</v>
          </cell>
          <cell r="K59">
            <v>10</v>
          </cell>
          <cell r="L59">
            <v>11</v>
          </cell>
          <cell r="M59">
            <v>12</v>
          </cell>
          <cell r="N59">
            <v>13</v>
          </cell>
          <cell r="O59">
            <v>14</v>
          </cell>
          <cell r="P59">
            <v>15</v>
          </cell>
          <cell r="Q59">
            <v>16</v>
          </cell>
          <cell r="R59">
            <v>17</v>
          </cell>
          <cell r="S59">
            <v>18</v>
          </cell>
          <cell r="T59">
            <v>19</v>
          </cell>
          <cell r="U59">
            <v>20</v>
          </cell>
          <cell r="V59">
            <v>21</v>
          </cell>
          <cell r="W59">
            <v>22</v>
          </cell>
          <cell r="X59">
            <v>23</v>
          </cell>
          <cell r="Y59">
            <v>24</v>
          </cell>
        </row>
        <row r="60">
          <cell r="A60" t="str">
            <v>VECTOR RESERVA</v>
          </cell>
          <cell r="B60">
            <v>10</v>
          </cell>
          <cell r="C60">
            <v>41.46</v>
          </cell>
          <cell r="D60">
            <v>87.46</v>
          </cell>
          <cell r="E60">
            <v>181.66</v>
          </cell>
          <cell r="F60">
            <v>239.96</v>
          </cell>
          <cell r="G60">
            <v>293.98</v>
          </cell>
          <cell r="H60">
            <v>227.36</v>
          </cell>
          <cell r="I60">
            <v>135.35</v>
          </cell>
          <cell r="J60">
            <v>23.56</v>
          </cell>
          <cell r="K60">
            <v>10</v>
          </cell>
          <cell r="L60">
            <v>11.02</v>
          </cell>
          <cell r="M60">
            <v>10</v>
          </cell>
          <cell r="N60">
            <v>32</v>
          </cell>
          <cell r="O60">
            <v>22.67</v>
          </cell>
          <cell r="P60">
            <v>10</v>
          </cell>
          <cell r="Q60">
            <v>16.64</v>
          </cell>
          <cell r="R60">
            <v>18.420000000000002</v>
          </cell>
          <cell r="S60">
            <v>21.42</v>
          </cell>
          <cell r="T60">
            <v>10</v>
          </cell>
          <cell r="U60">
            <v>26</v>
          </cell>
          <cell r="V60">
            <v>32</v>
          </cell>
          <cell r="W60">
            <v>10</v>
          </cell>
          <cell r="X60">
            <v>10</v>
          </cell>
          <cell r="Y60">
            <v>10</v>
          </cell>
        </row>
        <row r="63">
          <cell r="A63" t="str">
            <v>RESERVA ACUMULADA DEL SENI</v>
          </cell>
        </row>
        <row r="65">
          <cell r="A65" t="str">
            <v xml:space="preserve">PERIODOS   </v>
          </cell>
          <cell r="B65">
            <v>1</v>
          </cell>
          <cell r="C65">
            <v>2</v>
          </cell>
          <cell r="D65">
            <v>3</v>
          </cell>
          <cell r="E65">
            <v>4</v>
          </cell>
          <cell r="F65">
            <v>5</v>
          </cell>
          <cell r="G65">
            <v>6</v>
          </cell>
          <cell r="H65">
            <v>7</v>
          </cell>
          <cell r="I65">
            <v>8</v>
          </cell>
          <cell r="J65">
            <v>9</v>
          </cell>
          <cell r="K65">
            <v>10</v>
          </cell>
          <cell r="L65">
            <v>11</v>
          </cell>
          <cell r="M65">
            <v>12</v>
          </cell>
          <cell r="N65">
            <v>13</v>
          </cell>
          <cell r="O65">
            <v>14</v>
          </cell>
          <cell r="P65">
            <v>15</v>
          </cell>
          <cell r="Q65">
            <v>16</v>
          </cell>
          <cell r="R65">
            <v>17</v>
          </cell>
          <cell r="S65">
            <v>18</v>
          </cell>
          <cell r="T65">
            <v>19</v>
          </cell>
          <cell r="U65">
            <v>20</v>
          </cell>
          <cell r="V65">
            <v>21</v>
          </cell>
          <cell r="W65">
            <v>22</v>
          </cell>
          <cell r="X65">
            <v>23</v>
          </cell>
          <cell r="Y65">
            <v>24</v>
          </cell>
        </row>
        <row r="66">
          <cell r="A66" t="str">
            <v xml:space="preserve">    G3AANDRE</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row>
        <row r="67">
          <cell r="A67" t="str">
            <v xml:space="preserve">    G3SLORE1</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row>
        <row r="68">
          <cell r="A68" t="str">
            <v xml:space="preserve">    G3LMINA6</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row>
        <row r="69">
          <cell r="A69" t="str">
            <v xml:space="preserve">    G3LMINA5</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row>
        <row r="70">
          <cell r="A70" t="str">
            <v xml:space="preserve">    G3BARAHC</v>
          </cell>
          <cell r="B70">
            <v>10</v>
          </cell>
          <cell r="C70">
            <v>10</v>
          </cell>
          <cell r="D70">
            <v>10</v>
          </cell>
          <cell r="E70">
            <v>10</v>
          </cell>
          <cell r="F70">
            <v>10</v>
          </cell>
          <cell r="G70">
            <v>10</v>
          </cell>
          <cell r="H70">
            <v>10</v>
          </cell>
          <cell r="I70">
            <v>10</v>
          </cell>
          <cell r="J70">
            <v>10</v>
          </cell>
          <cell r="K70">
            <v>10</v>
          </cell>
          <cell r="L70">
            <v>10</v>
          </cell>
          <cell r="M70">
            <v>10</v>
          </cell>
          <cell r="N70">
            <v>10</v>
          </cell>
          <cell r="O70">
            <v>10</v>
          </cell>
          <cell r="P70">
            <v>10</v>
          </cell>
          <cell r="Q70">
            <v>10</v>
          </cell>
          <cell r="R70">
            <v>10</v>
          </cell>
          <cell r="S70">
            <v>10</v>
          </cell>
          <cell r="T70">
            <v>10</v>
          </cell>
          <cell r="U70">
            <v>10</v>
          </cell>
          <cell r="V70">
            <v>10</v>
          </cell>
          <cell r="W70">
            <v>10</v>
          </cell>
          <cell r="X70">
            <v>10</v>
          </cell>
          <cell r="Y70">
            <v>10</v>
          </cell>
        </row>
        <row r="71">
          <cell r="A71" t="str">
            <v xml:space="preserve">    G3ITABO2</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row>
        <row r="72">
          <cell r="A72" t="str">
            <v xml:space="preserve">    G3ITABO1</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row>
        <row r="73">
          <cell r="A73" t="str">
            <v xml:space="preserve">     G3SESTE</v>
          </cell>
          <cell r="B73">
            <v>10</v>
          </cell>
          <cell r="C73">
            <v>10</v>
          </cell>
          <cell r="D73">
            <v>10</v>
          </cell>
          <cell r="E73">
            <v>10</v>
          </cell>
          <cell r="F73">
            <v>10</v>
          </cell>
          <cell r="G73">
            <v>12</v>
          </cell>
          <cell r="H73">
            <v>10</v>
          </cell>
          <cell r="I73">
            <v>10</v>
          </cell>
          <cell r="J73">
            <v>10</v>
          </cell>
          <cell r="K73">
            <v>10</v>
          </cell>
          <cell r="L73">
            <v>10</v>
          </cell>
          <cell r="M73">
            <v>10</v>
          </cell>
          <cell r="N73">
            <v>10</v>
          </cell>
          <cell r="O73">
            <v>10</v>
          </cell>
          <cell r="P73">
            <v>10</v>
          </cell>
          <cell r="Q73">
            <v>10</v>
          </cell>
          <cell r="R73">
            <v>10</v>
          </cell>
          <cell r="S73">
            <v>10</v>
          </cell>
          <cell r="T73">
            <v>10</v>
          </cell>
          <cell r="U73">
            <v>10</v>
          </cell>
          <cell r="V73">
            <v>10</v>
          </cell>
          <cell r="W73">
            <v>10</v>
          </cell>
          <cell r="X73">
            <v>10</v>
          </cell>
          <cell r="Y73">
            <v>10</v>
          </cell>
        </row>
        <row r="74">
          <cell r="A74" t="str">
            <v xml:space="preserve">    G3PIMEN3</v>
          </cell>
          <cell r="B74">
            <v>10</v>
          </cell>
          <cell r="C74">
            <v>10</v>
          </cell>
          <cell r="D74">
            <v>10</v>
          </cell>
          <cell r="E74">
            <v>10</v>
          </cell>
          <cell r="F74">
            <v>10</v>
          </cell>
          <cell r="G74">
            <v>10</v>
          </cell>
          <cell r="H74">
            <v>10</v>
          </cell>
          <cell r="I74">
            <v>10</v>
          </cell>
          <cell r="J74">
            <v>10</v>
          </cell>
          <cell r="K74">
            <v>10</v>
          </cell>
          <cell r="L74">
            <v>10</v>
          </cell>
          <cell r="M74">
            <v>10</v>
          </cell>
          <cell r="N74">
            <v>10</v>
          </cell>
          <cell r="O74">
            <v>10</v>
          </cell>
          <cell r="P74">
            <v>10</v>
          </cell>
          <cell r="Q74">
            <v>10</v>
          </cell>
          <cell r="R74">
            <v>10</v>
          </cell>
          <cell r="S74">
            <v>10</v>
          </cell>
          <cell r="T74">
            <v>10</v>
          </cell>
          <cell r="U74">
            <v>10</v>
          </cell>
          <cell r="V74">
            <v>10</v>
          </cell>
          <cell r="W74">
            <v>10</v>
          </cell>
          <cell r="X74">
            <v>10</v>
          </cell>
          <cell r="Y74">
            <v>10</v>
          </cell>
        </row>
        <row r="75">
          <cell r="A75" t="str">
            <v xml:space="preserve">     G3CEPP2</v>
          </cell>
          <cell r="B75">
            <v>10</v>
          </cell>
          <cell r="C75">
            <v>10</v>
          </cell>
          <cell r="D75">
            <v>10</v>
          </cell>
          <cell r="E75">
            <v>10</v>
          </cell>
          <cell r="F75">
            <v>10</v>
          </cell>
          <cell r="G75">
            <v>10</v>
          </cell>
          <cell r="H75">
            <v>10</v>
          </cell>
          <cell r="I75">
            <v>10</v>
          </cell>
          <cell r="J75">
            <v>10</v>
          </cell>
          <cell r="K75">
            <v>10</v>
          </cell>
          <cell r="L75">
            <v>10</v>
          </cell>
          <cell r="M75">
            <v>10</v>
          </cell>
          <cell r="N75">
            <v>10</v>
          </cell>
          <cell r="O75">
            <v>10</v>
          </cell>
          <cell r="P75">
            <v>10</v>
          </cell>
          <cell r="Q75">
            <v>10</v>
          </cell>
          <cell r="R75">
            <v>10</v>
          </cell>
          <cell r="S75">
            <v>10</v>
          </cell>
          <cell r="T75">
            <v>10</v>
          </cell>
          <cell r="U75">
            <v>10</v>
          </cell>
          <cell r="V75">
            <v>10</v>
          </cell>
          <cell r="W75">
            <v>10</v>
          </cell>
          <cell r="X75">
            <v>10</v>
          </cell>
          <cell r="Y75">
            <v>10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418">
          <cell r="B418" t="str">
            <v xml:space="preserve">G3TAVER1    </v>
          </cell>
          <cell r="C418" t="str">
            <v>TAVERA 1</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24</v>
          </cell>
          <cell r="W418">
            <v>41.63</v>
          </cell>
          <cell r="X418">
            <v>27.27</v>
          </cell>
          <cell r="Y418">
            <v>27.1</v>
          </cell>
          <cell r="Z418">
            <v>24</v>
          </cell>
          <cell r="AA418">
            <v>0</v>
          </cell>
        </row>
        <row r="419">
          <cell r="B419" t="str">
            <v xml:space="preserve">G3TAVER2    </v>
          </cell>
          <cell r="C419" t="str">
            <v>TAVERA 2</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24</v>
          </cell>
          <cell r="W419">
            <v>28.48</v>
          </cell>
          <cell r="X419">
            <v>24</v>
          </cell>
          <cell r="Y419">
            <v>43.52</v>
          </cell>
          <cell r="Z419">
            <v>24</v>
          </cell>
          <cell r="AA419">
            <v>0</v>
          </cell>
        </row>
        <row r="420">
          <cell r="B420" t="str">
            <v xml:space="preserve">G3JIGUE1    </v>
          </cell>
          <cell r="C420" t="str">
            <v>JIGUEY 1</v>
          </cell>
          <cell r="D420">
            <v>0</v>
          </cell>
          <cell r="E420">
            <v>0</v>
          </cell>
          <cell r="F420">
            <v>0</v>
          </cell>
          <cell r="G420">
            <v>0</v>
          </cell>
          <cell r="H420">
            <v>0</v>
          </cell>
          <cell r="I420">
            <v>0</v>
          </cell>
          <cell r="J420">
            <v>0</v>
          </cell>
          <cell r="K420">
            <v>0</v>
          </cell>
          <cell r="L420">
            <v>32</v>
          </cell>
          <cell r="M420">
            <v>43.7</v>
          </cell>
          <cell r="N420">
            <v>32</v>
          </cell>
          <cell r="O420">
            <v>0</v>
          </cell>
          <cell r="P420">
            <v>0</v>
          </cell>
          <cell r="Q420">
            <v>0</v>
          </cell>
          <cell r="R420">
            <v>0</v>
          </cell>
          <cell r="S420">
            <v>32</v>
          </cell>
          <cell r="T420">
            <v>34.299999999999997</v>
          </cell>
          <cell r="U420">
            <v>34.299999999999997</v>
          </cell>
          <cell r="V420">
            <v>42.7</v>
          </cell>
          <cell r="W420">
            <v>32</v>
          </cell>
          <cell r="X420">
            <v>0</v>
          </cell>
          <cell r="Y420">
            <v>0</v>
          </cell>
          <cell r="Z420">
            <v>0</v>
          </cell>
          <cell r="AA420">
            <v>32</v>
          </cell>
        </row>
        <row r="421">
          <cell r="B421" t="str">
            <v xml:space="preserve">G3JIGUE2    </v>
          </cell>
          <cell r="C421" t="str">
            <v>JIGUEY 2</v>
          </cell>
          <cell r="D421">
            <v>32</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row>
        <row r="422">
          <cell r="B422" t="str">
            <v xml:space="preserve">G3AGUAC1    </v>
          </cell>
          <cell r="C422" t="str">
            <v>AGUACATE 1</v>
          </cell>
          <cell r="D422">
            <v>18</v>
          </cell>
          <cell r="E422">
            <v>0</v>
          </cell>
          <cell r="F422">
            <v>0</v>
          </cell>
          <cell r="G422">
            <v>0</v>
          </cell>
          <cell r="H422">
            <v>0</v>
          </cell>
          <cell r="I422">
            <v>0</v>
          </cell>
          <cell r="J422">
            <v>0</v>
          </cell>
          <cell r="K422">
            <v>0</v>
          </cell>
          <cell r="L422">
            <v>0</v>
          </cell>
          <cell r="M422">
            <v>18</v>
          </cell>
          <cell r="N422">
            <v>25</v>
          </cell>
          <cell r="O422">
            <v>25</v>
          </cell>
          <cell r="P422">
            <v>18</v>
          </cell>
          <cell r="Q422">
            <v>0</v>
          </cell>
          <cell r="R422">
            <v>18</v>
          </cell>
          <cell r="S422">
            <v>28</v>
          </cell>
          <cell r="T422">
            <v>28</v>
          </cell>
          <cell r="U422">
            <v>28</v>
          </cell>
          <cell r="V422">
            <v>18</v>
          </cell>
          <cell r="W422">
            <v>0</v>
          </cell>
          <cell r="X422">
            <v>0</v>
          </cell>
          <cell r="Y422">
            <v>0</v>
          </cell>
          <cell r="Z422">
            <v>0</v>
          </cell>
          <cell r="AA422">
            <v>18</v>
          </cell>
        </row>
        <row r="423">
          <cell r="B423" t="str">
            <v xml:space="preserve">G3AGUAC2    </v>
          </cell>
          <cell r="C423" t="str">
            <v>AGUACATE 2</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18</v>
          </cell>
          <cell r="V423">
            <v>26</v>
          </cell>
          <cell r="W423">
            <v>26</v>
          </cell>
          <cell r="X423">
            <v>24</v>
          </cell>
          <cell r="Y423">
            <v>28</v>
          </cell>
          <cell r="Z423">
            <v>18</v>
          </cell>
          <cell r="AA423">
            <v>0</v>
          </cell>
        </row>
        <row r="424">
          <cell r="B424" t="str">
            <v xml:space="preserve">G3VALDE1    </v>
          </cell>
          <cell r="C424" t="str">
            <v>VALDESIA 1</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16</v>
          </cell>
          <cell r="T424">
            <v>16</v>
          </cell>
          <cell r="U424">
            <v>24</v>
          </cell>
          <cell r="V424">
            <v>16</v>
          </cell>
          <cell r="W424">
            <v>0</v>
          </cell>
          <cell r="X424">
            <v>0</v>
          </cell>
          <cell r="Y424">
            <v>0</v>
          </cell>
          <cell r="Z424">
            <v>0</v>
          </cell>
          <cell r="AA424">
            <v>0</v>
          </cell>
        </row>
        <row r="425">
          <cell r="B425" t="str">
            <v xml:space="preserve">G3VALDE2    </v>
          </cell>
          <cell r="C425" t="str">
            <v>VALDESIA 2</v>
          </cell>
          <cell r="D425">
            <v>0</v>
          </cell>
          <cell r="E425">
            <v>0</v>
          </cell>
          <cell r="F425">
            <v>0</v>
          </cell>
          <cell r="G425">
            <v>0</v>
          </cell>
          <cell r="H425">
            <v>0</v>
          </cell>
          <cell r="I425">
            <v>0</v>
          </cell>
          <cell r="J425">
            <v>0</v>
          </cell>
          <cell r="K425">
            <v>0</v>
          </cell>
          <cell r="L425">
            <v>16</v>
          </cell>
          <cell r="M425">
            <v>25</v>
          </cell>
          <cell r="N425">
            <v>18</v>
          </cell>
          <cell r="O425">
            <v>16</v>
          </cell>
          <cell r="P425">
            <v>0</v>
          </cell>
          <cell r="Q425">
            <v>0</v>
          </cell>
          <cell r="R425">
            <v>0</v>
          </cell>
          <cell r="S425">
            <v>0</v>
          </cell>
          <cell r="T425">
            <v>0</v>
          </cell>
          <cell r="U425">
            <v>0</v>
          </cell>
          <cell r="V425">
            <v>0</v>
          </cell>
          <cell r="W425">
            <v>0</v>
          </cell>
          <cell r="X425">
            <v>0</v>
          </cell>
          <cell r="Y425">
            <v>0</v>
          </cell>
          <cell r="Z425">
            <v>0</v>
          </cell>
          <cell r="AA425">
            <v>0</v>
          </cell>
        </row>
        <row r="426">
          <cell r="B426" t="str">
            <v xml:space="preserve">G3RBLAN1    </v>
          </cell>
          <cell r="C426" t="str">
            <v>RIO BLANCO 1</v>
          </cell>
          <cell r="D426">
            <v>0</v>
          </cell>
          <cell r="E426">
            <v>0</v>
          </cell>
          <cell r="F426">
            <v>0</v>
          </cell>
          <cell r="G426">
            <v>0</v>
          </cell>
          <cell r="H426">
            <v>0</v>
          </cell>
          <cell r="I426">
            <v>0</v>
          </cell>
          <cell r="J426">
            <v>0</v>
          </cell>
          <cell r="K426">
            <v>0</v>
          </cell>
          <cell r="L426">
            <v>8.5</v>
          </cell>
          <cell r="M426">
            <v>9</v>
          </cell>
          <cell r="N426">
            <v>9.5</v>
          </cell>
          <cell r="O426">
            <v>11.5</v>
          </cell>
          <cell r="P426">
            <v>8.5</v>
          </cell>
          <cell r="Q426">
            <v>0</v>
          </cell>
          <cell r="R426">
            <v>8.5</v>
          </cell>
          <cell r="S426">
            <v>9.5</v>
          </cell>
          <cell r="T426">
            <v>9.5</v>
          </cell>
          <cell r="U426">
            <v>9.5</v>
          </cell>
          <cell r="V426">
            <v>11.5</v>
          </cell>
          <cell r="W426">
            <v>8.5</v>
          </cell>
          <cell r="X426">
            <v>0</v>
          </cell>
          <cell r="Y426">
            <v>0</v>
          </cell>
          <cell r="Z426">
            <v>0</v>
          </cell>
          <cell r="AA426">
            <v>8.5</v>
          </cell>
        </row>
        <row r="427">
          <cell r="B427" t="str">
            <v xml:space="preserve">G3RBLAN2    </v>
          </cell>
          <cell r="C427" t="str">
            <v>RIO BLANCO 2</v>
          </cell>
          <cell r="D427">
            <v>8.5</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8.5</v>
          </cell>
          <cell r="U427">
            <v>11.5</v>
          </cell>
          <cell r="V427">
            <v>8.5</v>
          </cell>
          <cell r="W427">
            <v>0</v>
          </cell>
          <cell r="X427">
            <v>0</v>
          </cell>
          <cell r="Y427">
            <v>0</v>
          </cell>
          <cell r="Z427">
            <v>0</v>
          </cell>
          <cell r="AA427">
            <v>0</v>
          </cell>
        </row>
        <row r="428">
          <cell r="B428" t="str">
            <v xml:space="preserve">G3MONCI1    </v>
          </cell>
          <cell r="C428" t="str">
            <v>MONCION 1</v>
          </cell>
          <cell r="D428">
            <v>10.5</v>
          </cell>
          <cell r="E428">
            <v>0</v>
          </cell>
          <cell r="F428">
            <v>0</v>
          </cell>
          <cell r="G428">
            <v>0</v>
          </cell>
          <cell r="H428">
            <v>0</v>
          </cell>
          <cell r="I428">
            <v>0</v>
          </cell>
          <cell r="J428">
            <v>0</v>
          </cell>
          <cell r="K428">
            <v>0</v>
          </cell>
          <cell r="L428">
            <v>10.5</v>
          </cell>
          <cell r="M428">
            <v>22.55</v>
          </cell>
          <cell r="N428">
            <v>12.95</v>
          </cell>
          <cell r="O428">
            <v>22.55</v>
          </cell>
          <cell r="P428">
            <v>10.5</v>
          </cell>
          <cell r="Q428">
            <v>0</v>
          </cell>
          <cell r="R428">
            <v>0</v>
          </cell>
          <cell r="S428">
            <v>0</v>
          </cell>
          <cell r="T428">
            <v>10.5</v>
          </cell>
          <cell r="U428">
            <v>12.95</v>
          </cell>
          <cell r="V428">
            <v>18.34</v>
          </cell>
          <cell r="W428">
            <v>12.16</v>
          </cell>
          <cell r="X428">
            <v>10.5</v>
          </cell>
          <cell r="Y428">
            <v>10.5</v>
          </cell>
          <cell r="Z428">
            <v>0</v>
          </cell>
          <cell r="AA428">
            <v>10.5</v>
          </cell>
        </row>
        <row r="429">
          <cell r="B429" t="str">
            <v xml:space="preserve">G3MONCI2    </v>
          </cell>
          <cell r="C429" t="str">
            <v>MONCION 2</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10.5</v>
          </cell>
          <cell r="W429">
            <v>25</v>
          </cell>
          <cell r="X429">
            <v>10.5</v>
          </cell>
          <cell r="Y429">
            <v>18.5</v>
          </cell>
          <cell r="Z429">
            <v>10.5</v>
          </cell>
          <cell r="AA429">
            <v>0</v>
          </cell>
        </row>
        <row r="430">
          <cell r="B430" t="str">
            <v xml:space="preserve">G3LANGOS    </v>
          </cell>
          <cell r="C430" t="str">
            <v>LOPEZ ANGOSTURA</v>
          </cell>
          <cell r="D430">
            <v>2.9</v>
          </cell>
          <cell r="E430">
            <v>2.9</v>
          </cell>
          <cell r="F430">
            <v>2.9</v>
          </cell>
          <cell r="G430">
            <v>2.9</v>
          </cell>
          <cell r="H430">
            <v>2.9</v>
          </cell>
          <cell r="I430">
            <v>2.9</v>
          </cell>
          <cell r="J430">
            <v>2.9</v>
          </cell>
          <cell r="K430">
            <v>2.9</v>
          </cell>
          <cell r="L430">
            <v>2.9</v>
          </cell>
          <cell r="M430">
            <v>2.9</v>
          </cell>
          <cell r="N430">
            <v>2.9</v>
          </cell>
          <cell r="O430">
            <v>2.9</v>
          </cell>
          <cell r="P430">
            <v>2.9</v>
          </cell>
          <cell r="Q430">
            <v>2.9</v>
          </cell>
          <cell r="R430">
            <v>2.9</v>
          </cell>
          <cell r="S430">
            <v>2.9</v>
          </cell>
          <cell r="T430">
            <v>2.9</v>
          </cell>
          <cell r="U430">
            <v>2.9</v>
          </cell>
          <cell r="V430">
            <v>2.9</v>
          </cell>
          <cell r="W430">
            <v>2.9</v>
          </cell>
          <cell r="X430">
            <v>2.9</v>
          </cell>
          <cell r="Y430">
            <v>2.9</v>
          </cell>
          <cell r="Z430">
            <v>2.9</v>
          </cell>
          <cell r="AA430">
            <v>2.9</v>
          </cell>
        </row>
        <row r="431">
          <cell r="B431" t="str">
            <v xml:space="preserve">G3CEMON1    </v>
          </cell>
          <cell r="C431" t="str">
            <v>CONTRA EMBALSE MONCION 1</v>
          </cell>
          <cell r="D431">
            <v>1.1000000000000001</v>
          </cell>
          <cell r="E431">
            <v>1.1000000000000001</v>
          </cell>
          <cell r="F431">
            <v>1.1000000000000001</v>
          </cell>
          <cell r="G431">
            <v>1.1000000000000001</v>
          </cell>
          <cell r="H431">
            <v>1.1000000000000001</v>
          </cell>
          <cell r="I431">
            <v>1.1000000000000001</v>
          </cell>
          <cell r="J431">
            <v>1.1000000000000001</v>
          </cell>
          <cell r="K431">
            <v>1.1000000000000001</v>
          </cell>
          <cell r="L431">
            <v>1.1000000000000001</v>
          </cell>
          <cell r="M431">
            <v>1.1000000000000001</v>
          </cell>
          <cell r="N431">
            <v>1.1000000000000001</v>
          </cell>
          <cell r="O431">
            <v>0</v>
          </cell>
          <cell r="P431">
            <v>0</v>
          </cell>
          <cell r="Q431">
            <v>0</v>
          </cell>
          <cell r="R431">
            <v>0</v>
          </cell>
          <cell r="S431">
            <v>0</v>
          </cell>
          <cell r="T431">
            <v>0</v>
          </cell>
          <cell r="U431">
            <v>0</v>
          </cell>
          <cell r="V431">
            <v>0</v>
          </cell>
          <cell r="W431">
            <v>0</v>
          </cell>
          <cell r="X431">
            <v>0</v>
          </cell>
          <cell r="Y431">
            <v>0</v>
          </cell>
          <cell r="Z431">
            <v>0</v>
          </cell>
          <cell r="AA431">
            <v>0</v>
          </cell>
        </row>
        <row r="432">
          <cell r="B432" t="str">
            <v xml:space="preserve">G3CEMON2    </v>
          </cell>
          <cell r="C432" t="str">
            <v>CONTRA EMBALSE MONCION 2</v>
          </cell>
          <cell r="D432">
            <v>0</v>
          </cell>
          <cell r="E432">
            <v>0</v>
          </cell>
          <cell r="F432">
            <v>0</v>
          </cell>
          <cell r="G432">
            <v>0</v>
          </cell>
          <cell r="H432">
            <v>0</v>
          </cell>
          <cell r="I432">
            <v>0</v>
          </cell>
          <cell r="J432">
            <v>0</v>
          </cell>
          <cell r="K432">
            <v>0</v>
          </cell>
          <cell r="L432">
            <v>0</v>
          </cell>
          <cell r="M432">
            <v>0</v>
          </cell>
          <cell r="N432">
            <v>0</v>
          </cell>
          <cell r="O432">
            <v>1.1000000000000001</v>
          </cell>
          <cell r="P432">
            <v>1.1000000000000001</v>
          </cell>
          <cell r="Q432">
            <v>1.1000000000000001</v>
          </cell>
          <cell r="R432">
            <v>1.1000000000000001</v>
          </cell>
          <cell r="S432">
            <v>1.1000000000000001</v>
          </cell>
          <cell r="T432">
            <v>1.1000000000000001</v>
          </cell>
          <cell r="U432">
            <v>1.1000000000000001</v>
          </cell>
          <cell r="V432">
            <v>1.1000000000000001</v>
          </cell>
          <cell r="W432">
            <v>1.1000000000000001</v>
          </cell>
          <cell r="X432">
            <v>1.1000000000000001</v>
          </cell>
          <cell r="Y432">
            <v>1.1000000000000001</v>
          </cell>
          <cell r="Z432">
            <v>1.1000000000000001</v>
          </cell>
          <cell r="AA432">
            <v>1.1000000000000001</v>
          </cell>
        </row>
        <row r="433">
          <cell r="B433" t="str">
            <v xml:space="preserve">G3BAIGU1    </v>
          </cell>
          <cell r="C433" t="str">
            <v>BAIGUAQUE 1</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row>
        <row r="434">
          <cell r="B434" t="str">
            <v xml:space="preserve">G3BAIGU2    </v>
          </cell>
          <cell r="C434" t="str">
            <v>BAIGUAQUE 2</v>
          </cell>
          <cell r="D434">
            <v>0.2</v>
          </cell>
          <cell r="E434">
            <v>0.2</v>
          </cell>
          <cell r="F434">
            <v>0.2</v>
          </cell>
          <cell r="G434">
            <v>0.2</v>
          </cell>
          <cell r="H434">
            <v>0.2</v>
          </cell>
          <cell r="I434">
            <v>0.2</v>
          </cell>
          <cell r="J434">
            <v>0.2</v>
          </cell>
          <cell r="K434">
            <v>0.2</v>
          </cell>
          <cell r="L434">
            <v>0.2</v>
          </cell>
          <cell r="M434">
            <v>0.2</v>
          </cell>
          <cell r="N434">
            <v>0.2</v>
          </cell>
          <cell r="O434">
            <v>0.2</v>
          </cell>
          <cell r="P434">
            <v>0.2</v>
          </cell>
          <cell r="Q434">
            <v>0.2</v>
          </cell>
          <cell r="R434">
            <v>0.2</v>
          </cell>
          <cell r="S434">
            <v>0.2</v>
          </cell>
          <cell r="T434">
            <v>0.2</v>
          </cell>
          <cell r="U434">
            <v>0.2</v>
          </cell>
          <cell r="V434">
            <v>0.2</v>
          </cell>
          <cell r="W434">
            <v>0.2</v>
          </cell>
          <cell r="X434">
            <v>0.2</v>
          </cell>
          <cell r="Y434">
            <v>0.2</v>
          </cell>
          <cell r="Z434">
            <v>0.2</v>
          </cell>
          <cell r="AA434">
            <v>0.2</v>
          </cell>
        </row>
        <row r="435">
          <cell r="B435" t="str">
            <v xml:space="preserve">G3RINCON    </v>
          </cell>
          <cell r="C435" t="str">
            <v>RINCON</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row>
        <row r="436">
          <cell r="B436" t="str">
            <v xml:space="preserve">G3HATILL    </v>
          </cell>
          <cell r="C436" t="str">
            <v>HATILLO</v>
          </cell>
          <cell r="D436">
            <v>7.1</v>
          </cell>
          <cell r="E436">
            <v>7.1</v>
          </cell>
          <cell r="F436">
            <v>7.1</v>
          </cell>
          <cell r="G436">
            <v>7.1</v>
          </cell>
          <cell r="H436">
            <v>7.1</v>
          </cell>
          <cell r="I436">
            <v>7.1</v>
          </cell>
          <cell r="J436">
            <v>7.1</v>
          </cell>
          <cell r="K436">
            <v>7.1</v>
          </cell>
          <cell r="L436">
            <v>7.1</v>
          </cell>
          <cell r="M436">
            <v>7.1</v>
          </cell>
          <cell r="N436">
            <v>7.1</v>
          </cell>
          <cell r="O436">
            <v>7.1</v>
          </cell>
          <cell r="P436">
            <v>7.1</v>
          </cell>
          <cell r="Q436">
            <v>7.1</v>
          </cell>
          <cell r="R436">
            <v>7.1</v>
          </cell>
          <cell r="S436">
            <v>7.1</v>
          </cell>
          <cell r="T436">
            <v>7.1</v>
          </cell>
          <cell r="U436">
            <v>7.1</v>
          </cell>
          <cell r="V436">
            <v>7.1</v>
          </cell>
          <cell r="W436">
            <v>7.76</v>
          </cell>
          <cell r="X436">
            <v>7.1</v>
          </cell>
          <cell r="Y436">
            <v>7.1</v>
          </cell>
          <cell r="Z436">
            <v>7.1</v>
          </cell>
          <cell r="AA436">
            <v>7.1</v>
          </cell>
        </row>
        <row r="437">
          <cell r="B437" t="str">
            <v xml:space="preserve">G3JIMENO    </v>
          </cell>
          <cell r="C437" t="str">
            <v>JIMENOA</v>
          </cell>
          <cell r="D437">
            <v>5</v>
          </cell>
          <cell r="E437">
            <v>5</v>
          </cell>
          <cell r="F437">
            <v>5</v>
          </cell>
          <cell r="G437">
            <v>5</v>
          </cell>
          <cell r="H437">
            <v>5</v>
          </cell>
          <cell r="I437">
            <v>5</v>
          </cell>
          <cell r="J437">
            <v>5</v>
          </cell>
          <cell r="K437">
            <v>5</v>
          </cell>
          <cell r="L437">
            <v>5</v>
          </cell>
          <cell r="M437">
            <v>5</v>
          </cell>
          <cell r="N437">
            <v>5</v>
          </cell>
          <cell r="O437">
            <v>5</v>
          </cell>
          <cell r="P437">
            <v>5</v>
          </cell>
          <cell r="Q437">
            <v>5</v>
          </cell>
          <cell r="R437">
            <v>5</v>
          </cell>
          <cell r="S437">
            <v>5</v>
          </cell>
          <cell r="T437">
            <v>5</v>
          </cell>
          <cell r="U437">
            <v>5</v>
          </cell>
          <cell r="V437">
            <v>5</v>
          </cell>
          <cell r="W437">
            <v>5</v>
          </cell>
          <cell r="X437">
            <v>5</v>
          </cell>
          <cell r="Y437">
            <v>5</v>
          </cell>
          <cell r="Z437">
            <v>5</v>
          </cell>
          <cell r="AA437">
            <v>5</v>
          </cell>
        </row>
        <row r="438">
          <cell r="B438" t="str">
            <v xml:space="preserve">G3ESALTO    </v>
          </cell>
          <cell r="C438" t="str">
            <v>EL SALTO</v>
          </cell>
          <cell r="D438">
            <v>0.5</v>
          </cell>
          <cell r="E438">
            <v>0.5</v>
          </cell>
          <cell r="F438">
            <v>0.5</v>
          </cell>
          <cell r="G438">
            <v>0.5</v>
          </cell>
          <cell r="H438">
            <v>0.5</v>
          </cell>
          <cell r="I438">
            <v>0.5</v>
          </cell>
          <cell r="J438">
            <v>0.5</v>
          </cell>
          <cell r="K438">
            <v>0.5</v>
          </cell>
          <cell r="L438">
            <v>0.5</v>
          </cell>
          <cell r="M438">
            <v>0.5</v>
          </cell>
          <cell r="N438">
            <v>0.5</v>
          </cell>
          <cell r="O438">
            <v>0.5</v>
          </cell>
          <cell r="P438">
            <v>0.5</v>
          </cell>
          <cell r="Q438">
            <v>0.5</v>
          </cell>
          <cell r="R438">
            <v>0.5</v>
          </cell>
          <cell r="S438">
            <v>0.5</v>
          </cell>
          <cell r="T438">
            <v>0.5</v>
          </cell>
          <cell r="U438">
            <v>0.5</v>
          </cell>
          <cell r="V438">
            <v>0.5</v>
          </cell>
          <cell r="W438">
            <v>0.5</v>
          </cell>
          <cell r="X438">
            <v>0.5</v>
          </cell>
          <cell r="Y438">
            <v>0.5</v>
          </cell>
          <cell r="Z438">
            <v>0.5</v>
          </cell>
          <cell r="AA438">
            <v>0.5</v>
          </cell>
        </row>
        <row r="439">
          <cell r="B439" t="str">
            <v xml:space="preserve">G3NNAJAY    </v>
          </cell>
          <cell r="C439" t="str">
            <v>NIZAO NAJAYO</v>
          </cell>
          <cell r="D439">
            <v>0.2</v>
          </cell>
          <cell r="E439">
            <v>0.2</v>
          </cell>
          <cell r="F439">
            <v>0.2</v>
          </cell>
          <cell r="G439">
            <v>0.2</v>
          </cell>
          <cell r="H439">
            <v>0.2</v>
          </cell>
          <cell r="I439">
            <v>0.2</v>
          </cell>
          <cell r="J439">
            <v>0.2</v>
          </cell>
          <cell r="K439">
            <v>0.2</v>
          </cell>
          <cell r="L439">
            <v>0.2</v>
          </cell>
          <cell r="M439">
            <v>0.2</v>
          </cell>
          <cell r="N439">
            <v>0.2</v>
          </cell>
          <cell r="O439">
            <v>0.2</v>
          </cell>
          <cell r="P439">
            <v>0.2</v>
          </cell>
          <cell r="Q439">
            <v>0.2</v>
          </cell>
          <cell r="R439">
            <v>0.2</v>
          </cell>
          <cell r="S439">
            <v>0.2</v>
          </cell>
          <cell r="T439">
            <v>0.2</v>
          </cell>
          <cell r="U439">
            <v>0.2</v>
          </cell>
          <cell r="V439">
            <v>0.2</v>
          </cell>
          <cell r="W439">
            <v>0.2</v>
          </cell>
          <cell r="X439">
            <v>0.2</v>
          </cell>
          <cell r="Y439">
            <v>0.2</v>
          </cell>
          <cell r="Z439">
            <v>0.2</v>
          </cell>
          <cell r="AA439">
            <v>0.2</v>
          </cell>
        </row>
        <row r="440">
          <cell r="B440" t="str">
            <v xml:space="preserve">G3LANONE    </v>
          </cell>
          <cell r="C440" t="str">
            <v>LOS ANONES</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row>
        <row r="441">
          <cell r="B441" t="str">
            <v xml:space="preserve">G3SYEGUA    </v>
          </cell>
          <cell r="C441" t="str">
            <v>SABANA YEGUA</v>
          </cell>
          <cell r="D441">
            <v>6.6</v>
          </cell>
          <cell r="E441">
            <v>6.6</v>
          </cell>
          <cell r="F441">
            <v>6.6</v>
          </cell>
          <cell r="G441">
            <v>6.6</v>
          </cell>
          <cell r="H441">
            <v>6.6</v>
          </cell>
          <cell r="I441">
            <v>6.6</v>
          </cell>
          <cell r="J441">
            <v>6.6</v>
          </cell>
          <cell r="K441">
            <v>6.6</v>
          </cell>
          <cell r="L441">
            <v>6.6</v>
          </cell>
          <cell r="M441">
            <v>6.6</v>
          </cell>
          <cell r="N441">
            <v>6.6</v>
          </cell>
          <cell r="O441">
            <v>6.6</v>
          </cell>
          <cell r="P441">
            <v>6.6</v>
          </cell>
          <cell r="Q441">
            <v>6.6</v>
          </cell>
          <cell r="R441">
            <v>6.6</v>
          </cell>
          <cell r="S441">
            <v>6.6</v>
          </cell>
          <cell r="T441">
            <v>6.6</v>
          </cell>
          <cell r="U441">
            <v>6.6</v>
          </cell>
          <cell r="V441">
            <v>6.6</v>
          </cell>
          <cell r="W441">
            <v>6.79</v>
          </cell>
          <cell r="X441">
            <v>6.6</v>
          </cell>
          <cell r="Y441">
            <v>6.6</v>
          </cell>
          <cell r="Z441">
            <v>6.6</v>
          </cell>
          <cell r="AA441">
            <v>6.6</v>
          </cell>
        </row>
        <row r="442">
          <cell r="B442" t="str">
            <v xml:space="preserve">G3SABANE    </v>
          </cell>
          <cell r="C442" t="str">
            <v>SABANETA</v>
          </cell>
          <cell r="D442">
            <v>4.4000000000000004</v>
          </cell>
          <cell r="E442">
            <v>4.4000000000000004</v>
          </cell>
          <cell r="F442">
            <v>4.4000000000000004</v>
          </cell>
          <cell r="G442">
            <v>4.4000000000000004</v>
          </cell>
          <cell r="H442">
            <v>4.4000000000000004</v>
          </cell>
          <cell r="I442">
            <v>4.4000000000000004</v>
          </cell>
          <cell r="J442">
            <v>4.4000000000000004</v>
          </cell>
          <cell r="K442">
            <v>4.4000000000000004</v>
          </cell>
          <cell r="L442">
            <v>4.4000000000000004</v>
          </cell>
          <cell r="M442">
            <v>4.46</v>
          </cell>
          <cell r="N442">
            <v>4.46</v>
          </cell>
          <cell r="O442">
            <v>4.4000000000000004</v>
          </cell>
          <cell r="P442">
            <v>4.4000000000000004</v>
          </cell>
          <cell r="Q442">
            <v>4.4000000000000004</v>
          </cell>
          <cell r="R442">
            <v>4.4000000000000004</v>
          </cell>
          <cell r="S442">
            <v>4.4000000000000004</v>
          </cell>
          <cell r="T442">
            <v>4.42</v>
          </cell>
          <cell r="U442">
            <v>4.46</v>
          </cell>
          <cell r="V442">
            <v>4.46</v>
          </cell>
          <cell r="W442">
            <v>4.46</v>
          </cell>
          <cell r="X442">
            <v>4.46</v>
          </cell>
          <cell r="Y442">
            <v>4.46</v>
          </cell>
          <cell r="Z442">
            <v>4.4000000000000004</v>
          </cell>
          <cell r="AA442">
            <v>4.4000000000000004</v>
          </cell>
        </row>
        <row r="443">
          <cell r="B443" t="str">
            <v xml:space="preserve">G3LDAMAS    </v>
          </cell>
          <cell r="C443" t="str">
            <v>LAS DAMAS</v>
          </cell>
          <cell r="D443">
            <v>3.8</v>
          </cell>
          <cell r="E443">
            <v>3.8</v>
          </cell>
          <cell r="F443">
            <v>3.8</v>
          </cell>
          <cell r="G443">
            <v>3.8</v>
          </cell>
          <cell r="H443">
            <v>3.8</v>
          </cell>
          <cell r="I443">
            <v>3.8</v>
          </cell>
          <cell r="J443">
            <v>3.8</v>
          </cell>
          <cell r="K443">
            <v>3.8</v>
          </cell>
          <cell r="L443">
            <v>3.8</v>
          </cell>
          <cell r="M443">
            <v>3.8</v>
          </cell>
          <cell r="N443">
            <v>3.8</v>
          </cell>
          <cell r="O443">
            <v>3.8</v>
          </cell>
          <cell r="P443">
            <v>3.8</v>
          </cell>
          <cell r="Q443">
            <v>3.8</v>
          </cell>
          <cell r="R443">
            <v>3.8</v>
          </cell>
          <cell r="S443">
            <v>3.8</v>
          </cell>
          <cell r="T443">
            <v>3.8</v>
          </cell>
          <cell r="U443">
            <v>3.8</v>
          </cell>
          <cell r="V443">
            <v>3.8</v>
          </cell>
          <cell r="W443">
            <v>3.98</v>
          </cell>
          <cell r="X443">
            <v>3.8</v>
          </cell>
          <cell r="Y443">
            <v>3.8</v>
          </cell>
          <cell r="Z443">
            <v>3.8</v>
          </cell>
          <cell r="AA443">
            <v>3.8</v>
          </cell>
        </row>
        <row r="444">
          <cell r="B444" t="str">
            <v xml:space="preserve">G3LTORO1    </v>
          </cell>
          <cell r="C444" t="str">
            <v>LOS TOROS 1</v>
          </cell>
          <cell r="D444">
            <v>3</v>
          </cell>
          <cell r="E444">
            <v>3</v>
          </cell>
          <cell r="F444">
            <v>3</v>
          </cell>
          <cell r="G444">
            <v>3</v>
          </cell>
          <cell r="H444">
            <v>3</v>
          </cell>
          <cell r="I444">
            <v>3</v>
          </cell>
          <cell r="J444">
            <v>3</v>
          </cell>
          <cell r="K444">
            <v>3</v>
          </cell>
          <cell r="L444">
            <v>3</v>
          </cell>
          <cell r="M444">
            <v>3</v>
          </cell>
          <cell r="N444">
            <v>3</v>
          </cell>
          <cell r="O444">
            <v>3</v>
          </cell>
          <cell r="P444">
            <v>3</v>
          </cell>
          <cell r="Q444">
            <v>3</v>
          </cell>
          <cell r="R444">
            <v>3</v>
          </cell>
          <cell r="S444">
            <v>3</v>
          </cell>
          <cell r="T444">
            <v>3</v>
          </cell>
          <cell r="U444">
            <v>3</v>
          </cell>
          <cell r="V444">
            <v>3</v>
          </cell>
          <cell r="W444">
            <v>3</v>
          </cell>
          <cell r="X444">
            <v>3</v>
          </cell>
          <cell r="Y444">
            <v>3</v>
          </cell>
          <cell r="Z444">
            <v>3</v>
          </cell>
          <cell r="AA444">
            <v>3</v>
          </cell>
        </row>
        <row r="445">
          <cell r="B445" t="str">
            <v xml:space="preserve">G3LTORO2    </v>
          </cell>
          <cell r="C445" t="str">
            <v>LOS TOROS 2</v>
          </cell>
          <cell r="D445">
            <v>2.2000000000000002</v>
          </cell>
          <cell r="E445">
            <v>2.2000000000000002</v>
          </cell>
          <cell r="F445">
            <v>2.2000000000000002</v>
          </cell>
          <cell r="G445">
            <v>2.2000000000000002</v>
          </cell>
          <cell r="H445">
            <v>2.2000000000000002</v>
          </cell>
          <cell r="I445">
            <v>2.2000000000000002</v>
          </cell>
          <cell r="J445">
            <v>2.2000000000000002</v>
          </cell>
          <cell r="K445">
            <v>2.2000000000000002</v>
          </cell>
          <cell r="L445">
            <v>2.2000000000000002</v>
          </cell>
          <cell r="M445">
            <v>2.2000000000000002</v>
          </cell>
          <cell r="N445">
            <v>2.2000000000000002</v>
          </cell>
          <cell r="O445">
            <v>2.2000000000000002</v>
          </cell>
          <cell r="P445">
            <v>2.2000000000000002</v>
          </cell>
          <cell r="Q445">
            <v>2.2000000000000002</v>
          </cell>
          <cell r="R445">
            <v>2.2000000000000002</v>
          </cell>
          <cell r="S445">
            <v>2.2000000000000002</v>
          </cell>
          <cell r="T445">
            <v>2.2000000000000002</v>
          </cell>
          <cell r="U445">
            <v>2.2000000000000002</v>
          </cell>
          <cell r="V445">
            <v>2.2000000000000002</v>
          </cell>
          <cell r="W445">
            <v>2.2000000000000002</v>
          </cell>
          <cell r="X445">
            <v>2.2000000000000002</v>
          </cell>
          <cell r="Y445">
            <v>2.2000000000000002</v>
          </cell>
          <cell r="Z445">
            <v>2.2000000000000002</v>
          </cell>
          <cell r="AA445">
            <v>2.2000000000000002</v>
          </cell>
        </row>
        <row r="446">
          <cell r="B446" t="str">
            <v xml:space="preserve">G3AVARG1    </v>
          </cell>
          <cell r="C446" t="str">
            <v>ANIANA VARGAS 1</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B447" t="str">
            <v xml:space="preserve">G3AVARG2    </v>
          </cell>
          <cell r="C447" t="str">
            <v>ANIANA VARGAS 2</v>
          </cell>
          <cell r="D447">
            <v>0.1</v>
          </cell>
          <cell r="E447">
            <v>0.1</v>
          </cell>
          <cell r="F447">
            <v>0.1</v>
          </cell>
          <cell r="G447">
            <v>0.1</v>
          </cell>
          <cell r="H447">
            <v>0.1</v>
          </cell>
          <cell r="I447">
            <v>0.1</v>
          </cell>
          <cell r="J447">
            <v>0.1</v>
          </cell>
          <cell r="K447">
            <v>0.1</v>
          </cell>
          <cell r="L447">
            <v>0.1</v>
          </cell>
          <cell r="M447">
            <v>0.1</v>
          </cell>
          <cell r="N447">
            <v>0.1</v>
          </cell>
          <cell r="O447">
            <v>0.1</v>
          </cell>
          <cell r="P447">
            <v>0.1</v>
          </cell>
          <cell r="Q447">
            <v>0.1</v>
          </cell>
          <cell r="R447">
            <v>0.1</v>
          </cell>
          <cell r="S447">
            <v>0.1</v>
          </cell>
          <cell r="T447">
            <v>0.1</v>
          </cell>
          <cell r="U447">
            <v>0.1</v>
          </cell>
          <cell r="V447">
            <v>0.1</v>
          </cell>
          <cell r="W447">
            <v>0.1</v>
          </cell>
          <cell r="X447">
            <v>0.1</v>
          </cell>
          <cell r="Y447">
            <v>0.1</v>
          </cell>
          <cell r="Z447">
            <v>0.1</v>
          </cell>
          <cell r="AA447">
            <v>0.1</v>
          </cell>
        </row>
        <row r="448">
          <cell r="B448" t="str">
            <v xml:space="preserve">G3DRODR1    </v>
          </cell>
          <cell r="C448" t="str">
            <v>DOMINGO RODRIGUEZ 1</v>
          </cell>
          <cell r="D448">
            <v>1.2</v>
          </cell>
          <cell r="E448">
            <v>1.2</v>
          </cell>
          <cell r="F448">
            <v>1.2</v>
          </cell>
          <cell r="G448">
            <v>1.2</v>
          </cell>
          <cell r="H448">
            <v>1.2</v>
          </cell>
          <cell r="I448">
            <v>1.2</v>
          </cell>
          <cell r="J448">
            <v>1.2</v>
          </cell>
          <cell r="K448">
            <v>1.2</v>
          </cell>
          <cell r="L448">
            <v>1.2</v>
          </cell>
          <cell r="M448">
            <v>1.2</v>
          </cell>
          <cell r="N448">
            <v>1.2</v>
          </cell>
          <cell r="O448">
            <v>1.2</v>
          </cell>
          <cell r="P448">
            <v>1.2</v>
          </cell>
          <cell r="Q448">
            <v>1.2</v>
          </cell>
          <cell r="R448">
            <v>1.2</v>
          </cell>
          <cell r="S448">
            <v>1.2</v>
          </cell>
          <cell r="T448">
            <v>1.2</v>
          </cell>
          <cell r="U448">
            <v>1.2</v>
          </cell>
          <cell r="V448">
            <v>1.2</v>
          </cell>
          <cell r="W448">
            <v>1.2</v>
          </cell>
          <cell r="X448">
            <v>1.2</v>
          </cell>
          <cell r="Y448">
            <v>1.2</v>
          </cell>
          <cell r="Z448">
            <v>1.2</v>
          </cell>
          <cell r="AA448">
            <v>1.2</v>
          </cell>
        </row>
        <row r="449">
          <cell r="B449" t="str">
            <v xml:space="preserve">G3DRODR2    </v>
          </cell>
          <cell r="C449" t="str">
            <v>DOMINGO RODRIGUEZ 2</v>
          </cell>
          <cell r="D449">
            <v>1.2</v>
          </cell>
          <cell r="E449">
            <v>1.2</v>
          </cell>
          <cell r="F449">
            <v>1.2</v>
          </cell>
          <cell r="G449">
            <v>1.2</v>
          </cell>
          <cell r="H449">
            <v>1.2</v>
          </cell>
          <cell r="I449">
            <v>1.2</v>
          </cell>
          <cell r="J449">
            <v>1.2</v>
          </cell>
          <cell r="K449">
            <v>1.2</v>
          </cell>
          <cell r="L449">
            <v>1.2</v>
          </cell>
          <cell r="M449">
            <v>1.2</v>
          </cell>
          <cell r="N449">
            <v>1.2</v>
          </cell>
          <cell r="O449">
            <v>1.2</v>
          </cell>
          <cell r="P449">
            <v>1.2</v>
          </cell>
          <cell r="Q449">
            <v>1.2</v>
          </cell>
          <cell r="R449">
            <v>1.2</v>
          </cell>
          <cell r="S449">
            <v>1.2</v>
          </cell>
          <cell r="T449">
            <v>1.2</v>
          </cell>
          <cell r="U449">
            <v>1.2</v>
          </cell>
          <cell r="V449">
            <v>1.2</v>
          </cell>
          <cell r="W449">
            <v>1.2</v>
          </cell>
          <cell r="X449">
            <v>1.2</v>
          </cell>
          <cell r="Y449">
            <v>1.2</v>
          </cell>
          <cell r="Z449">
            <v>1.2</v>
          </cell>
          <cell r="AA449">
            <v>1.2</v>
          </cell>
        </row>
        <row r="450">
          <cell r="B450" t="str">
            <v xml:space="preserve">G3RJCRUZ    </v>
          </cell>
          <cell r="C450" t="str">
            <v>ROSA JULIA DE LA CRUZ</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row>
        <row r="451">
          <cell r="B451" t="str">
            <v xml:space="preserve">G3MAGUE1    </v>
          </cell>
          <cell r="C451" t="str">
            <v>MAGUEYAL 1</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row>
        <row r="452">
          <cell r="B452" t="str">
            <v xml:space="preserve">G3MAGUE2    </v>
          </cell>
          <cell r="C452" t="str">
            <v>MAGUEYAL 2</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row>
        <row r="453">
          <cell r="B453" t="str">
            <v xml:space="preserve">G3LBARIA    </v>
          </cell>
          <cell r="C453" t="str">
            <v>LAS BARIAS</v>
          </cell>
          <cell r="D453">
            <v>0.5</v>
          </cell>
          <cell r="E453">
            <v>0.5</v>
          </cell>
          <cell r="F453">
            <v>0.5</v>
          </cell>
          <cell r="G453">
            <v>0.5</v>
          </cell>
          <cell r="H453">
            <v>0.5</v>
          </cell>
          <cell r="I453">
            <v>0.5</v>
          </cell>
          <cell r="J453">
            <v>0.5</v>
          </cell>
          <cell r="K453">
            <v>0.5</v>
          </cell>
          <cell r="L453">
            <v>0.5</v>
          </cell>
          <cell r="M453">
            <v>0.5</v>
          </cell>
          <cell r="N453">
            <v>0.5</v>
          </cell>
          <cell r="O453">
            <v>0.5</v>
          </cell>
          <cell r="P453">
            <v>0.5</v>
          </cell>
          <cell r="Q453">
            <v>0.5</v>
          </cell>
          <cell r="R453">
            <v>0.5</v>
          </cell>
          <cell r="S453">
            <v>0.5</v>
          </cell>
          <cell r="T453">
            <v>0.5</v>
          </cell>
          <cell r="U453">
            <v>0.5</v>
          </cell>
          <cell r="V453">
            <v>0.5</v>
          </cell>
          <cell r="W453">
            <v>0.5</v>
          </cell>
          <cell r="X453">
            <v>0.5</v>
          </cell>
          <cell r="Y453">
            <v>0.5</v>
          </cell>
          <cell r="Z453">
            <v>0.5</v>
          </cell>
          <cell r="AA453">
            <v>0.5</v>
          </cell>
        </row>
        <row r="454">
          <cell r="B454" t="str">
            <v xml:space="preserve">G3PINAL1    </v>
          </cell>
          <cell r="C454" t="str">
            <v>PINALITO 1</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18</v>
          </cell>
          <cell r="S454">
            <v>24.4</v>
          </cell>
          <cell r="T454">
            <v>18</v>
          </cell>
          <cell r="U454">
            <v>0</v>
          </cell>
          <cell r="V454">
            <v>0</v>
          </cell>
          <cell r="W454">
            <v>0</v>
          </cell>
          <cell r="X454">
            <v>0</v>
          </cell>
          <cell r="Y454">
            <v>0</v>
          </cell>
          <cell r="Z454">
            <v>0</v>
          </cell>
          <cell r="AA454">
            <v>0</v>
          </cell>
        </row>
        <row r="455">
          <cell r="B455" t="str">
            <v xml:space="preserve">G3PINAL2    </v>
          </cell>
          <cell r="C455" t="str">
            <v>PINALITO 2</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row>
        <row r="456">
          <cell r="B456" t="str">
            <v xml:space="preserve">G3BDEREC    </v>
          </cell>
          <cell r="C456" t="str">
            <v>BRAZO DERECHO</v>
          </cell>
          <cell r="D456">
            <v>1</v>
          </cell>
          <cell r="E456">
            <v>1</v>
          </cell>
          <cell r="F456">
            <v>1</v>
          </cell>
          <cell r="G456">
            <v>1</v>
          </cell>
          <cell r="H456">
            <v>1</v>
          </cell>
          <cell r="I456">
            <v>1</v>
          </cell>
          <cell r="J456">
            <v>1</v>
          </cell>
          <cell r="K456">
            <v>1</v>
          </cell>
          <cell r="L456">
            <v>1</v>
          </cell>
          <cell r="M456">
            <v>1</v>
          </cell>
          <cell r="N456">
            <v>1</v>
          </cell>
          <cell r="O456">
            <v>1</v>
          </cell>
          <cell r="P456">
            <v>1</v>
          </cell>
          <cell r="Q456">
            <v>1</v>
          </cell>
          <cell r="R456">
            <v>1</v>
          </cell>
          <cell r="S456">
            <v>1</v>
          </cell>
          <cell r="T456">
            <v>1</v>
          </cell>
          <cell r="U456">
            <v>1</v>
          </cell>
          <cell r="V456">
            <v>1</v>
          </cell>
          <cell r="W456">
            <v>1</v>
          </cell>
          <cell r="X456">
            <v>1</v>
          </cell>
          <cell r="Y456">
            <v>1</v>
          </cell>
          <cell r="Z456">
            <v>1</v>
          </cell>
          <cell r="AA456">
            <v>1</v>
          </cell>
        </row>
        <row r="457">
          <cell r="B457" t="str">
            <v xml:space="preserve">G3PALOM1    </v>
          </cell>
          <cell r="C457" t="str">
            <v>PALOMINO 1</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25</v>
          </cell>
          <cell r="W457">
            <v>34</v>
          </cell>
          <cell r="X457">
            <v>34</v>
          </cell>
          <cell r="Y457">
            <v>25</v>
          </cell>
          <cell r="Z457">
            <v>0</v>
          </cell>
          <cell r="AA457">
            <v>0</v>
          </cell>
        </row>
        <row r="458">
          <cell r="B458" t="str">
            <v xml:space="preserve">G3PALOM2    </v>
          </cell>
          <cell r="C458" t="str">
            <v>PALOMINO 2</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11">
          <cell r="A11" t="str">
            <v xml:space="preserve">    G3TAVER1</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3.1</v>
          </cell>
          <cell r="V11">
            <v>3.1</v>
          </cell>
          <cell r="W11">
            <v>3.1</v>
          </cell>
          <cell r="X11">
            <v>0</v>
          </cell>
          <cell r="Y11">
            <v>0</v>
          </cell>
        </row>
        <row r="12">
          <cell r="A12" t="str">
            <v xml:space="preserve">    G3TAVER2</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3.7</v>
          </cell>
          <cell r="V12">
            <v>0</v>
          </cell>
          <cell r="W12">
            <v>0</v>
          </cell>
          <cell r="X12">
            <v>0</v>
          </cell>
          <cell r="Y12">
            <v>0</v>
          </cell>
        </row>
        <row r="13">
          <cell r="A13" t="str">
            <v xml:space="preserve">    G3JIGUE2</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G3PELMCT</v>
          </cell>
          <cell r="B14">
            <v>10</v>
          </cell>
          <cell r="C14">
            <v>10</v>
          </cell>
          <cell r="D14">
            <v>10</v>
          </cell>
          <cell r="E14">
            <v>10</v>
          </cell>
          <cell r="F14">
            <v>10</v>
          </cell>
          <cell r="G14">
            <v>10</v>
          </cell>
          <cell r="H14">
            <v>10</v>
          </cell>
          <cell r="I14">
            <v>10</v>
          </cell>
          <cell r="J14">
            <v>10</v>
          </cell>
          <cell r="K14">
            <v>10</v>
          </cell>
          <cell r="L14">
            <v>10</v>
          </cell>
          <cell r="M14">
            <v>10</v>
          </cell>
          <cell r="N14">
            <v>10</v>
          </cell>
          <cell r="O14">
            <v>10</v>
          </cell>
          <cell r="P14">
            <v>10</v>
          </cell>
          <cell r="Q14">
            <v>10</v>
          </cell>
          <cell r="R14">
            <v>10</v>
          </cell>
          <cell r="S14">
            <v>10</v>
          </cell>
          <cell r="T14">
            <v>10</v>
          </cell>
          <cell r="U14">
            <v>10</v>
          </cell>
          <cell r="V14">
            <v>10</v>
          </cell>
          <cell r="W14">
            <v>10</v>
          </cell>
          <cell r="X14">
            <v>10</v>
          </cell>
          <cell r="Y14">
            <v>10</v>
          </cell>
        </row>
        <row r="15">
          <cell r="A15" t="str">
            <v xml:space="preserve">    G3JIGUE1</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2.2999999999999998</v>
          </cell>
          <cell r="S15">
            <v>2.2999999999999998</v>
          </cell>
          <cell r="T15">
            <v>2.2999999999999998</v>
          </cell>
          <cell r="U15">
            <v>0</v>
          </cell>
          <cell r="V15">
            <v>0</v>
          </cell>
          <cell r="W15">
            <v>0</v>
          </cell>
          <cell r="X15">
            <v>0</v>
          </cell>
          <cell r="Y15">
            <v>0</v>
          </cell>
        </row>
        <row r="16">
          <cell r="A16" t="str">
            <v xml:space="preserve">    G3AGUAC1</v>
          </cell>
          <cell r="B16">
            <v>0</v>
          </cell>
          <cell r="C16">
            <v>0</v>
          </cell>
          <cell r="D16">
            <v>0</v>
          </cell>
          <cell r="E16">
            <v>0</v>
          </cell>
          <cell r="F16">
            <v>0</v>
          </cell>
          <cell r="G16">
            <v>0</v>
          </cell>
          <cell r="H16">
            <v>0</v>
          </cell>
          <cell r="I16">
            <v>0</v>
          </cell>
          <cell r="J16">
            <v>0</v>
          </cell>
          <cell r="K16">
            <v>0</v>
          </cell>
          <cell r="L16">
            <v>3</v>
          </cell>
          <cell r="M16">
            <v>3</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G3VALDE2</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G3AANDRE</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G3HAINAG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G3PALOM1</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6</v>
          </cell>
          <cell r="V20">
            <v>6</v>
          </cell>
          <cell r="W20">
            <v>0</v>
          </cell>
          <cell r="X20">
            <v>0</v>
          </cell>
          <cell r="Y20">
            <v>0</v>
          </cell>
        </row>
        <row r="21">
          <cell r="A21" t="str">
            <v xml:space="preserve">    G3PALOM2</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A22" t="str">
            <v xml:space="preserve">    G3AGUAC2</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v>
          </cell>
          <cell r="U22">
            <v>2</v>
          </cell>
          <cell r="V22">
            <v>0</v>
          </cell>
          <cell r="W22">
            <v>0</v>
          </cell>
          <cell r="X22">
            <v>0</v>
          </cell>
          <cell r="Y22">
            <v>0</v>
          </cell>
        </row>
        <row r="23">
          <cell r="A23" t="str">
            <v xml:space="preserve">    G3SFELIP</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G3LMINA6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row>
        <row r="25">
          <cell r="A25" t="str">
            <v xml:space="preserve">    G3LMINA5</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row>
        <row r="26">
          <cell r="A26" t="str">
            <v xml:space="preserve">    G3VALDE1</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 xml:space="preserve">    G3MONCI2</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row>
        <row r="28">
          <cell r="A28" t="str">
            <v xml:space="preserve">    G3LANGOS</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row>
        <row r="29">
          <cell r="A29" t="str">
            <v xml:space="preserve">    G3MONCI1</v>
          </cell>
          <cell r="B29">
            <v>0</v>
          </cell>
          <cell r="C29">
            <v>0</v>
          </cell>
          <cell r="D29">
            <v>0</v>
          </cell>
          <cell r="E29">
            <v>0</v>
          </cell>
          <cell r="F29">
            <v>0</v>
          </cell>
          <cell r="G29">
            <v>0</v>
          </cell>
          <cell r="H29">
            <v>0</v>
          </cell>
          <cell r="I29">
            <v>0</v>
          </cell>
          <cell r="J29">
            <v>0</v>
          </cell>
          <cell r="K29">
            <v>2.4500000000000002</v>
          </cell>
          <cell r="L29">
            <v>2.4500000000000002</v>
          </cell>
          <cell r="M29">
            <v>2.4500000000000002</v>
          </cell>
          <cell r="N29">
            <v>0</v>
          </cell>
          <cell r="O29">
            <v>0</v>
          </cell>
          <cell r="P29">
            <v>0</v>
          </cell>
          <cell r="Q29">
            <v>0</v>
          </cell>
          <cell r="R29">
            <v>0</v>
          </cell>
          <cell r="S29">
            <v>2.4500000000000002</v>
          </cell>
          <cell r="T29">
            <v>2.4500000000000002</v>
          </cell>
          <cell r="U29">
            <v>1.66</v>
          </cell>
          <cell r="V29">
            <v>0</v>
          </cell>
          <cell r="W29">
            <v>0</v>
          </cell>
          <cell r="X29">
            <v>0</v>
          </cell>
          <cell r="Y29">
            <v>0</v>
          </cell>
        </row>
        <row r="30">
          <cell r="A30" t="str">
            <v xml:space="preserve">    G3CESPM2</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G3PINAL1</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0.6</v>
          </cell>
          <cell r="R31">
            <v>0</v>
          </cell>
          <cell r="S31">
            <v>0</v>
          </cell>
          <cell r="T31">
            <v>0</v>
          </cell>
          <cell r="U31">
            <v>0</v>
          </cell>
          <cell r="V31">
            <v>0</v>
          </cell>
          <cell r="W31">
            <v>0</v>
          </cell>
          <cell r="X31">
            <v>0</v>
          </cell>
          <cell r="Y31">
            <v>0</v>
          </cell>
        </row>
        <row r="32">
          <cell r="A32" t="str">
            <v xml:space="preserve">    G3PINAL2</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G3CESPM1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G3HATILL</v>
          </cell>
          <cell r="B34">
            <v>0.9</v>
          </cell>
          <cell r="C34">
            <v>0.9</v>
          </cell>
          <cell r="D34">
            <v>0.9</v>
          </cell>
          <cell r="E34">
            <v>0.9</v>
          </cell>
          <cell r="F34">
            <v>0.9</v>
          </cell>
          <cell r="G34">
            <v>0.9</v>
          </cell>
          <cell r="H34">
            <v>0.9</v>
          </cell>
          <cell r="I34">
            <v>0.9</v>
          </cell>
          <cell r="J34">
            <v>0.9</v>
          </cell>
          <cell r="K34">
            <v>0.9</v>
          </cell>
          <cell r="L34">
            <v>0.9</v>
          </cell>
          <cell r="M34">
            <v>0.9</v>
          </cell>
          <cell r="N34">
            <v>0.9</v>
          </cell>
          <cell r="O34">
            <v>0.9</v>
          </cell>
          <cell r="P34">
            <v>0.9</v>
          </cell>
          <cell r="Q34">
            <v>0.9</v>
          </cell>
          <cell r="R34">
            <v>0.9</v>
          </cell>
          <cell r="S34">
            <v>0.9</v>
          </cell>
          <cell r="T34">
            <v>0.9</v>
          </cell>
          <cell r="U34">
            <v>0.24</v>
          </cell>
          <cell r="V34">
            <v>0.9</v>
          </cell>
          <cell r="W34">
            <v>0.9</v>
          </cell>
          <cell r="X34">
            <v>0.9</v>
          </cell>
          <cell r="Y34">
            <v>0.9</v>
          </cell>
        </row>
        <row r="35">
          <cell r="A35" t="str">
            <v xml:space="preserve">    G3RBLAN2</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1</v>
          </cell>
          <cell r="T35">
            <v>0</v>
          </cell>
          <cell r="U35">
            <v>0</v>
          </cell>
          <cell r="V35">
            <v>0</v>
          </cell>
          <cell r="W35">
            <v>0</v>
          </cell>
          <cell r="X35">
            <v>0</v>
          </cell>
          <cell r="Y35">
            <v>0</v>
          </cell>
        </row>
        <row r="36">
          <cell r="A36" t="str">
            <v xml:space="preserve">    G3RBLAN1</v>
          </cell>
          <cell r="B36">
            <v>0</v>
          </cell>
          <cell r="C36">
            <v>0</v>
          </cell>
          <cell r="D36">
            <v>0</v>
          </cell>
          <cell r="E36">
            <v>0</v>
          </cell>
          <cell r="F36">
            <v>0</v>
          </cell>
          <cell r="G36">
            <v>0</v>
          </cell>
          <cell r="H36">
            <v>0</v>
          </cell>
          <cell r="I36">
            <v>0</v>
          </cell>
          <cell r="J36">
            <v>0</v>
          </cell>
          <cell r="K36">
            <v>0</v>
          </cell>
          <cell r="L36">
            <v>1</v>
          </cell>
          <cell r="M36">
            <v>1</v>
          </cell>
          <cell r="N36">
            <v>0</v>
          </cell>
          <cell r="O36">
            <v>0</v>
          </cell>
          <cell r="P36">
            <v>0</v>
          </cell>
          <cell r="Q36">
            <v>1</v>
          </cell>
          <cell r="R36">
            <v>1</v>
          </cell>
          <cell r="S36">
            <v>1</v>
          </cell>
          <cell r="T36">
            <v>1</v>
          </cell>
          <cell r="U36">
            <v>0</v>
          </cell>
          <cell r="V36">
            <v>0</v>
          </cell>
          <cell r="W36">
            <v>0</v>
          </cell>
          <cell r="X36">
            <v>0</v>
          </cell>
          <cell r="Y36">
            <v>0</v>
          </cell>
        </row>
        <row r="37">
          <cell r="A37" t="str">
            <v xml:space="preserve">    G3SYEGUA</v>
          </cell>
          <cell r="B37">
            <v>0.4</v>
          </cell>
          <cell r="C37">
            <v>0.4</v>
          </cell>
          <cell r="D37">
            <v>0.4</v>
          </cell>
          <cell r="E37">
            <v>0.4</v>
          </cell>
          <cell r="F37">
            <v>0.4</v>
          </cell>
          <cell r="G37">
            <v>0.4</v>
          </cell>
          <cell r="H37">
            <v>0.4</v>
          </cell>
          <cell r="I37">
            <v>0.4</v>
          </cell>
          <cell r="J37">
            <v>0.4</v>
          </cell>
          <cell r="K37">
            <v>0.4</v>
          </cell>
          <cell r="L37">
            <v>0.4</v>
          </cell>
          <cell r="M37">
            <v>0.4</v>
          </cell>
          <cell r="N37">
            <v>0.4</v>
          </cell>
          <cell r="O37">
            <v>0.4</v>
          </cell>
          <cell r="P37">
            <v>0.4</v>
          </cell>
          <cell r="Q37">
            <v>0.4</v>
          </cell>
          <cell r="R37">
            <v>0.4</v>
          </cell>
          <cell r="S37">
            <v>0.4</v>
          </cell>
          <cell r="T37">
            <v>0.4</v>
          </cell>
          <cell r="U37">
            <v>0.21</v>
          </cell>
          <cell r="V37">
            <v>0.4</v>
          </cell>
          <cell r="W37">
            <v>0.4</v>
          </cell>
          <cell r="X37">
            <v>0.4</v>
          </cell>
          <cell r="Y37">
            <v>0.4</v>
          </cell>
        </row>
        <row r="38">
          <cell r="A38" t="str">
            <v xml:space="preserve">    G3CESPM3</v>
          </cell>
          <cell r="B38">
            <v>3.2</v>
          </cell>
          <cell r="C38">
            <v>3.2</v>
          </cell>
          <cell r="D38">
            <v>3.2</v>
          </cell>
          <cell r="E38">
            <v>3.2</v>
          </cell>
          <cell r="F38">
            <v>3.2</v>
          </cell>
          <cell r="G38">
            <v>3.2</v>
          </cell>
          <cell r="H38">
            <v>3.2</v>
          </cell>
          <cell r="I38">
            <v>3.2</v>
          </cell>
          <cell r="J38">
            <v>3.2</v>
          </cell>
          <cell r="K38">
            <v>3.2</v>
          </cell>
          <cell r="L38">
            <v>3.2</v>
          </cell>
          <cell r="M38">
            <v>3.2</v>
          </cell>
          <cell r="N38">
            <v>3.2</v>
          </cell>
          <cell r="O38">
            <v>3.2</v>
          </cell>
          <cell r="P38">
            <v>3.2</v>
          </cell>
          <cell r="Q38">
            <v>3.2</v>
          </cell>
          <cell r="R38">
            <v>3.2</v>
          </cell>
          <cell r="S38">
            <v>3.2</v>
          </cell>
          <cell r="T38">
            <v>3.2</v>
          </cell>
          <cell r="U38">
            <v>2.85</v>
          </cell>
          <cell r="V38">
            <v>0</v>
          </cell>
          <cell r="W38">
            <v>0</v>
          </cell>
          <cell r="X38">
            <v>0</v>
          </cell>
          <cell r="Y38">
            <v>0</v>
          </cell>
        </row>
        <row r="39">
          <cell r="A39" t="str">
            <v xml:space="preserve">    G3RINCON</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row>
        <row r="40">
          <cell r="A40" t="str">
            <v xml:space="preserve">    G3LDAMAS</v>
          </cell>
          <cell r="B40">
            <v>0.3</v>
          </cell>
          <cell r="C40">
            <v>0.3</v>
          </cell>
          <cell r="D40">
            <v>0.3</v>
          </cell>
          <cell r="E40">
            <v>0.3</v>
          </cell>
          <cell r="F40">
            <v>0.3</v>
          </cell>
          <cell r="G40">
            <v>0.3</v>
          </cell>
          <cell r="H40">
            <v>0.3</v>
          </cell>
          <cell r="I40">
            <v>0.3</v>
          </cell>
          <cell r="J40">
            <v>0.3</v>
          </cell>
          <cell r="K40">
            <v>0.3</v>
          </cell>
          <cell r="L40">
            <v>0.3</v>
          </cell>
          <cell r="M40">
            <v>0.3</v>
          </cell>
          <cell r="N40">
            <v>0.3</v>
          </cell>
          <cell r="O40">
            <v>0.3</v>
          </cell>
          <cell r="P40">
            <v>0.3</v>
          </cell>
          <cell r="Q40">
            <v>0.3</v>
          </cell>
          <cell r="R40">
            <v>0.3</v>
          </cell>
          <cell r="S40">
            <v>0.3</v>
          </cell>
          <cell r="T40">
            <v>0.3</v>
          </cell>
          <cell r="U40">
            <v>0.12</v>
          </cell>
          <cell r="V40">
            <v>0.3</v>
          </cell>
          <cell r="W40">
            <v>0.3</v>
          </cell>
          <cell r="X40">
            <v>0.3</v>
          </cell>
          <cell r="Y40">
            <v>0.3</v>
          </cell>
        </row>
        <row r="41">
          <cell r="A41" t="str">
            <v xml:space="preserve">    G3QUISQ2</v>
          </cell>
          <cell r="B41">
            <v>20.88</v>
          </cell>
          <cell r="C41">
            <v>20.88</v>
          </cell>
          <cell r="D41">
            <v>20.88</v>
          </cell>
          <cell r="E41">
            <v>19.78</v>
          </cell>
          <cell r="F41">
            <v>19.14</v>
          </cell>
          <cell r="G41">
            <v>20.67</v>
          </cell>
          <cell r="H41">
            <v>18.829999999999998</v>
          </cell>
          <cell r="I41">
            <v>19.559999999999999</v>
          </cell>
          <cell r="J41">
            <v>20.28</v>
          </cell>
          <cell r="K41">
            <v>13.63</v>
          </cell>
          <cell r="L41">
            <v>14.81</v>
          </cell>
          <cell r="M41">
            <v>18.77</v>
          </cell>
          <cell r="N41">
            <v>20.88</v>
          </cell>
          <cell r="O41">
            <v>20.88</v>
          </cell>
          <cell r="P41">
            <v>20.88</v>
          </cell>
          <cell r="Q41">
            <v>17.82</v>
          </cell>
          <cell r="R41">
            <v>16.89</v>
          </cell>
          <cell r="S41">
            <v>13.52</v>
          </cell>
          <cell r="T41">
            <v>12.57</v>
          </cell>
          <cell r="U41">
            <v>12.17</v>
          </cell>
          <cell r="V41">
            <v>12.37</v>
          </cell>
          <cell r="W41">
            <v>16.98</v>
          </cell>
          <cell r="X41">
            <v>20.88</v>
          </cell>
          <cell r="Y41">
            <v>20.88</v>
          </cell>
        </row>
        <row r="42">
          <cell r="A42" t="str">
            <v xml:space="preserve">    G3Q1SPED</v>
          </cell>
          <cell r="B42">
            <v>1.54</v>
          </cell>
          <cell r="C42">
            <v>2.92</v>
          </cell>
          <cell r="D42">
            <v>1.54</v>
          </cell>
          <cell r="E42">
            <v>1.54</v>
          </cell>
          <cell r="F42">
            <v>1.54</v>
          </cell>
          <cell r="G42">
            <v>1.54</v>
          </cell>
          <cell r="H42">
            <v>1.54</v>
          </cell>
          <cell r="I42">
            <v>1.54</v>
          </cell>
          <cell r="J42">
            <v>1.54</v>
          </cell>
          <cell r="K42">
            <v>1.54</v>
          </cell>
          <cell r="L42">
            <v>1.54</v>
          </cell>
          <cell r="M42">
            <v>1.54</v>
          </cell>
          <cell r="N42">
            <v>2.96</v>
          </cell>
          <cell r="O42">
            <v>2.0499999999999998</v>
          </cell>
          <cell r="P42">
            <v>2.0499999999999998</v>
          </cell>
          <cell r="Q42">
            <v>2.0499999999999998</v>
          </cell>
          <cell r="R42">
            <v>2.0499999999999998</v>
          </cell>
          <cell r="S42">
            <v>2.0499999999999998</v>
          </cell>
          <cell r="T42">
            <v>2.0499999999999998</v>
          </cell>
          <cell r="U42">
            <v>2.0499999999999998</v>
          </cell>
          <cell r="V42">
            <v>2.0499999999999998</v>
          </cell>
          <cell r="W42">
            <v>2.0499999999999998</v>
          </cell>
          <cell r="X42">
            <v>2.0499999999999998</v>
          </cell>
          <cell r="Y42">
            <v>2.0499999999999998</v>
          </cell>
        </row>
        <row r="43">
          <cell r="A43" t="str">
            <v xml:space="preserve">    G3QUISQ1</v>
          </cell>
          <cell r="B43">
            <v>7.72</v>
          </cell>
          <cell r="C43">
            <v>4.62</v>
          </cell>
          <cell r="D43">
            <v>5.67</v>
          </cell>
          <cell r="E43">
            <v>4.62</v>
          </cell>
          <cell r="F43">
            <v>5.44</v>
          </cell>
          <cell r="G43">
            <v>4.62</v>
          </cell>
          <cell r="H43">
            <v>4.62</v>
          </cell>
          <cell r="I43">
            <v>4.62</v>
          </cell>
          <cell r="J43">
            <v>4.62</v>
          </cell>
          <cell r="K43">
            <v>4.62</v>
          </cell>
          <cell r="L43">
            <v>4.62</v>
          </cell>
          <cell r="M43">
            <v>4.62</v>
          </cell>
          <cell r="N43">
            <v>4.62</v>
          </cell>
          <cell r="O43">
            <v>5.16</v>
          </cell>
          <cell r="P43">
            <v>4.7300000000000004</v>
          </cell>
          <cell r="Q43">
            <v>4.62</v>
          </cell>
          <cell r="R43">
            <v>4.62</v>
          </cell>
          <cell r="S43">
            <v>4.62</v>
          </cell>
          <cell r="T43">
            <v>4.62</v>
          </cell>
          <cell r="U43">
            <v>4.62</v>
          </cell>
          <cell r="V43">
            <v>4.62</v>
          </cell>
          <cell r="W43">
            <v>4.62</v>
          </cell>
          <cell r="X43">
            <v>8.18</v>
          </cell>
          <cell r="Y43">
            <v>7.6</v>
          </cell>
        </row>
        <row r="44">
          <cell r="A44" t="str">
            <v xml:space="preserve">    G3EM2SFO</v>
          </cell>
          <cell r="B44">
            <v>0</v>
          </cell>
          <cell r="C44">
            <v>0</v>
          </cell>
          <cell r="D44">
            <v>0</v>
          </cell>
          <cell r="E44">
            <v>0</v>
          </cell>
          <cell r="F44">
            <v>0</v>
          </cell>
          <cell r="G44">
            <v>0</v>
          </cell>
          <cell r="H44">
            <v>3.08</v>
          </cell>
          <cell r="I44">
            <v>3.08</v>
          </cell>
          <cell r="J44">
            <v>3.08</v>
          </cell>
          <cell r="K44">
            <v>3.08</v>
          </cell>
          <cell r="L44">
            <v>3.08</v>
          </cell>
          <cell r="M44">
            <v>3.08</v>
          </cell>
          <cell r="N44">
            <v>3.08</v>
          </cell>
          <cell r="O44">
            <v>3.08</v>
          </cell>
          <cell r="P44">
            <v>3.08</v>
          </cell>
          <cell r="Q44">
            <v>3.08</v>
          </cell>
          <cell r="R44">
            <v>3.08</v>
          </cell>
          <cell r="S44">
            <v>3.08</v>
          </cell>
          <cell r="T44">
            <v>0</v>
          </cell>
          <cell r="U44">
            <v>0</v>
          </cell>
          <cell r="V44">
            <v>0</v>
          </cell>
          <cell r="W44">
            <v>0</v>
          </cell>
          <cell r="X44">
            <v>0</v>
          </cell>
          <cell r="Y44">
            <v>0</v>
          </cell>
        </row>
        <row r="45">
          <cell r="A45" t="str">
            <v xml:space="preserve">    G3EM2CFO</v>
          </cell>
          <cell r="B45">
            <v>2.0499999999999998</v>
          </cell>
          <cell r="C45">
            <v>2.0499999999999998</v>
          </cell>
          <cell r="D45">
            <v>2.0499999999999998</v>
          </cell>
          <cell r="E45">
            <v>2.0499999999999998</v>
          </cell>
          <cell r="F45">
            <v>2.0499999999999998</v>
          </cell>
          <cell r="G45">
            <v>2.0499999999999998</v>
          </cell>
          <cell r="H45">
            <v>0</v>
          </cell>
          <cell r="I45">
            <v>0</v>
          </cell>
          <cell r="J45">
            <v>0</v>
          </cell>
          <cell r="K45">
            <v>0</v>
          </cell>
          <cell r="L45">
            <v>0</v>
          </cell>
          <cell r="M45">
            <v>0</v>
          </cell>
          <cell r="N45">
            <v>0</v>
          </cell>
          <cell r="O45">
            <v>0</v>
          </cell>
          <cell r="P45">
            <v>0</v>
          </cell>
          <cell r="Q45">
            <v>0</v>
          </cell>
          <cell r="R45">
            <v>0</v>
          </cell>
          <cell r="S45">
            <v>0</v>
          </cell>
          <cell r="T45">
            <v>2.0499999999999998</v>
          </cell>
          <cell r="U45">
            <v>2.0499999999999998</v>
          </cell>
          <cell r="V45">
            <v>2.0499999999999998</v>
          </cell>
          <cell r="W45">
            <v>2.0499999999999998</v>
          </cell>
          <cell r="X45">
            <v>2.0499999999999998</v>
          </cell>
          <cell r="Y45">
            <v>2.0499999999999998</v>
          </cell>
        </row>
        <row r="46">
          <cell r="A46" t="str">
            <v xml:space="preserve">    G3EM2SGN</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A47" t="str">
            <v xml:space="preserve">    G3EM2CGN</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 xml:space="preserve">    G3PIMEN3</v>
          </cell>
          <cell r="B48">
            <v>1.53</v>
          </cell>
          <cell r="C48">
            <v>1.53</v>
          </cell>
          <cell r="D48">
            <v>1.53</v>
          </cell>
          <cell r="E48">
            <v>1.53</v>
          </cell>
          <cell r="F48">
            <v>1.53</v>
          </cell>
          <cell r="G48">
            <v>1.53</v>
          </cell>
          <cell r="H48">
            <v>1.53</v>
          </cell>
          <cell r="I48">
            <v>1.53</v>
          </cell>
          <cell r="J48">
            <v>1.53</v>
          </cell>
          <cell r="K48">
            <v>1.53</v>
          </cell>
          <cell r="L48">
            <v>1.53</v>
          </cell>
          <cell r="M48">
            <v>1.53</v>
          </cell>
          <cell r="N48">
            <v>1.53</v>
          </cell>
          <cell r="O48">
            <v>1.53</v>
          </cell>
          <cell r="P48">
            <v>1.53</v>
          </cell>
          <cell r="Q48">
            <v>1.53</v>
          </cell>
          <cell r="R48">
            <v>1.53</v>
          </cell>
          <cell r="S48">
            <v>1.53</v>
          </cell>
          <cell r="T48">
            <v>1.53</v>
          </cell>
          <cell r="U48">
            <v>1.53</v>
          </cell>
          <cell r="V48">
            <v>1.53</v>
          </cell>
          <cell r="W48">
            <v>1.53</v>
          </cell>
          <cell r="X48">
            <v>1.53</v>
          </cell>
          <cell r="Y48">
            <v>1.53</v>
          </cell>
        </row>
        <row r="49">
          <cell r="A49" t="str">
            <v xml:space="preserve">     G3CEPP2</v>
          </cell>
          <cell r="B49">
            <v>1.2</v>
          </cell>
          <cell r="C49">
            <v>1.2</v>
          </cell>
          <cell r="D49">
            <v>1.2</v>
          </cell>
          <cell r="E49">
            <v>1.2</v>
          </cell>
          <cell r="F49">
            <v>1.2</v>
          </cell>
          <cell r="G49">
            <v>1.03</v>
          </cell>
          <cell r="H49">
            <v>1.2</v>
          </cell>
          <cell r="I49">
            <v>1.2</v>
          </cell>
          <cell r="J49">
            <v>1.2</v>
          </cell>
          <cell r="K49">
            <v>1.2</v>
          </cell>
          <cell r="L49">
            <v>1.2</v>
          </cell>
          <cell r="M49">
            <v>1.2</v>
          </cell>
          <cell r="N49">
            <v>1.2</v>
          </cell>
          <cell r="O49">
            <v>1.2</v>
          </cell>
          <cell r="P49">
            <v>1.2</v>
          </cell>
          <cell r="Q49">
            <v>1.2</v>
          </cell>
          <cell r="R49">
            <v>1.2</v>
          </cell>
          <cell r="S49">
            <v>1.2</v>
          </cell>
          <cell r="T49">
            <v>1.2</v>
          </cell>
          <cell r="U49">
            <v>1.2</v>
          </cell>
          <cell r="V49">
            <v>1.2</v>
          </cell>
          <cell r="W49">
            <v>1.2</v>
          </cell>
          <cell r="X49">
            <v>1.2</v>
          </cell>
          <cell r="Y49">
            <v>1.2</v>
          </cell>
        </row>
        <row r="50">
          <cell r="A50" t="str">
            <v xml:space="preserve">     G3CEPP1</v>
          </cell>
          <cell r="B50">
            <v>0.38</v>
          </cell>
          <cell r="C50">
            <v>0.38</v>
          </cell>
          <cell r="D50">
            <v>0.38</v>
          </cell>
          <cell r="E50">
            <v>0.38</v>
          </cell>
          <cell r="F50">
            <v>0.38</v>
          </cell>
          <cell r="G50">
            <v>0.38</v>
          </cell>
          <cell r="H50">
            <v>0.38</v>
          </cell>
          <cell r="I50">
            <v>0.38</v>
          </cell>
          <cell r="J50">
            <v>0.38</v>
          </cell>
          <cell r="K50">
            <v>0.38</v>
          </cell>
          <cell r="L50">
            <v>0.38</v>
          </cell>
          <cell r="M50">
            <v>0.38</v>
          </cell>
          <cell r="N50">
            <v>0.38</v>
          </cell>
          <cell r="O50">
            <v>0.38</v>
          </cell>
          <cell r="P50">
            <v>0.38</v>
          </cell>
          <cell r="Q50">
            <v>0.38</v>
          </cell>
          <cell r="R50">
            <v>0.38</v>
          </cell>
          <cell r="S50">
            <v>0.38</v>
          </cell>
          <cell r="T50">
            <v>0.38</v>
          </cell>
          <cell r="U50">
            <v>0.38</v>
          </cell>
          <cell r="V50">
            <v>0.38</v>
          </cell>
          <cell r="W50">
            <v>0.38</v>
          </cell>
          <cell r="X50">
            <v>0.38</v>
          </cell>
          <cell r="Y50">
            <v>0.38</v>
          </cell>
        </row>
        <row r="51">
          <cell r="A51" t="str">
            <v xml:space="preserve">    G3PIMEN2</v>
          </cell>
          <cell r="B51">
            <v>0</v>
          </cell>
          <cell r="C51">
            <v>0</v>
          </cell>
          <cell r="D51">
            <v>0</v>
          </cell>
          <cell r="E51">
            <v>0</v>
          </cell>
          <cell r="F51">
            <v>0</v>
          </cell>
          <cell r="G51">
            <v>0</v>
          </cell>
          <cell r="H51">
            <v>0</v>
          </cell>
          <cell r="I51">
            <v>0</v>
          </cell>
          <cell r="J51">
            <v>0</v>
          </cell>
          <cell r="K51">
            <v>0</v>
          </cell>
          <cell r="L51">
            <v>0.84</v>
          </cell>
          <cell r="M51">
            <v>0.84</v>
          </cell>
          <cell r="N51">
            <v>0.84</v>
          </cell>
          <cell r="O51">
            <v>0.84</v>
          </cell>
          <cell r="P51">
            <v>0.84</v>
          </cell>
          <cell r="Q51">
            <v>0.84</v>
          </cell>
          <cell r="R51">
            <v>0.84</v>
          </cell>
          <cell r="S51">
            <v>0.84</v>
          </cell>
          <cell r="T51">
            <v>0.84</v>
          </cell>
          <cell r="U51">
            <v>0.84</v>
          </cell>
          <cell r="V51">
            <v>0.84</v>
          </cell>
          <cell r="W51">
            <v>0.84</v>
          </cell>
          <cell r="X51">
            <v>0.84</v>
          </cell>
          <cell r="Y51">
            <v>0.84</v>
          </cell>
        </row>
        <row r="52">
          <cell r="A52" t="str">
            <v xml:space="preserve">    G3METALD</v>
          </cell>
          <cell r="B52">
            <v>1.08</v>
          </cell>
          <cell r="C52">
            <v>1.08</v>
          </cell>
          <cell r="D52">
            <v>1.08</v>
          </cell>
          <cell r="E52">
            <v>0</v>
          </cell>
          <cell r="F52">
            <v>0</v>
          </cell>
          <cell r="G52">
            <v>0</v>
          </cell>
          <cell r="H52">
            <v>0</v>
          </cell>
          <cell r="I52">
            <v>0.81</v>
          </cell>
          <cell r="J52">
            <v>1.08</v>
          </cell>
          <cell r="K52">
            <v>1.08</v>
          </cell>
          <cell r="L52">
            <v>1.08</v>
          </cell>
          <cell r="M52">
            <v>1.08</v>
          </cell>
          <cell r="N52">
            <v>1.08</v>
          </cell>
          <cell r="O52">
            <v>1.08</v>
          </cell>
          <cell r="P52">
            <v>1.08</v>
          </cell>
          <cell r="Q52">
            <v>1.08</v>
          </cell>
          <cell r="R52">
            <v>1.08</v>
          </cell>
          <cell r="S52">
            <v>1.08</v>
          </cell>
          <cell r="T52">
            <v>1.08</v>
          </cell>
          <cell r="U52">
            <v>1.08</v>
          </cell>
          <cell r="V52">
            <v>1.08</v>
          </cell>
          <cell r="W52">
            <v>1.08</v>
          </cell>
          <cell r="X52">
            <v>1.08</v>
          </cell>
          <cell r="Y52">
            <v>1.08</v>
          </cell>
        </row>
        <row r="53">
          <cell r="A53" t="str">
            <v xml:space="preserve">    G3LTORO1</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4">
          <cell r="A54" t="str">
            <v xml:space="preserve">    G3PIMEN1</v>
          </cell>
          <cell r="B54">
            <v>0.96</v>
          </cell>
          <cell r="C54">
            <v>0.96</v>
          </cell>
          <cell r="D54">
            <v>0</v>
          </cell>
          <cell r="E54">
            <v>0</v>
          </cell>
          <cell r="F54">
            <v>0</v>
          </cell>
          <cell r="G54">
            <v>0</v>
          </cell>
          <cell r="H54">
            <v>0</v>
          </cell>
          <cell r="I54">
            <v>0</v>
          </cell>
          <cell r="J54">
            <v>0</v>
          </cell>
          <cell r="K54">
            <v>0.96</v>
          </cell>
          <cell r="L54">
            <v>0.96</v>
          </cell>
          <cell r="M54">
            <v>0.96</v>
          </cell>
          <cell r="N54">
            <v>0.96</v>
          </cell>
          <cell r="O54">
            <v>0.96</v>
          </cell>
          <cell r="P54">
            <v>0.96</v>
          </cell>
          <cell r="Q54">
            <v>0.96</v>
          </cell>
          <cell r="R54">
            <v>0.96</v>
          </cell>
          <cell r="S54">
            <v>0.96</v>
          </cell>
          <cell r="T54">
            <v>0.96</v>
          </cell>
          <cell r="U54">
            <v>0.96</v>
          </cell>
          <cell r="V54">
            <v>0.96</v>
          </cell>
          <cell r="W54">
            <v>0.96</v>
          </cell>
          <cell r="X54">
            <v>0.96</v>
          </cell>
          <cell r="Y54">
            <v>0.96</v>
          </cell>
        </row>
        <row r="55">
          <cell r="A55" t="str">
            <v xml:space="preserve">     G3SESTE</v>
          </cell>
          <cell r="B55">
            <v>2</v>
          </cell>
          <cell r="C55">
            <v>2</v>
          </cell>
          <cell r="D55">
            <v>2</v>
          </cell>
          <cell r="E55">
            <v>2</v>
          </cell>
          <cell r="F55">
            <v>2</v>
          </cell>
          <cell r="G55">
            <v>1.5</v>
          </cell>
          <cell r="H55">
            <v>2</v>
          </cell>
          <cell r="I55">
            <v>2</v>
          </cell>
          <cell r="J55">
            <v>2</v>
          </cell>
          <cell r="K55">
            <v>2</v>
          </cell>
          <cell r="L55">
            <v>2</v>
          </cell>
          <cell r="M55">
            <v>2</v>
          </cell>
          <cell r="N55">
            <v>2</v>
          </cell>
          <cell r="O55">
            <v>2</v>
          </cell>
          <cell r="P55">
            <v>2</v>
          </cell>
          <cell r="Q55">
            <v>2</v>
          </cell>
          <cell r="R55">
            <v>2</v>
          </cell>
          <cell r="S55">
            <v>2</v>
          </cell>
          <cell r="T55">
            <v>2</v>
          </cell>
          <cell r="U55">
            <v>2</v>
          </cell>
          <cell r="V55">
            <v>2</v>
          </cell>
          <cell r="W55">
            <v>2</v>
          </cell>
          <cell r="X55">
            <v>2</v>
          </cell>
          <cell r="Y55">
            <v>2</v>
          </cell>
        </row>
        <row r="56">
          <cell r="A56" t="str">
            <v xml:space="preserve">    G3LTORO2</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row>
        <row r="57">
          <cell r="A57" t="str">
            <v xml:space="preserve">    G3BERSAL</v>
          </cell>
          <cell r="B57">
            <v>0.7</v>
          </cell>
          <cell r="C57">
            <v>0</v>
          </cell>
          <cell r="D57">
            <v>0</v>
          </cell>
          <cell r="E57">
            <v>0</v>
          </cell>
          <cell r="F57">
            <v>0</v>
          </cell>
          <cell r="G57">
            <v>0</v>
          </cell>
          <cell r="H57">
            <v>0</v>
          </cell>
          <cell r="I57">
            <v>0</v>
          </cell>
          <cell r="J57">
            <v>0.54</v>
          </cell>
          <cell r="K57">
            <v>0.7</v>
          </cell>
          <cell r="L57">
            <v>0.7</v>
          </cell>
          <cell r="M57">
            <v>0.7</v>
          </cell>
          <cell r="N57">
            <v>0</v>
          </cell>
          <cell r="O57">
            <v>0.36</v>
          </cell>
          <cell r="P57">
            <v>0.7</v>
          </cell>
          <cell r="Q57">
            <v>0.7</v>
          </cell>
          <cell r="R57">
            <v>0.7</v>
          </cell>
          <cell r="S57">
            <v>0.7</v>
          </cell>
          <cell r="T57">
            <v>0.7</v>
          </cell>
          <cell r="U57">
            <v>0</v>
          </cell>
          <cell r="V57">
            <v>0</v>
          </cell>
          <cell r="W57">
            <v>0</v>
          </cell>
          <cell r="X57">
            <v>0.7</v>
          </cell>
          <cell r="Y57">
            <v>0.36</v>
          </cell>
        </row>
        <row r="58">
          <cell r="A58" t="str">
            <v xml:space="preserve">    G3JIMENO</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row>
        <row r="59">
          <cell r="A59" t="str">
            <v xml:space="preserve">     G3LVEGA</v>
          </cell>
          <cell r="B59">
            <v>2.76</v>
          </cell>
          <cell r="C59">
            <v>2.76</v>
          </cell>
          <cell r="D59">
            <v>2.76</v>
          </cell>
          <cell r="E59">
            <v>2.21</v>
          </cell>
          <cell r="F59">
            <v>1.1000000000000001</v>
          </cell>
          <cell r="G59">
            <v>1.1000000000000001</v>
          </cell>
          <cell r="H59">
            <v>1.66</v>
          </cell>
          <cell r="I59">
            <v>2.76</v>
          </cell>
          <cell r="J59">
            <v>2.76</v>
          </cell>
          <cell r="K59">
            <v>2.76</v>
          </cell>
          <cell r="L59">
            <v>2.76</v>
          </cell>
          <cell r="M59">
            <v>2.76</v>
          </cell>
          <cell r="N59">
            <v>2.76</v>
          </cell>
          <cell r="O59">
            <v>2.76</v>
          </cell>
          <cell r="P59">
            <v>2.76</v>
          </cell>
          <cell r="Q59">
            <v>2.76</v>
          </cell>
          <cell r="R59">
            <v>2.76</v>
          </cell>
          <cell r="S59">
            <v>2.76</v>
          </cell>
          <cell r="T59">
            <v>2.76</v>
          </cell>
          <cell r="U59">
            <v>2.76</v>
          </cell>
          <cell r="V59">
            <v>2.76</v>
          </cell>
          <cell r="W59">
            <v>2.76</v>
          </cell>
          <cell r="X59">
            <v>2.76</v>
          </cell>
          <cell r="Y59">
            <v>2.76</v>
          </cell>
        </row>
        <row r="60">
          <cell r="A60" t="str">
            <v xml:space="preserve">    G3SABANE</v>
          </cell>
          <cell r="B60">
            <v>0.2</v>
          </cell>
          <cell r="C60">
            <v>0.2</v>
          </cell>
          <cell r="D60">
            <v>0.2</v>
          </cell>
          <cell r="E60">
            <v>0.2</v>
          </cell>
          <cell r="F60">
            <v>0.2</v>
          </cell>
          <cell r="G60">
            <v>0.2</v>
          </cell>
          <cell r="H60">
            <v>0.2</v>
          </cell>
          <cell r="I60">
            <v>0.2</v>
          </cell>
          <cell r="J60">
            <v>0.2</v>
          </cell>
          <cell r="K60">
            <v>0.14000000000000001</v>
          </cell>
          <cell r="L60">
            <v>0.14000000000000001</v>
          </cell>
          <cell r="M60">
            <v>0.2</v>
          </cell>
          <cell r="N60">
            <v>0.2</v>
          </cell>
          <cell r="O60">
            <v>0.2</v>
          </cell>
          <cell r="P60">
            <v>0.2</v>
          </cell>
          <cell r="Q60">
            <v>0.2</v>
          </cell>
          <cell r="R60">
            <v>0.18</v>
          </cell>
          <cell r="S60">
            <v>0.14000000000000001</v>
          </cell>
          <cell r="T60">
            <v>0.14000000000000001</v>
          </cell>
          <cell r="U60">
            <v>0.14000000000000001</v>
          </cell>
          <cell r="V60">
            <v>0.14000000000000001</v>
          </cell>
          <cell r="W60">
            <v>0.14000000000000001</v>
          </cell>
          <cell r="X60">
            <v>0.2</v>
          </cell>
          <cell r="Y60">
            <v>0.2</v>
          </cell>
        </row>
        <row r="61">
          <cell r="A61" t="str">
            <v xml:space="preserve">    G3PALAMA</v>
          </cell>
          <cell r="B61">
            <v>2.4700000000000002</v>
          </cell>
          <cell r="C61">
            <v>2.4700000000000002</v>
          </cell>
          <cell r="D61">
            <v>2.4700000000000002</v>
          </cell>
          <cell r="E61">
            <v>2.4700000000000002</v>
          </cell>
          <cell r="F61">
            <v>2.4700000000000002</v>
          </cell>
          <cell r="G61">
            <v>2.4700000000000002</v>
          </cell>
          <cell r="H61">
            <v>2.4700000000000002</v>
          </cell>
          <cell r="I61">
            <v>2.4700000000000002</v>
          </cell>
          <cell r="J61">
            <v>2.4700000000000002</v>
          </cell>
          <cell r="K61">
            <v>2.4700000000000002</v>
          </cell>
          <cell r="L61">
            <v>2.4700000000000002</v>
          </cell>
          <cell r="M61">
            <v>2.4700000000000002</v>
          </cell>
          <cell r="N61">
            <v>2.4700000000000002</v>
          </cell>
          <cell r="O61">
            <v>2.4700000000000002</v>
          </cell>
          <cell r="P61">
            <v>2.78</v>
          </cell>
          <cell r="Q61">
            <v>2.78</v>
          </cell>
          <cell r="R61">
            <v>2.78</v>
          </cell>
          <cell r="S61">
            <v>2.78</v>
          </cell>
          <cell r="T61">
            <v>2.78</v>
          </cell>
          <cell r="U61">
            <v>2.78</v>
          </cell>
          <cell r="V61">
            <v>2.78</v>
          </cell>
          <cell r="W61">
            <v>2.78</v>
          </cell>
          <cell r="X61">
            <v>2.78</v>
          </cell>
          <cell r="Y61">
            <v>2.78</v>
          </cell>
        </row>
        <row r="62">
          <cell r="A62" t="str">
            <v xml:space="preserve">      G3MRIO</v>
          </cell>
          <cell r="B62">
            <v>2.81</v>
          </cell>
          <cell r="C62">
            <v>2.57</v>
          </cell>
          <cell r="D62">
            <v>0</v>
          </cell>
          <cell r="E62">
            <v>0</v>
          </cell>
          <cell r="F62">
            <v>0</v>
          </cell>
          <cell r="G62">
            <v>0</v>
          </cell>
          <cell r="H62">
            <v>0</v>
          </cell>
          <cell r="I62">
            <v>1.4</v>
          </cell>
          <cell r="J62">
            <v>2.81</v>
          </cell>
          <cell r="K62">
            <v>2.81</v>
          </cell>
          <cell r="L62">
            <v>2.81</v>
          </cell>
          <cell r="M62">
            <v>2.81</v>
          </cell>
          <cell r="N62">
            <v>2.81</v>
          </cell>
          <cell r="O62">
            <v>2.81</v>
          </cell>
          <cell r="P62">
            <v>2.57</v>
          </cell>
          <cell r="Q62">
            <v>2.81</v>
          </cell>
          <cell r="R62">
            <v>2.57</v>
          </cell>
          <cell r="S62">
            <v>2.57</v>
          </cell>
          <cell r="T62">
            <v>2.81</v>
          </cell>
          <cell r="U62">
            <v>2.81</v>
          </cell>
          <cell r="V62">
            <v>2.81</v>
          </cell>
          <cell r="W62">
            <v>2.81</v>
          </cell>
          <cell r="X62">
            <v>2.81</v>
          </cell>
          <cell r="Y62">
            <v>2.81</v>
          </cell>
        </row>
        <row r="63">
          <cell r="A63" t="str">
            <v xml:space="preserve">    G3LOPPGN</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row>
        <row r="64">
          <cell r="A64" t="str">
            <v xml:space="preserve">    G3LOPPFO</v>
          </cell>
          <cell r="B64">
            <v>1.84</v>
          </cell>
          <cell r="C64">
            <v>1.84</v>
          </cell>
          <cell r="D64">
            <v>1.84</v>
          </cell>
          <cell r="E64">
            <v>1.58</v>
          </cell>
          <cell r="F64">
            <v>0</v>
          </cell>
          <cell r="G64">
            <v>0</v>
          </cell>
          <cell r="H64">
            <v>0</v>
          </cell>
          <cell r="I64">
            <v>1.84</v>
          </cell>
          <cell r="J64">
            <v>1.84</v>
          </cell>
          <cell r="K64">
            <v>1.84</v>
          </cell>
          <cell r="L64">
            <v>1.84</v>
          </cell>
          <cell r="M64">
            <v>1.84</v>
          </cell>
          <cell r="N64">
            <v>1.84</v>
          </cell>
          <cell r="O64">
            <v>1.84</v>
          </cell>
          <cell r="P64">
            <v>1.84</v>
          </cell>
          <cell r="Q64">
            <v>1.84</v>
          </cell>
          <cell r="R64">
            <v>1.84</v>
          </cell>
          <cell r="S64">
            <v>1.84</v>
          </cell>
          <cell r="T64">
            <v>1.84</v>
          </cell>
          <cell r="U64">
            <v>1.84</v>
          </cell>
          <cell r="V64">
            <v>1.84</v>
          </cell>
          <cell r="W64">
            <v>1.84</v>
          </cell>
          <cell r="X64">
            <v>1.84</v>
          </cell>
          <cell r="Y64">
            <v>1.84</v>
          </cell>
        </row>
        <row r="67">
          <cell r="A67" t="str">
            <v>RESERVA DE RPF DE CADA CENTRAL</v>
          </cell>
        </row>
        <row r="68">
          <cell r="A68" t="str">
            <v>CENTRALES</v>
          </cell>
          <cell r="B68">
            <v>1</v>
          </cell>
          <cell r="C68">
            <v>2</v>
          </cell>
          <cell r="D68">
            <v>3</v>
          </cell>
          <cell r="E68">
            <v>4</v>
          </cell>
          <cell r="F68">
            <v>5</v>
          </cell>
          <cell r="G68">
            <v>6</v>
          </cell>
          <cell r="H68">
            <v>7</v>
          </cell>
          <cell r="I68">
            <v>8</v>
          </cell>
          <cell r="J68">
            <v>9</v>
          </cell>
          <cell r="K68">
            <v>10</v>
          </cell>
          <cell r="L68">
            <v>11</v>
          </cell>
          <cell r="M68">
            <v>12</v>
          </cell>
          <cell r="N68">
            <v>13</v>
          </cell>
          <cell r="O68">
            <v>14</v>
          </cell>
          <cell r="P68">
            <v>15</v>
          </cell>
          <cell r="Q68">
            <v>16</v>
          </cell>
          <cell r="R68">
            <v>17</v>
          </cell>
          <cell r="S68">
            <v>18</v>
          </cell>
          <cell r="T68">
            <v>19</v>
          </cell>
          <cell r="U68">
            <v>20</v>
          </cell>
          <cell r="V68">
            <v>21</v>
          </cell>
          <cell r="W68">
            <v>22</v>
          </cell>
          <cell r="X68">
            <v>23</v>
          </cell>
          <cell r="Y68">
            <v>24</v>
          </cell>
        </row>
        <row r="69">
          <cell r="A69" t="str">
            <v xml:space="preserve">    G3TAVER1</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row>
        <row r="70">
          <cell r="A70" t="str">
            <v xml:space="preserve">    G3TAVER2</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row>
        <row r="71">
          <cell r="A71" t="str">
            <v xml:space="preserve">    G3JIGUE2</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row>
        <row r="72">
          <cell r="A72" t="str">
            <v xml:space="preserve">    G3PELMCT</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row>
        <row r="73">
          <cell r="A73" t="str">
            <v xml:space="preserve">    G3JIGUE1</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row>
        <row r="74">
          <cell r="A74" t="str">
            <v xml:space="preserve">    G3AGUAC1</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row>
        <row r="75">
          <cell r="A75" t="str">
            <v xml:space="preserve">    G3VALDE2</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row>
        <row r="76">
          <cell r="A76" t="str">
            <v xml:space="preserve">    G3AANDRE</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row>
        <row r="77">
          <cell r="A77" t="str">
            <v xml:space="preserve">    G3HAINAG</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sheetData>
      <sheetData sheetId="45" refreshError="1">
        <row r="10">
          <cell r="A10" t="str">
            <v xml:space="preserve">    G3TAVER1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A11" t="str">
            <v xml:space="preserve">    G3TAVER2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G3JIGUE1</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G3JIGUE2</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G3AGUAC1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G3AGUAC2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G3SFELIP</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G3CESPM1</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G3CESPM3</v>
          </cell>
          <cell r="B18">
            <v>2.27</v>
          </cell>
          <cell r="C18">
            <v>0</v>
          </cell>
          <cell r="D18">
            <v>0</v>
          </cell>
          <cell r="E18">
            <v>0</v>
          </cell>
          <cell r="F18">
            <v>0</v>
          </cell>
          <cell r="G18">
            <v>0</v>
          </cell>
          <cell r="H18">
            <v>0</v>
          </cell>
          <cell r="I18">
            <v>0</v>
          </cell>
          <cell r="J18">
            <v>0</v>
          </cell>
          <cell r="K18">
            <v>2.1800000000000002</v>
          </cell>
          <cell r="L18">
            <v>0</v>
          </cell>
          <cell r="M18">
            <v>0.63</v>
          </cell>
          <cell r="N18">
            <v>1.36</v>
          </cell>
          <cell r="O18">
            <v>0</v>
          </cell>
          <cell r="P18">
            <v>6.82</v>
          </cell>
          <cell r="Q18">
            <v>0</v>
          </cell>
          <cell r="R18">
            <v>0</v>
          </cell>
          <cell r="S18">
            <v>0</v>
          </cell>
          <cell r="T18">
            <v>4.3</v>
          </cell>
          <cell r="U18">
            <v>0</v>
          </cell>
          <cell r="V18">
            <v>0</v>
          </cell>
          <cell r="W18">
            <v>0</v>
          </cell>
          <cell r="X18">
            <v>0</v>
          </cell>
          <cell r="Y18">
            <v>0</v>
          </cell>
        </row>
        <row r="19">
          <cell r="A19" t="str">
            <v xml:space="preserve">    G3CESPM2</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G3MRIO</v>
          </cell>
          <cell r="B20">
            <v>4.29</v>
          </cell>
          <cell r="C20">
            <v>4.29</v>
          </cell>
          <cell r="D20">
            <v>0</v>
          </cell>
          <cell r="E20">
            <v>0</v>
          </cell>
          <cell r="F20">
            <v>0</v>
          </cell>
          <cell r="G20">
            <v>0</v>
          </cell>
          <cell r="H20">
            <v>0</v>
          </cell>
          <cell r="I20">
            <v>1.91</v>
          </cell>
          <cell r="J20">
            <v>4.29</v>
          </cell>
          <cell r="K20">
            <v>4.29</v>
          </cell>
          <cell r="L20">
            <v>4.29</v>
          </cell>
          <cell r="M20">
            <v>4.29</v>
          </cell>
          <cell r="N20">
            <v>4.29</v>
          </cell>
          <cell r="O20">
            <v>4.29</v>
          </cell>
          <cell r="P20">
            <v>4.29</v>
          </cell>
          <cell r="Q20">
            <v>4.29</v>
          </cell>
          <cell r="R20">
            <v>4.29</v>
          </cell>
          <cell r="S20">
            <v>4.29</v>
          </cell>
          <cell r="T20">
            <v>4.29</v>
          </cell>
          <cell r="U20">
            <v>4.29</v>
          </cell>
          <cell r="V20">
            <v>4.29</v>
          </cell>
          <cell r="W20">
            <v>4.29</v>
          </cell>
          <cell r="X20">
            <v>4.29</v>
          </cell>
          <cell r="Y20">
            <v>4.29</v>
          </cell>
        </row>
        <row r="21">
          <cell r="A21" t="str">
            <v xml:space="preserve">    G3LOPPFO</v>
          </cell>
          <cell r="B21">
            <v>6.65</v>
          </cell>
          <cell r="C21">
            <v>6.65</v>
          </cell>
          <cell r="D21">
            <v>6.65</v>
          </cell>
          <cell r="E21">
            <v>5.32</v>
          </cell>
          <cell r="F21">
            <v>0</v>
          </cell>
          <cell r="G21">
            <v>0</v>
          </cell>
          <cell r="H21">
            <v>0</v>
          </cell>
          <cell r="I21">
            <v>6.65</v>
          </cell>
          <cell r="J21">
            <v>6.65</v>
          </cell>
          <cell r="K21">
            <v>6.65</v>
          </cell>
          <cell r="L21">
            <v>6.65</v>
          </cell>
          <cell r="M21">
            <v>6.65</v>
          </cell>
          <cell r="N21">
            <v>6.65</v>
          </cell>
          <cell r="O21">
            <v>6.65</v>
          </cell>
          <cell r="P21">
            <v>6.65</v>
          </cell>
          <cell r="Q21">
            <v>6.65</v>
          </cell>
          <cell r="R21">
            <v>6.65</v>
          </cell>
          <cell r="S21">
            <v>6.65</v>
          </cell>
          <cell r="T21">
            <v>6.65</v>
          </cell>
          <cell r="U21">
            <v>6.65</v>
          </cell>
          <cell r="V21">
            <v>6.65</v>
          </cell>
          <cell r="W21">
            <v>6.65</v>
          </cell>
          <cell r="X21">
            <v>6.65</v>
          </cell>
          <cell r="Y21">
            <v>6.65</v>
          </cell>
        </row>
        <row r="22">
          <cell r="A22" t="str">
            <v xml:space="preserve">     G3LVEGA</v>
          </cell>
          <cell r="B22">
            <v>3</v>
          </cell>
          <cell r="C22">
            <v>3</v>
          </cell>
          <cell r="D22">
            <v>3</v>
          </cell>
          <cell r="E22">
            <v>2.4</v>
          </cell>
          <cell r="F22">
            <v>1.2</v>
          </cell>
          <cell r="G22">
            <v>1.2</v>
          </cell>
          <cell r="H22">
            <v>1.8</v>
          </cell>
          <cell r="I22">
            <v>3</v>
          </cell>
          <cell r="J22">
            <v>3</v>
          </cell>
          <cell r="K22">
            <v>3</v>
          </cell>
          <cell r="L22">
            <v>3</v>
          </cell>
          <cell r="M22">
            <v>3</v>
          </cell>
          <cell r="N22">
            <v>3</v>
          </cell>
          <cell r="O22">
            <v>3</v>
          </cell>
          <cell r="P22">
            <v>3</v>
          </cell>
          <cell r="Q22">
            <v>3</v>
          </cell>
          <cell r="R22">
            <v>3</v>
          </cell>
          <cell r="S22">
            <v>3</v>
          </cell>
          <cell r="T22">
            <v>3</v>
          </cell>
          <cell r="U22">
            <v>3</v>
          </cell>
          <cell r="V22">
            <v>3</v>
          </cell>
          <cell r="W22">
            <v>3</v>
          </cell>
          <cell r="X22">
            <v>3</v>
          </cell>
          <cell r="Y22">
            <v>3</v>
          </cell>
        </row>
        <row r="23">
          <cell r="A23" t="str">
            <v xml:space="preserve">    G3PIMEN2</v>
          </cell>
          <cell r="B23">
            <v>0</v>
          </cell>
          <cell r="C23">
            <v>0</v>
          </cell>
          <cell r="D23">
            <v>0</v>
          </cell>
          <cell r="E23">
            <v>0</v>
          </cell>
          <cell r="F23">
            <v>0</v>
          </cell>
          <cell r="G23">
            <v>0</v>
          </cell>
          <cell r="H23">
            <v>0</v>
          </cell>
          <cell r="I23">
            <v>0</v>
          </cell>
          <cell r="J23">
            <v>0</v>
          </cell>
          <cell r="K23">
            <v>0</v>
          </cell>
          <cell r="L23">
            <v>6</v>
          </cell>
          <cell r="M23">
            <v>6</v>
          </cell>
          <cell r="N23">
            <v>6</v>
          </cell>
          <cell r="O23">
            <v>6</v>
          </cell>
          <cell r="P23">
            <v>6</v>
          </cell>
          <cell r="Q23">
            <v>6</v>
          </cell>
          <cell r="R23">
            <v>6</v>
          </cell>
          <cell r="S23">
            <v>6</v>
          </cell>
          <cell r="T23">
            <v>6</v>
          </cell>
          <cell r="U23">
            <v>6</v>
          </cell>
          <cell r="V23">
            <v>6</v>
          </cell>
          <cell r="W23">
            <v>6</v>
          </cell>
          <cell r="X23">
            <v>6</v>
          </cell>
          <cell r="Y23">
            <v>6</v>
          </cell>
        </row>
        <row r="24">
          <cell r="A24" t="str">
            <v xml:space="preserve">    G3PIMEN1</v>
          </cell>
          <cell r="B24">
            <v>6</v>
          </cell>
          <cell r="C24">
            <v>6</v>
          </cell>
          <cell r="D24">
            <v>0</v>
          </cell>
          <cell r="E24">
            <v>0</v>
          </cell>
          <cell r="F24">
            <v>0</v>
          </cell>
          <cell r="G24">
            <v>0</v>
          </cell>
          <cell r="H24">
            <v>0</v>
          </cell>
          <cell r="I24">
            <v>0</v>
          </cell>
          <cell r="J24">
            <v>0</v>
          </cell>
          <cell r="K24">
            <v>6</v>
          </cell>
          <cell r="L24">
            <v>6</v>
          </cell>
          <cell r="M24">
            <v>6</v>
          </cell>
          <cell r="N24">
            <v>6</v>
          </cell>
          <cell r="O24">
            <v>6</v>
          </cell>
          <cell r="P24">
            <v>6</v>
          </cell>
          <cell r="Q24">
            <v>6</v>
          </cell>
          <cell r="R24">
            <v>6</v>
          </cell>
          <cell r="S24">
            <v>6</v>
          </cell>
          <cell r="T24">
            <v>6</v>
          </cell>
          <cell r="U24">
            <v>6</v>
          </cell>
          <cell r="V24">
            <v>6</v>
          </cell>
          <cell r="W24">
            <v>6</v>
          </cell>
          <cell r="X24">
            <v>6</v>
          </cell>
          <cell r="Y24">
            <v>6</v>
          </cell>
        </row>
        <row r="25">
          <cell r="A25" t="str">
            <v xml:space="preserve">     G3SESTE</v>
          </cell>
          <cell r="B25">
            <v>4</v>
          </cell>
          <cell r="C25">
            <v>4</v>
          </cell>
          <cell r="D25">
            <v>4</v>
          </cell>
          <cell r="E25">
            <v>4</v>
          </cell>
          <cell r="F25">
            <v>4</v>
          </cell>
          <cell r="G25">
            <v>3</v>
          </cell>
          <cell r="H25">
            <v>4</v>
          </cell>
          <cell r="I25">
            <v>4</v>
          </cell>
          <cell r="J25">
            <v>4</v>
          </cell>
          <cell r="K25">
            <v>4</v>
          </cell>
          <cell r="L25">
            <v>4</v>
          </cell>
          <cell r="M25">
            <v>4</v>
          </cell>
          <cell r="N25">
            <v>4</v>
          </cell>
          <cell r="O25">
            <v>4</v>
          </cell>
          <cell r="P25">
            <v>4</v>
          </cell>
          <cell r="Q25">
            <v>4</v>
          </cell>
          <cell r="R25">
            <v>4</v>
          </cell>
          <cell r="S25">
            <v>4</v>
          </cell>
          <cell r="T25">
            <v>4</v>
          </cell>
          <cell r="U25">
            <v>4</v>
          </cell>
          <cell r="V25">
            <v>4</v>
          </cell>
          <cell r="W25">
            <v>4</v>
          </cell>
          <cell r="X25">
            <v>4</v>
          </cell>
          <cell r="Y25">
            <v>4</v>
          </cell>
        </row>
        <row r="26">
          <cell r="A26" t="str">
            <v xml:space="preserve">    G3PALAMA</v>
          </cell>
          <cell r="B26">
            <v>3.2</v>
          </cell>
          <cell r="C26">
            <v>3.2</v>
          </cell>
          <cell r="D26">
            <v>3.2</v>
          </cell>
          <cell r="E26">
            <v>3.2</v>
          </cell>
          <cell r="F26">
            <v>3.2</v>
          </cell>
          <cell r="G26">
            <v>3.2</v>
          </cell>
          <cell r="H26">
            <v>3.2</v>
          </cell>
          <cell r="I26">
            <v>3.2</v>
          </cell>
          <cell r="J26">
            <v>3.2</v>
          </cell>
          <cell r="K26">
            <v>3.2</v>
          </cell>
          <cell r="L26">
            <v>3.2</v>
          </cell>
          <cell r="M26">
            <v>3.2</v>
          </cell>
          <cell r="N26">
            <v>3.2</v>
          </cell>
          <cell r="O26">
            <v>3.2</v>
          </cell>
          <cell r="P26">
            <v>3.7</v>
          </cell>
          <cell r="Q26">
            <v>3.7</v>
          </cell>
          <cell r="R26">
            <v>3.7</v>
          </cell>
          <cell r="S26">
            <v>3.7</v>
          </cell>
          <cell r="T26">
            <v>3.7</v>
          </cell>
          <cell r="U26">
            <v>3.7</v>
          </cell>
          <cell r="V26">
            <v>3.7</v>
          </cell>
          <cell r="W26">
            <v>3.7</v>
          </cell>
          <cell r="X26">
            <v>3.7</v>
          </cell>
          <cell r="Y26">
            <v>3.7</v>
          </cell>
        </row>
        <row r="27">
          <cell r="A27" t="str">
            <v xml:space="preserve">     G3CEPP2</v>
          </cell>
          <cell r="B27">
            <v>5</v>
          </cell>
          <cell r="C27">
            <v>5</v>
          </cell>
          <cell r="D27">
            <v>5</v>
          </cell>
          <cell r="E27">
            <v>5</v>
          </cell>
          <cell r="F27">
            <v>5</v>
          </cell>
          <cell r="G27">
            <v>5</v>
          </cell>
          <cell r="H27">
            <v>5</v>
          </cell>
          <cell r="I27">
            <v>5</v>
          </cell>
          <cell r="J27">
            <v>5</v>
          </cell>
          <cell r="K27">
            <v>5</v>
          </cell>
          <cell r="L27">
            <v>5</v>
          </cell>
          <cell r="M27">
            <v>5</v>
          </cell>
          <cell r="N27">
            <v>5</v>
          </cell>
          <cell r="O27">
            <v>5</v>
          </cell>
          <cell r="P27">
            <v>5</v>
          </cell>
          <cell r="Q27">
            <v>5</v>
          </cell>
          <cell r="R27">
            <v>5</v>
          </cell>
          <cell r="S27">
            <v>5</v>
          </cell>
          <cell r="T27">
            <v>5</v>
          </cell>
          <cell r="U27">
            <v>5</v>
          </cell>
          <cell r="V27">
            <v>5</v>
          </cell>
          <cell r="W27">
            <v>5</v>
          </cell>
          <cell r="X27">
            <v>5</v>
          </cell>
          <cell r="Y27">
            <v>5</v>
          </cell>
        </row>
        <row r="28">
          <cell r="A28" t="str">
            <v xml:space="preserve">    G3QUISQ1</v>
          </cell>
          <cell r="B28">
            <v>15.28</v>
          </cell>
          <cell r="C28">
            <v>18.38</v>
          </cell>
          <cell r="D28">
            <v>17.329999999999998</v>
          </cell>
          <cell r="E28">
            <v>18.38</v>
          </cell>
          <cell r="F28">
            <v>17.559999999999999</v>
          </cell>
          <cell r="G28">
            <v>18.38</v>
          </cell>
          <cell r="H28">
            <v>18.38</v>
          </cell>
          <cell r="I28">
            <v>18.38</v>
          </cell>
          <cell r="J28">
            <v>18.38</v>
          </cell>
          <cell r="K28">
            <v>18.38</v>
          </cell>
          <cell r="L28">
            <v>18.38</v>
          </cell>
          <cell r="M28">
            <v>18.38</v>
          </cell>
          <cell r="N28">
            <v>18.38</v>
          </cell>
          <cell r="O28">
            <v>17.84</v>
          </cell>
          <cell r="P28">
            <v>18.27</v>
          </cell>
          <cell r="Q28">
            <v>18.38</v>
          </cell>
          <cell r="R28">
            <v>18.38</v>
          </cell>
          <cell r="S28">
            <v>18.38</v>
          </cell>
          <cell r="T28">
            <v>16.38</v>
          </cell>
          <cell r="U28">
            <v>16.38</v>
          </cell>
          <cell r="V28">
            <v>16.38</v>
          </cell>
          <cell r="W28">
            <v>16.38</v>
          </cell>
          <cell r="X28">
            <v>12.82</v>
          </cell>
          <cell r="Y28">
            <v>13.4</v>
          </cell>
        </row>
        <row r="29">
          <cell r="A29" t="str">
            <v xml:space="preserve">    G3QUISQ2</v>
          </cell>
          <cell r="B29">
            <v>15.31</v>
          </cell>
          <cell r="C29">
            <v>11.42</v>
          </cell>
          <cell r="D29">
            <v>19.46</v>
          </cell>
          <cell r="E29">
            <v>16.86</v>
          </cell>
          <cell r="F29">
            <v>22</v>
          </cell>
          <cell r="G29">
            <v>20.98</v>
          </cell>
          <cell r="H29">
            <v>21.02</v>
          </cell>
          <cell r="I29">
            <v>15.1</v>
          </cell>
          <cell r="J29">
            <v>18.309999999999999</v>
          </cell>
          <cell r="K29">
            <v>13.74</v>
          </cell>
          <cell r="L29">
            <v>10.34</v>
          </cell>
          <cell r="M29">
            <v>9.33</v>
          </cell>
          <cell r="N29">
            <v>7.38</v>
          </cell>
          <cell r="O29">
            <v>8.35</v>
          </cell>
          <cell r="P29">
            <v>2.86</v>
          </cell>
          <cell r="Q29">
            <v>11.25</v>
          </cell>
          <cell r="R29">
            <v>11.23</v>
          </cell>
          <cell r="S29">
            <v>11.13</v>
          </cell>
          <cell r="T29">
            <v>11.95</v>
          </cell>
          <cell r="U29">
            <v>15.27</v>
          </cell>
          <cell r="V29">
            <v>12.95</v>
          </cell>
          <cell r="W29">
            <v>11.96</v>
          </cell>
          <cell r="X29">
            <v>13.32</v>
          </cell>
          <cell r="Y29">
            <v>12.23</v>
          </cell>
        </row>
        <row r="30">
          <cell r="A30" t="str">
            <v xml:space="preserve">    G3Q1SPED</v>
          </cell>
          <cell r="B30">
            <v>0</v>
          </cell>
          <cell r="C30">
            <v>0</v>
          </cell>
          <cell r="D30">
            <v>0</v>
          </cell>
          <cell r="E30">
            <v>0</v>
          </cell>
          <cell r="F30">
            <v>0.05</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G3PIMEN3</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row>
        <row r="32">
          <cell r="A32" t="str">
            <v xml:space="preserve">    G3LMINA5</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G3LMINA6</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G3AANDRE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row>
        <row r="35">
          <cell r="A35" t="str">
            <v xml:space="preserve">    G3PELMCT</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G3LOPPGN</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8">
          <cell r="A38" t="str">
            <v xml:space="preserve">TOT        </v>
          </cell>
          <cell r="B38">
            <v>1</v>
          </cell>
          <cell r="C38">
            <v>2</v>
          </cell>
          <cell r="D38">
            <v>3</v>
          </cell>
          <cell r="E38">
            <v>4</v>
          </cell>
          <cell r="F38">
            <v>5</v>
          </cell>
          <cell r="G38">
            <v>6</v>
          </cell>
          <cell r="H38">
            <v>7</v>
          </cell>
          <cell r="I38">
            <v>8</v>
          </cell>
          <cell r="J38">
            <v>9</v>
          </cell>
          <cell r="K38">
            <v>10</v>
          </cell>
          <cell r="L38">
            <v>11</v>
          </cell>
          <cell r="M38">
            <v>12</v>
          </cell>
          <cell r="N38">
            <v>13</v>
          </cell>
          <cell r="O38">
            <v>14</v>
          </cell>
          <cell r="P38">
            <v>15</v>
          </cell>
          <cell r="Q38">
            <v>16</v>
          </cell>
          <cell r="R38">
            <v>17</v>
          </cell>
          <cell r="S38">
            <v>18</v>
          </cell>
          <cell r="T38">
            <v>19</v>
          </cell>
          <cell r="U38">
            <v>20</v>
          </cell>
          <cell r="V38">
            <v>21</v>
          </cell>
          <cell r="W38">
            <v>22</v>
          </cell>
          <cell r="X38">
            <v>23</v>
          </cell>
          <cell r="Y38">
            <v>24</v>
          </cell>
        </row>
        <row r="39">
          <cell r="A39" t="str">
            <v xml:space="preserve">MRSF       </v>
          </cell>
          <cell r="B39">
            <v>65.010000000000005</v>
          </cell>
          <cell r="C39">
            <v>61.94</v>
          </cell>
          <cell r="D39">
            <v>58.63</v>
          </cell>
          <cell r="E39">
            <v>55.16</v>
          </cell>
          <cell r="F39">
            <v>53.02</v>
          </cell>
          <cell r="G39">
            <v>51.76</v>
          </cell>
          <cell r="H39">
            <v>53.4</v>
          </cell>
          <cell r="I39">
            <v>57.25</v>
          </cell>
          <cell r="J39">
            <v>62.83</v>
          </cell>
          <cell r="K39">
            <v>66.44</v>
          </cell>
          <cell r="L39">
            <v>66.87</v>
          </cell>
          <cell r="M39">
            <v>66.48</v>
          </cell>
          <cell r="N39">
            <v>65.27</v>
          </cell>
          <cell r="O39">
            <v>64.319999999999993</v>
          </cell>
          <cell r="P39">
            <v>66.59</v>
          </cell>
          <cell r="Q39">
            <v>68.27</v>
          </cell>
          <cell r="R39">
            <v>68.260000000000005</v>
          </cell>
          <cell r="S39">
            <v>68.150000000000006</v>
          </cell>
          <cell r="T39">
            <v>71.27</v>
          </cell>
          <cell r="U39">
            <v>70.290000000000006</v>
          </cell>
          <cell r="V39">
            <v>67.98</v>
          </cell>
          <cell r="W39">
            <v>66.98</v>
          </cell>
          <cell r="X39">
            <v>64.78</v>
          </cell>
          <cell r="Y39">
            <v>64.27</v>
          </cell>
        </row>
        <row r="40">
          <cell r="A40" t="str">
            <v xml:space="preserve">%MRSF      </v>
          </cell>
          <cell r="B40">
            <v>0.03</v>
          </cell>
          <cell r="C40">
            <v>0.03</v>
          </cell>
          <cell r="D40">
            <v>0.03</v>
          </cell>
          <cell r="E40">
            <v>0.03</v>
          </cell>
          <cell r="F40">
            <v>0.03</v>
          </cell>
          <cell r="G40">
            <v>0.03</v>
          </cell>
          <cell r="H40">
            <v>0.03</v>
          </cell>
          <cell r="I40">
            <v>0.03</v>
          </cell>
          <cell r="J40">
            <v>0.03</v>
          </cell>
          <cell r="K40">
            <v>0.03</v>
          </cell>
          <cell r="L40">
            <v>0.03</v>
          </cell>
          <cell r="M40">
            <v>0.03</v>
          </cell>
          <cell r="N40">
            <v>0.03</v>
          </cell>
          <cell r="O40">
            <v>0.03</v>
          </cell>
          <cell r="P40">
            <v>0.03</v>
          </cell>
          <cell r="Q40">
            <v>0.03</v>
          </cell>
          <cell r="R40">
            <v>0.03</v>
          </cell>
          <cell r="S40">
            <v>0.03</v>
          </cell>
          <cell r="T40">
            <v>0.03</v>
          </cell>
          <cell r="U40">
            <v>0.03</v>
          </cell>
          <cell r="V40">
            <v>0.03</v>
          </cell>
          <cell r="W40">
            <v>0.03</v>
          </cell>
          <cell r="X40">
            <v>0.03</v>
          </cell>
          <cell r="Y40">
            <v>0.03</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row r="5">
          <cell r="A5" t="str">
            <v xml:space="preserve">    G3AANDRE</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row>
        <row r="6">
          <cell r="A6" t="str">
            <v xml:space="preserve">    G3SLORE1</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row>
        <row r="7">
          <cell r="A7" t="str">
            <v xml:space="preserve">    G3LMINA6</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row>
        <row r="8">
          <cell r="A8" t="str">
            <v xml:space="preserve">    G3LMINA5</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row>
        <row r="9">
          <cell r="A9" t="str">
            <v xml:space="preserve">    G3BARAHC</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row>
        <row r="10">
          <cell r="A10" t="str">
            <v xml:space="preserve">    G3ITABO2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A11" t="str">
            <v xml:space="preserve">    G3ITABO1</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G3SESTE</v>
          </cell>
          <cell r="B12">
            <v>0</v>
          </cell>
          <cell r="C12">
            <v>0</v>
          </cell>
          <cell r="D12">
            <v>0</v>
          </cell>
          <cell r="E12">
            <v>0</v>
          </cell>
          <cell r="F12">
            <v>0</v>
          </cell>
          <cell r="G12">
            <v>19.989999999999998</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G3PIMEN3</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G3CEPP2</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G3EM2CGN</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G3EM2SGN</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G3EM2CFO</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G3EM2SFO</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G3PIMEN2</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G3PIMEN1</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row>
        <row r="21">
          <cell r="A21" t="str">
            <v xml:space="preserve">    G3METALD</v>
          </cell>
          <cell r="B21">
            <v>0</v>
          </cell>
          <cell r="C21">
            <v>0</v>
          </cell>
          <cell r="D21">
            <v>0</v>
          </cell>
          <cell r="E21">
            <v>0</v>
          </cell>
          <cell r="F21">
            <v>0</v>
          </cell>
          <cell r="G21">
            <v>0</v>
          </cell>
          <cell r="H21">
            <v>0</v>
          </cell>
          <cell r="I21">
            <v>27.88</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A22" t="str">
            <v xml:space="preserve">      G3MRIO</v>
          </cell>
          <cell r="B22">
            <v>0</v>
          </cell>
          <cell r="C22">
            <v>0</v>
          </cell>
          <cell r="D22">
            <v>0</v>
          </cell>
          <cell r="E22">
            <v>0</v>
          </cell>
          <cell r="F22">
            <v>0</v>
          </cell>
          <cell r="G22">
            <v>0</v>
          </cell>
          <cell r="H22">
            <v>0</v>
          </cell>
          <cell r="I22">
            <v>41.57</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23">
          <cell r="A23" t="str">
            <v xml:space="preserve">     G3CEPP1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G3PALAMA</v>
          </cell>
          <cell r="B24">
            <v>0</v>
          </cell>
          <cell r="C24">
            <v>0</v>
          </cell>
          <cell r="D24">
            <v>0</v>
          </cell>
          <cell r="E24">
            <v>0</v>
          </cell>
          <cell r="F24">
            <v>0</v>
          </cell>
          <cell r="G24">
            <v>2</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row>
        <row r="25">
          <cell r="A25" t="str">
            <v xml:space="preserve">     G3LVEGA</v>
          </cell>
          <cell r="B25">
            <v>0</v>
          </cell>
          <cell r="C25">
            <v>0</v>
          </cell>
          <cell r="D25">
            <v>0</v>
          </cell>
          <cell r="E25">
            <v>2.97</v>
          </cell>
          <cell r="F25">
            <v>33.46</v>
          </cell>
          <cell r="G25">
            <v>65.489999999999995</v>
          </cell>
          <cell r="H25">
            <v>20.86</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row>
        <row r="26">
          <cell r="A26" t="str">
            <v xml:space="preserve">    G3CESPM1</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 xml:space="preserve">    G3CESPM2</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row>
        <row r="28">
          <cell r="A28" t="str">
            <v xml:space="preserve">    G3CESPM3</v>
          </cell>
          <cell r="B28">
            <v>19.059999999999999</v>
          </cell>
          <cell r="C28">
            <v>23.6</v>
          </cell>
          <cell r="D28">
            <v>23.6</v>
          </cell>
          <cell r="E28">
            <v>23.6</v>
          </cell>
          <cell r="F28">
            <v>23.6</v>
          </cell>
          <cell r="G28">
            <v>23.6</v>
          </cell>
          <cell r="H28">
            <v>23.6</v>
          </cell>
          <cell r="I28">
            <v>23.6</v>
          </cell>
          <cell r="J28">
            <v>23.6</v>
          </cell>
          <cell r="K28">
            <v>19.239999999999998</v>
          </cell>
          <cell r="L28">
            <v>23.6</v>
          </cell>
          <cell r="M28">
            <v>22.34</v>
          </cell>
          <cell r="N28">
            <v>20.88</v>
          </cell>
          <cell r="O28">
            <v>23.6</v>
          </cell>
          <cell r="P28">
            <v>7.45</v>
          </cell>
          <cell r="Q28">
            <v>23.6</v>
          </cell>
          <cell r="R28">
            <v>23.6</v>
          </cell>
          <cell r="S28">
            <v>23.6</v>
          </cell>
          <cell r="T28">
            <v>15</v>
          </cell>
          <cell r="U28">
            <v>24.3</v>
          </cell>
          <cell r="V28">
            <v>0</v>
          </cell>
          <cell r="W28">
            <v>0</v>
          </cell>
          <cell r="X28">
            <v>0</v>
          </cell>
          <cell r="Y28">
            <v>0</v>
          </cell>
        </row>
        <row r="29">
          <cell r="A29" t="str">
            <v xml:space="preserve">    G3SFELIP</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row>
        <row r="30">
          <cell r="A30" t="str">
            <v xml:space="preserve">    G3SFELCC</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G3SFELIV</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row>
        <row r="32">
          <cell r="A32" t="str">
            <v xml:space="preserve">    G3SPEDRV</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G3RSJUAN</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G3HAINAG</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row>
        <row r="35">
          <cell r="A35" t="str">
            <v xml:space="preserve">     G3IKM22</v>
          </cell>
          <cell r="B35">
            <v>0</v>
          </cell>
          <cell r="C35">
            <v>0</v>
          </cell>
          <cell r="D35">
            <v>0</v>
          </cell>
          <cell r="E35">
            <v>0</v>
          </cell>
          <cell r="F35">
            <v>0</v>
          </cell>
          <cell r="G35">
            <v>0</v>
          </cell>
          <cell r="H35">
            <v>0</v>
          </cell>
          <cell r="I35">
            <v>8.9</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G3LOPPFO</v>
          </cell>
          <cell r="B36">
            <v>0</v>
          </cell>
          <cell r="C36">
            <v>0</v>
          </cell>
          <cell r="D36">
            <v>0</v>
          </cell>
          <cell r="E36">
            <v>14.09</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7">
          <cell r="A37" t="str">
            <v xml:space="preserve">    G3LOPPGN</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row>
        <row r="38">
          <cell r="A38" t="str">
            <v xml:space="preserve">    G3QUISQ1</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G3QUISQ2</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row>
        <row r="40">
          <cell r="A40" t="str">
            <v xml:space="preserve">    G3BERSAL</v>
          </cell>
          <cell r="B40">
            <v>0</v>
          </cell>
          <cell r="C40">
            <v>0</v>
          </cell>
          <cell r="D40">
            <v>0</v>
          </cell>
          <cell r="E40">
            <v>0</v>
          </cell>
          <cell r="F40">
            <v>0</v>
          </cell>
          <cell r="G40">
            <v>0</v>
          </cell>
          <cell r="H40">
            <v>0</v>
          </cell>
          <cell r="I40">
            <v>0</v>
          </cell>
          <cell r="J40">
            <v>13.56</v>
          </cell>
          <cell r="K40">
            <v>0</v>
          </cell>
          <cell r="L40">
            <v>1.02</v>
          </cell>
          <cell r="M40">
            <v>0</v>
          </cell>
          <cell r="N40">
            <v>0</v>
          </cell>
          <cell r="O40">
            <v>12.67</v>
          </cell>
          <cell r="P40">
            <v>0</v>
          </cell>
          <cell r="Q40">
            <v>6.64</v>
          </cell>
          <cell r="R40">
            <v>8.42</v>
          </cell>
          <cell r="S40">
            <v>11.42</v>
          </cell>
          <cell r="T40">
            <v>0</v>
          </cell>
          <cell r="U40">
            <v>16</v>
          </cell>
          <cell r="V40">
            <v>0</v>
          </cell>
          <cell r="W40">
            <v>8.93</v>
          </cell>
          <cell r="X40">
            <v>0</v>
          </cell>
          <cell r="Y40">
            <v>11.14</v>
          </cell>
        </row>
        <row r="41">
          <cell r="A41" t="str">
            <v xml:space="preserve">    G3PELMCP</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row>
        <row r="42">
          <cell r="A42" t="str">
            <v xml:space="preserve">    G3PELMCT</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G3PALENQ</v>
          </cell>
          <cell r="B43">
            <v>0</v>
          </cell>
          <cell r="C43">
            <v>9.4600000000000009</v>
          </cell>
          <cell r="D43">
            <v>1.26</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row>
        <row r="44">
          <cell r="A44" t="str">
            <v xml:space="preserve">    G3Q1SPED</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6">
          <cell r="A46" t="str">
            <v>RTERM TOTAL</v>
          </cell>
          <cell r="B46">
            <v>19.056000000000001</v>
          </cell>
          <cell r="C46">
            <v>33.058999999999997</v>
          </cell>
          <cell r="D46">
            <v>24.861000000000001</v>
          </cell>
          <cell r="E46">
            <v>40.658000000000001</v>
          </cell>
          <cell r="F46">
            <v>57.055999999999997</v>
          </cell>
          <cell r="G46">
            <v>111.08799999999999</v>
          </cell>
          <cell r="H46">
            <v>44.457000000000001</v>
          </cell>
          <cell r="I46">
            <v>101.953</v>
          </cell>
          <cell r="J46">
            <v>37.162999999999997</v>
          </cell>
          <cell r="K46">
            <v>19.239999999999998</v>
          </cell>
          <cell r="L46">
            <v>24.62</v>
          </cell>
          <cell r="M46">
            <v>22.34</v>
          </cell>
          <cell r="N46">
            <v>20.876999999999999</v>
          </cell>
          <cell r="O46">
            <v>36.265000000000001</v>
          </cell>
          <cell r="P46">
            <v>7.452</v>
          </cell>
          <cell r="Q46">
            <v>30.241</v>
          </cell>
          <cell r="R46">
            <v>32.018999999999998</v>
          </cell>
          <cell r="S46">
            <v>35.023000000000003</v>
          </cell>
          <cell r="T46">
            <v>15.005000000000001</v>
          </cell>
          <cell r="U46">
            <v>40.299999999999997</v>
          </cell>
          <cell r="V46">
            <v>0</v>
          </cell>
          <cell r="W46">
            <v>8.9350000000000005</v>
          </cell>
          <cell r="X46">
            <v>0</v>
          </cell>
          <cell r="Y46">
            <v>11.135999999999999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iqueta"/>
      <sheetName val="Menu"/>
      <sheetName val="Despacho Orden Mérito"/>
      <sheetName val="e_opcn"/>
      <sheetName val="e_hidro"/>
      <sheetName val="e_sets"/>
      <sheetName val="e_datgen"/>
      <sheetName val="e_datdem"/>
      <sheetName val="e_datmnx"/>
      <sheetName val="e_datred"/>
      <sheetName val="e_modred"/>
      <sheetName val="e_datgrpf"/>
      <sheetName val="e_fgate"/>
      <sheetName val="S_ASIGRPF"/>
      <sheetName val="S_FWGATE"/>
      <sheetName val="S_FLUJO"/>
      <sheetName val="S_PNSU"/>
      <sheetName val="S_FNODO"/>
      <sheetName val="PForz"/>
      <sheetName val="s_resumen"/>
      <sheetName val="S_DESPACHOM"/>
      <sheetName val="Resumen de Disponibilidad"/>
      <sheetName val="Resumen de Demanda"/>
      <sheetName val="Lista de Mérito RPF"/>
      <sheetName val="FN PARA CALCULO DE CVD"/>
      <sheetName val="Consideraciones para la PSO"/>
      <sheetName val="Lista de Merito"/>
      <sheetName val="Observaciones a la PSO"/>
      <sheetName val="Demanda Activa por cargas"/>
      <sheetName val="Demanda Reactiva por cargas"/>
      <sheetName val="Despacho de Reserva RPF"/>
      <sheetName val="Despacho de Reserva RSF"/>
      <sheetName val="Información Recibida"/>
      <sheetName val="Reporte de Disponibilidad"/>
      <sheetName val="Pronostico Renovable"/>
      <sheetName val="Reporte de Indisponibilidad"/>
      <sheetName val="SIE 039-2013"/>
      <sheetName val="MANTENIMIENTOS"/>
      <sheetName val="Mantenimientos_extraccion"/>
      <sheetName val="Niveles de Embalse"/>
      <sheetName val="Factores de Nodo"/>
      <sheetName val="Acuerdos de cobertura"/>
      <sheetName val="e_opf"/>
      <sheetName val="e_AreaTrafoSet"/>
      <sheetName val="e_TapSetPoints"/>
      <sheetName val="e_Pload"/>
      <sheetName val="e_Qload"/>
      <sheetName val="FLUJO_ACTIVA"/>
      <sheetName val="FLUJO_REACTIVA"/>
      <sheetName val="GEN_Q"/>
      <sheetName val="P_ENS"/>
      <sheetName val="Q_ENS"/>
      <sheetName val="TAPS"/>
      <sheetName val="VOLTAJE"/>
      <sheetName val="CAPACITORES"/>
      <sheetName val="S_RPF"/>
      <sheetName val="S_ACRPF"/>
      <sheetName val="S_RSF"/>
      <sheetName val="Demanda MODOM"/>
      <sheetName val="s_lmerito"/>
      <sheetName val="ROPERATIVA"/>
      <sheetName val="varstado"/>
      <sheetName val="S_NEMBALSE"/>
      <sheetName val="PDemanda"/>
      <sheetName val="QDemanda"/>
      <sheetName val="CVP"/>
      <sheetName val="RTERM"/>
      <sheetName val="RFRIA"/>
      <sheetName val="S_PENSB"/>
      <sheetName val="DESPACHO_MOTOR"/>
      <sheetName val="Despacho de Potencia Reactiva"/>
      <sheetName val="Voltaje por barras"/>
      <sheetName val="Reporte Reserva Fria"/>
      <sheetName val="Reporte Reserva Operativa"/>
      <sheetName val="MAPEO CENTRALES DE GENERACION"/>
      <sheetName val="MAPEO TODAS LAS BARRAS"/>
      <sheetName val="Detalle de Subsistemas"/>
      <sheetName val="RF Tiempo Real"/>
      <sheetName val="GRAFICA DESPACHO ESTIMADO"/>
      <sheetName val="Pruebas operativas"/>
      <sheetName val="DATA_GRAFICOS"/>
      <sheetName val="GRAFICOS"/>
      <sheetName val="e_datdem_Declarado"/>
      <sheetName val="e_Qload_Declarado"/>
      <sheetName val="PDemanda_Declarado"/>
      <sheetName val="QDemanda_Declarado"/>
      <sheetName val="Demanda Activa por cargas DEC"/>
      <sheetName val="Demanda Reactiva por cargas DEC"/>
    </sheetNames>
    <sheetDataSet>
      <sheetData sheetId="0" refreshError="1"/>
      <sheetData sheetId="1">
        <row r="13">
          <cell r="C13">
            <v>44478</v>
          </cell>
        </row>
        <row r="14">
          <cell r="C14" t="str">
            <v>PSP_09-10_15-10-2021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2">
          <cell r="A2" t="str">
            <v>G3AANDRE</v>
          </cell>
          <cell r="B2" t="str">
            <v>AES ANDRES</v>
          </cell>
          <cell r="C2">
            <v>300</v>
          </cell>
          <cell r="D2">
            <v>300</v>
          </cell>
          <cell r="E2">
            <v>300</v>
          </cell>
          <cell r="F2">
            <v>300</v>
          </cell>
          <cell r="G2">
            <v>300</v>
          </cell>
          <cell r="H2">
            <v>300</v>
          </cell>
          <cell r="I2">
            <v>300</v>
          </cell>
          <cell r="J2">
            <v>300</v>
          </cell>
          <cell r="K2">
            <v>300</v>
          </cell>
          <cell r="L2">
            <v>300</v>
          </cell>
          <cell r="M2">
            <v>300</v>
          </cell>
          <cell r="N2">
            <v>300</v>
          </cell>
          <cell r="O2">
            <v>300</v>
          </cell>
          <cell r="P2">
            <v>300</v>
          </cell>
          <cell r="Q2">
            <v>300</v>
          </cell>
          <cell r="R2">
            <v>300</v>
          </cell>
          <cell r="S2">
            <v>300</v>
          </cell>
          <cell r="T2">
            <v>300</v>
          </cell>
          <cell r="U2">
            <v>300</v>
          </cell>
          <cell r="V2">
            <v>300</v>
          </cell>
          <cell r="W2">
            <v>300</v>
          </cell>
          <cell r="X2">
            <v>300</v>
          </cell>
          <cell r="Y2">
            <v>300</v>
          </cell>
          <cell r="Z2">
            <v>300</v>
          </cell>
          <cell r="AA2">
            <v>300</v>
          </cell>
          <cell r="AB2">
            <v>300</v>
          </cell>
          <cell r="AC2">
            <v>300</v>
          </cell>
          <cell r="AD2">
            <v>300</v>
          </cell>
          <cell r="AE2">
            <v>300</v>
          </cell>
          <cell r="AF2">
            <v>300</v>
          </cell>
          <cell r="AG2">
            <v>300</v>
          </cell>
          <cell r="AH2">
            <v>300</v>
          </cell>
          <cell r="AI2">
            <v>300</v>
          </cell>
          <cell r="AJ2">
            <v>300</v>
          </cell>
          <cell r="AK2">
            <v>300</v>
          </cell>
          <cell r="AL2">
            <v>300</v>
          </cell>
          <cell r="AM2">
            <v>300</v>
          </cell>
          <cell r="AN2">
            <v>300</v>
          </cell>
          <cell r="AO2">
            <v>300</v>
          </cell>
          <cell r="AP2">
            <v>300</v>
          </cell>
          <cell r="AQ2">
            <v>300</v>
          </cell>
          <cell r="AR2">
            <v>300</v>
          </cell>
          <cell r="AS2">
            <v>300</v>
          </cell>
          <cell r="AT2">
            <v>300</v>
          </cell>
          <cell r="AU2">
            <v>300</v>
          </cell>
          <cell r="AV2">
            <v>300</v>
          </cell>
          <cell r="AW2">
            <v>300</v>
          </cell>
          <cell r="AX2">
            <v>300</v>
          </cell>
          <cell r="AY2">
            <v>300</v>
          </cell>
          <cell r="AZ2">
            <v>300</v>
          </cell>
          <cell r="BA2">
            <v>300</v>
          </cell>
          <cell r="BB2">
            <v>300</v>
          </cell>
          <cell r="BC2">
            <v>300</v>
          </cell>
          <cell r="BD2">
            <v>300</v>
          </cell>
          <cell r="BE2">
            <v>300</v>
          </cell>
          <cell r="BF2">
            <v>300</v>
          </cell>
          <cell r="BG2">
            <v>300</v>
          </cell>
          <cell r="BH2">
            <v>300</v>
          </cell>
          <cell r="BI2">
            <v>300</v>
          </cell>
          <cell r="BJ2">
            <v>300</v>
          </cell>
          <cell r="BK2">
            <v>300</v>
          </cell>
          <cell r="BL2">
            <v>300</v>
          </cell>
          <cell r="BM2">
            <v>300</v>
          </cell>
          <cell r="BN2">
            <v>300</v>
          </cell>
          <cell r="BO2">
            <v>300</v>
          </cell>
          <cell r="BP2">
            <v>300</v>
          </cell>
          <cell r="BQ2">
            <v>300</v>
          </cell>
          <cell r="BR2">
            <v>300</v>
          </cell>
          <cell r="BS2">
            <v>300</v>
          </cell>
          <cell r="BT2">
            <v>300</v>
          </cell>
          <cell r="BU2">
            <v>300</v>
          </cell>
          <cell r="BV2">
            <v>300</v>
          </cell>
          <cell r="BW2">
            <v>300</v>
          </cell>
          <cell r="BX2">
            <v>300</v>
          </cell>
          <cell r="BY2">
            <v>300</v>
          </cell>
          <cell r="BZ2">
            <v>300</v>
          </cell>
          <cell r="CA2">
            <v>300</v>
          </cell>
          <cell r="CB2">
            <v>300</v>
          </cell>
          <cell r="CC2">
            <v>300</v>
          </cell>
          <cell r="CD2">
            <v>300</v>
          </cell>
          <cell r="CE2">
            <v>300</v>
          </cell>
          <cell r="CF2">
            <v>300</v>
          </cell>
          <cell r="CG2">
            <v>300</v>
          </cell>
          <cell r="CH2">
            <v>300</v>
          </cell>
          <cell r="CI2">
            <v>300</v>
          </cell>
          <cell r="CJ2">
            <v>300</v>
          </cell>
          <cell r="CK2">
            <v>300</v>
          </cell>
          <cell r="CL2">
            <v>300</v>
          </cell>
          <cell r="CM2">
            <v>300</v>
          </cell>
          <cell r="CN2">
            <v>300</v>
          </cell>
          <cell r="CO2">
            <v>300</v>
          </cell>
          <cell r="CP2">
            <v>300</v>
          </cell>
          <cell r="CQ2">
            <v>300</v>
          </cell>
          <cell r="CR2">
            <v>300</v>
          </cell>
          <cell r="CS2">
            <v>300</v>
          </cell>
          <cell r="CT2">
            <v>300</v>
          </cell>
          <cell r="CU2">
            <v>300</v>
          </cell>
          <cell r="CV2">
            <v>300</v>
          </cell>
          <cell r="CW2">
            <v>300</v>
          </cell>
          <cell r="CX2">
            <v>300</v>
          </cell>
          <cell r="CY2">
            <v>300</v>
          </cell>
          <cell r="CZ2">
            <v>300</v>
          </cell>
          <cell r="DA2">
            <v>300</v>
          </cell>
          <cell r="DB2">
            <v>300</v>
          </cell>
          <cell r="DC2">
            <v>300</v>
          </cell>
          <cell r="DD2">
            <v>300</v>
          </cell>
          <cell r="DE2">
            <v>300</v>
          </cell>
          <cell r="DF2">
            <v>300</v>
          </cell>
          <cell r="DG2">
            <v>300</v>
          </cell>
          <cell r="DH2">
            <v>300</v>
          </cell>
          <cell r="DI2">
            <v>300</v>
          </cell>
          <cell r="DJ2">
            <v>300</v>
          </cell>
          <cell r="DK2">
            <v>300</v>
          </cell>
          <cell r="DL2">
            <v>300</v>
          </cell>
          <cell r="DM2">
            <v>300</v>
          </cell>
          <cell r="DN2">
            <v>300</v>
          </cell>
          <cell r="DO2">
            <v>300</v>
          </cell>
          <cell r="DP2">
            <v>300</v>
          </cell>
          <cell r="DQ2">
            <v>300</v>
          </cell>
          <cell r="DR2">
            <v>300</v>
          </cell>
          <cell r="DS2">
            <v>300</v>
          </cell>
          <cell r="DT2">
            <v>300</v>
          </cell>
          <cell r="DU2">
            <v>300</v>
          </cell>
          <cell r="DV2">
            <v>300</v>
          </cell>
          <cell r="DW2">
            <v>300</v>
          </cell>
          <cell r="DX2">
            <v>300</v>
          </cell>
          <cell r="DY2">
            <v>300</v>
          </cell>
          <cell r="DZ2">
            <v>300</v>
          </cell>
          <cell r="EA2">
            <v>300</v>
          </cell>
          <cell r="EB2">
            <v>300</v>
          </cell>
          <cell r="EC2">
            <v>300</v>
          </cell>
          <cell r="ED2">
            <v>300</v>
          </cell>
          <cell r="EE2">
            <v>300</v>
          </cell>
          <cell r="EF2">
            <v>300</v>
          </cell>
          <cell r="EG2">
            <v>300</v>
          </cell>
          <cell r="EH2">
            <v>300</v>
          </cell>
          <cell r="EI2">
            <v>300</v>
          </cell>
          <cell r="EJ2">
            <v>300</v>
          </cell>
          <cell r="EK2">
            <v>300</v>
          </cell>
          <cell r="EL2">
            <v>300</v>
          </cell>
          <cell r="EM2">
            <v>300</v>
          </cell>
          <cell r="EN2">
            <v>300</v>
          </cell>
          <cell r="EO2">
            <v>300</v>
          </cell>
          <cell r="EP2">
            <v>300</v>
          </cell>
          <cell r="EQ2">
            <v>300</v>
          </cell>
          <cell r="ER2">
            <v>300</v>
          </cell>
          <cell r="ES2">
            <v>300</v>
          </cell>
          <cell r="ET2">
            <v>300</v>
          </cell>
          <cell r="EU2">
            <v>300</v>
          </cell>
          <cell r="EV2">
            <v>300</v>
          </cell>
          <cell r="EW2">
            <v>300</v>
          </cell>
          <cell r="EX2">
            <v>300</v>
          </cell>
          <cell r="EY2">
            <v>300</v>
          </cell>
          <cell r="EZ2">
            <v>300</v>
          </cell>
          <cell r="FA2">
            <v>300</v>
          </cell>
          <cell r="FB2">
            <v>300</v>
          </cell>
          <cell r="FC2">
            <v>300</v>
          </cell>
          <cell r="FD2">
            <v>300</v>
          </cell>
          <cell r="FE2">
            <v>300</v>
          </cell>
          <cell r="FF2">
            <v>300</v>
          </cell>
          <cell r="FG2">
            <v>300</v>
          </cell>
          <cell r="FH2">
            <v>300</v>
          </cell>
          <cell r="FI2">
            <v>300</v>
          </cell>
          <cell r="FJ2">
            <v>300</v>
          </cell>
          <cell r="FK2">
            <v>300</v>
          </cell>
          <cell r="FL2">
            <v>300</v>
          </cell>
          <cell r="FM2">
            <v>300</v>
          </cell>
          <cell r="FN2">
            <v>300</v>
          </cell>
        </row>
        <row r="3">
          <cell r="A3" t="str">
            <v>G3AGUAC1</v>
          </cell>
          <cell r="B3" t="str">
            <v>AGUACATE 1</v>
          </cell>
          <cell r="C3">
            <v>0</v>
          </cell>
          <cell r="D3">
            <v>0</v>
          </cell>
          <cell r="E3">
            <v>0</v>
          </cell>
          <cell r="F3">
            <v>0</v>
          </cell>
          <cell r="G3">
            <v>0</v>
          </cell>
          <cell r="H3">
            <v>0</v>
          </cell>
          <cell r="I3">
            <v>0</v>
          </cell>
          <cell r="J3">
            <v>0</v>
          </cell>
          <cell r="K3">
            <v>28</v>
          </cell>
          <cell r="L3">
            <v>28</v>
          </cell>
          <cell r="M3">
            <v>28</v>
          </cell>
          <cell r="N3">
            <v>28</v>
          </cell>
          <cell r="O3">
            <v>28</v>
          </cell>
          <cell r="P3">
            <v>28</v>
          </cell>
          <cell r="Q3">
            <v>28</v>
          </cell>
          <cell r="R3">
            <v>28</v>
          </cell>
          <cell r="S3">
            <v>28</v>
          </cell>
          <cell r="T3">
            <v>28</v>
          </cell>
          <cell r="U3">
            <v>28</v>
          </cell>
          <cell r="V3">
            <v>28</v>
          </cell>
          <cell r="W3">
            <v>28</v>
          </cell>
          <cell r="X3">
            <v>28</v>
          </cell>
          <cell r="Y3">
            <v>28</v>
          </cell>
          <cell r="Z3">
            <v>28</v>
          </cell>
          <cell r="AA3">
            <v>28</v>
          </cell>
          <cell r="AB3">
            <v>28</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28</v>
          </cell>
          <cell r="BH3">
            <v>28</v>
          </cell>
          <cell r="BI3">
            <v>28</v>
          </cell>
          <cell r="BJ3">
            <v>28</v>
          </cell>
          <cell r="BK3">
            <v>28</v>
          </cell>
          <cell r="BL3">
            <v>28</v>
          </cell>
          <cell r="BM3">
            <v>28</v>
          </cell>
          <cell r="BN3">
            <v>28</v>
          </cell>
          <cell r="BO3">
            <v>28</v>
          </cell>
          <cell r="BP3">
            <v>28</v>
          </cell>
          <cell r="BQ3">
            <v>28</v>
          </cell>
          <cell r="BR3">
            <v>28</v>
          </cell>
          <cell r="BS3">
            <v>28</v>
          </cell>
          <cell r="BT3">
            <v>28</v>
          </cell>
          <cell r="BU3">
            <v>28</v>
          </cell>
          <cell r="BV3">
            <v>28</v>
          </cell>
          <cell r="BW3">
            <v>28</v>
          </cell>
          <cell r="BX3">
            <v>28</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28</v>
          </cell>
          <cell r="DD3">
            <v>28</v>
          </cell>
          <cell r="DE3">
            <v>28</v>
          </cell>
          <cell r="DF3">
            <v>28</v>
          </cell>
          <cell r="DG3">
            <v>28</v>
          </cell>
          <cell r="DH3">
            <v>28</v>
          </cell>
          <cell r="DI3">
            <v>28</v>
          </cell>
          <cell r="DJ3">
            <v>28</v>
          </cell>
          <cell r="DK3">
            <v>28</v>
          </cell>
          <cell r="DL3">
            <v>28</v>
          </cell>
          <cell r="DM3">
            <v>28</v>
          </cell>
          <cell r="DN3">
            <v>28</v>
          </cell>
          <cell r="DO3">
            <v>28</v>
          </cell>
          <cell r="DP3">
            <v>28</v>
          </cell>
          <cell r="DQ3">
            <v>28</v>
          </cell>
          <cell r="DR3">
            <v>28</v>
          </cell>
          <cell r="DS3">
            <v>28</v>
          </cell>
          <cell r="DT3">
            <v>28</v>
          </cell>
          <cell r="DU3">
            <v>28</v>
          </cell>
          <cell r="DV3">
            <v>28</v>
          </cell>
          <cell r="DW3">
            <v>0</v>
          </cell>
          <cell r="DX3">
            <v>0</v>
          </cell>
          <cell r="DY3">
            <v>0</v>
          </cell>
          <cell r="DZ3">
            <v>0</v>
          </cell>
          <cell r="EA3">
            <v>0</v>
          </cell>
          <cell r="EB3">
            <v>0</v>
          </cell>
          <cell r="EC3">
            <v>0</v>
          </cell>
          <cell r="ED3">
            <v>0</v>
          </cell>
          <cell r="EE3">
            <v>0</v>
          </cell>
          <cell r="EF3">
            <v>0</v>
          </cell>
          <cell r="EG3">
            <v>0</v>
          </cell>
          <cell r="EH3">
            <v>0</v>
          </cell>
          <cell r="EI3">
            <v>0</v>
          </cell>
          <cell r="EJ3">
            <v>0</v>
          </cell>
          <cell r="EK3">
            <v>0</v>
          </cell>
          <cell r="EL3">
            <v>0</v>
          </cell>
          <cell r="EM3">
            <v>0</v>
          </cell>
          <cell r="EN3">
            <v>0</v>
          </cell>
          <cell r="EO3">
            <v>0</v>
          </cell>
          <cell r="EP3">
            <v>0</v>
          </cell>
          <cell r="EQ3">
            <v>0</v>
          </cell>
          <cell r="ER3">
            <v>0</v>
          </cell>
          <cell r="ES3">
            <v>0</v>
          </cell>
          <cell r="ET3">
            <v>0</v>
          </cell>
          <cell r="EU3">
            <v>0</v>
          </cell>
          <cell r="EV3">
            <v>0</v>
          </cell>
          <cell r="EW3">
            <v>0</v>
          </cell>
          <cell r="EX3">
            <v>0</v>
          </cell>
          <cell r="EY3">
            <v>28</v>
          </cell>
          <cell r="EZ3">
            <v>28</v>
          </cell>
          <cell r="FA3">
            <v>28</v>
          </cell>
          <cell r="FB3">
            <v>28</v>
          </cell>
          <cell r="FC3">
            <v>28</v>
          </cell>
          <cell r="FD3">
            <v>28</v>
          </cell>
          <cell r="FE3">
            <v>28</v>
          </cell>
          <cell r="FF3">
            <v>28</v>
          </cell>
          <cell r="FG3">
            <v>28</v>
          </cell>
          <cell r="FH3">
            <v>28</v>
          </cell>
          <cell r="FI3">
            <v>28</v>
          </cell>
          <cell r="FJ3">
            <v>28</v>
          </cell>
          <cell r="FK3">
            <v>28</v>
          </cell>
          <cell r="FL3">
            <v>28</v>
          </cell>
          <cell r="FM3">
            <v>28</v>
          </cell>
          <cell r="FN3">
            <v>28</v>
          </cell>
        </row>
        <row r="4">
          <cell r="A4" t="str">
            <v>G3AGUAC2</v>
          </cell>
          <cell r="B4" t="str">
            <v>AGUACATE 2</v>
          </cell>
          <cell r="C4">
            <v>28</v>
          </cell>
          <cell r="D4">
            <v>28</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28</v>
          </cell>
          <cell r="AJ4">
            <v>28</v>
          </cell>
          <cell r="AK4">
            <v>28</v>
          </cell>
          <cell r="AL4">
            <v>28</v>
          </cell>
          <cell r="AM4">
            <v>28</v>
          </cell>
          <cell r="AN4">
            <v>28</v>
          </cell>
          <cell r="AO4">
            <v>28</v>
          </cell>
          <cell r="AP4">
            <v>28</v>
          </cell>
          <cell r="AQ4">
            <v>28</v>
          </cell>
          <cell r="AR4">
            <v>28</v>
          </cell>
          <cell r="AS4">
            <v>28</v>
          </cell>
          <cell r="AT4">
            <v>28</v>
          </cell>
          <cell r="AU4">
            <v>28</v>
          </cell>
          <cell r="AV4">
            <v>28</v>
          </cell>
          <cell r="AW4">
            <v>28</v>
          </cell>
          <cell r="AX4">
            <v>28</v>
          </cell>
          <cell r="AY4">
            <v>28</v>
          </cell>
          <cell r="AZ4">
            <v>28</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28</v>
          </cell>
          <cell r="CF4">
            <v>28</v>
          </cell>
          <cell r="CG4">
            <v>28</v>
          </cell>
          <cell r="CH4">
            <v>28</v>
          </cell>
          <cell r="CI4">
            <v>28</v>
          </cell>
          <cell r="CJ4">
            <v>28</v>
          </cell>
          <cell r="CK4">
            <v>28</v>
          </cell>
          <cell r="CL4">
            <v>28</v>
          </cell>
          <cell r="CM4">
            <v>28</v>
          </cell>
          <cell r="CN4">
            <v>28</v>
          </cell>
          <cell r="CO4">
            <v>28</v>
          </cell>
          <cell r="CP4">
            <v>28</v>
          </cell>
          <cell r="CQ4">
            <v>28</v>
          </cell>
          <cell r="CR4">
            <v>28</v>
          </cell>
          <cell r="CS4">
            <v>28</v>
          </cell>
          <cell r="CT4">
            <v>28</v>
          </cell>
          <cell r="CU4">
            <v>28</v>
          </cell>
          <cell r="CV4">
            <v>28</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28</v>
          </cell>
          <cell r="EB4">
            <v>28</v>
          </cell>
          <cell r="EC4">
            <v>28</v>
          </cell>
          <cell r="ED4">
            <v>28</v>
          </cell>
          <cell r="EE4">
            <v>28</v>
          </cell>
          <cell r="EF4">
            <v>28</v>
          </cell>
          <cell r="EG4">
            <v>28</v>
          </cell>
          <cell r="EH4">
            <v>28</v>
          </cell>
          <cell r="EI4">
            <v>28</v>
          </cell>
          <cell r="EJ4">
            <v>28</v>
          </cell>
          <cell r="EK4">
            <v>28</v>
          </cell>
          <cell r="EL4">
            <v>28</v>
          </cell>
          <cell r="EM4">
            <v>28</v>
          </cell>
          <cell r="EN4">
            <v>28</v>
          </cell>
          <cell r="EO4">
            <v>28</v>
          </cell>
          <cell r="EP4">
            <v>28</v>
          </cell>
          <cell r="EQ4">
            <v>28</v>
          </cell>
          <cell r="ER4">
            <v>28</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row>
        <row r="5">
          <cell r="A5" t="str">
            <v>G3AVARG1</v>
          </cell>
          <cell r="B5" t="str">
            <v>ANIANA VARGAS 1</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0.2</v>
          </cell>
          <cell r="AZ5">
            <v>0.2</v>
          </cell>
          <cell r="BA5">
            <v>0.2</v>
          </cell>
          <cell r="BB5">
            <v>0.2</v>
          </cell>
          <cell r="BC5">
            <v>0.2</v>
          </cell>
          <cell r="BD5">
            <v>0.2</v>
          </cell>
          <cell r="BE5">
            <v>0.2</v>
          </cell>
          <cell r="BF5">
            <v>0.2</v>
          </cell>
          <cell r="BG5">
            <v>0.2</v>
          </cell>
          <cell r="BH5">
            <v>0.2</v>
          </cell>
          <cell r="BI5">
            <v>0.2</v>
          </cell>
          <cell r="BJ5">
            <v>0.2</v>
          </cell>
          <cell r="BK5">
            <v>0.2</v>
          </cell>
          <cell r="BL5">
            <v>0.2</v>
          </cell>
          <cell r="BM5">
            <v>0.2</v>
          </cell>
          <cell r="BN5">
            <v>0.2</v>
          </cell>
          <cell r="BO5">
            <v>0.2</v>
          </cell>
          <cell r="BP5">
            <v>0.2</v>
          </cell>
          <cell r="BQ5">
            <v>0.2</v>
          </cell>
          <cell r="BR5">
            <v>0.2</v>
          </cell>
          <cell r="BS5">
            <v>0.2</v>
          </cell>
          <cell r="BT5">
            <v>0.2</v>
          </cell>
          <cell r="BU5">
            <v>0.2</v>
          </cell>
          <cell r="BV5">
            <v>0.2</v>
          </cell>
          <cell r="BW5">
            <v>0.2</v>
          </cell>
          <cell r="BX5">
            <v>0.2</v>
          </cell>
          <cell r="BY5">
            <v>0.2</v>
          </cell>
          <cell r="BZ5">
            <v>0.2</v>
          </cell>
          <cell r="CA5">
            <v>0.2</v>
          </cell>
          <cell r="CB5">
            <v>0.2</v>
          </cell>
          <cell r="CC5">
            <v>0.2</v>
          </cell>
          <cell r="CD5">
            <v>0.2</v>
          </cell>
          <cell r="CE5">
            <v>0.2</v>
          </cell>
          <cell r="CF5">
            <v>0.2</v>
          </cell>
          <cell r="CG5">
            <v>0.2</v>
          </cell>
          <cell r="CH5">
            <v>0.2</v>
          </cell>
          <cell r="CI5">
            <v>0.2</v>
          </cell>
          <cell r="CJ5">
            <v>0.2</v>
          </cell>
          <cell r="CK5">
            <v>0.2</v>
          </cell>
          <cell r="CL5">
            <v>0.2</v>
          </cell>
          <cell r="CM5">
            <v>0.2</v>
          </cell>
          <cell r="CN5">
            <v>0.2</v>
          </cell>
          <cell r="CO5">
            <v>0.2</v>
          </cell>
          <cell r="CP5">
            <v>0.2</v>
          </cell>
          <cell r="CQ5">
            <v>0.2</v>
          </cell>
          <cell r="CR5">
            <v>0.2</v>
          </cell>
          <cell r="CS5">
            <v>0.2</v>
          </cell>
          <cell r="CT5">
            <v>0.2</v>
          </cell>
          <cell r="CU5">
            <v>0.2</v>
          </cell>
          <cell r="CV5">
            <v>0.2</v>
          </cell>
          <cell r="CW5">
            <v>0.2</v>
          </cell>
          <cell r="CX5">
            <v>0.2</v>
          </cell>
          <cell r="CY5">
            <v>0.2</v>
          </cell>
          <cell r="CZ5">
            <v>0.2</v>
          </cell>
          <cell r="DA5">
            <v>0.2</v>
          </cell>
          <cell r="DB5">
            <v>0.2</v>
          </cell>
          <cell r="DC5">
            <v>0.2</v>
          </cell>
          <cell r="DD5">
            <v>0.2</v>
          </cell>
          <cell r="DE5">
            <v>0.2</v>
          </cell>
          <cell r="DF5">
            <v>0.2</v>
          </cell>
          <cell r="DG5">
            <v>0.2</v>
          </cell>
          <cell r="DH5">
            <v>0.2</v>
          </cell>
          <cell r="DI5">
            <v>0.2</v>
          </cell>
          <cell r="DJ5">
            <v>0.2</v>
          </cell>
          <cell r="DK5">
            <v>0.2</v>
          </cell>
          <cell r="DL5">
            <v>0.2</v>
          </cell>
          <cell r="DM5">
            <v>0.2</v>
          </cell>
          <cell r="DN5">
            <v>0.2</v>
          </cell>
          <cell r="DO5">
            <v>0.2</v>
          </cell>
          <cell r="DP5">
            <v>0.2</v>
          </cell>
          <cell r="DQ5">
            <v>0.2</v>
          </cell>
          <cell r="DR5">
            <v>0.2</v>
          </cell>
          <cell r="DS5">
            <v>0.2</v>
          </cell>
          <cell r="DT5">
            <v>0.2</v>
          </cell>
          <cell r="DU5">
            <v>0.2</v>
          </cell>
          <cell r="DV5">
            <v>0.2</v>
          </cell>
          <cell r="DW5">
            <v>0.2</v>
          </cell>
          <cell r="DX5">
            <v>0.2</v>
          </cell>
          <cell r="DY5">
            <v>0.2</v>
          </cell>
          <cell r="DZ5">
            <v>0.2</v>
          </cell>
          <cell r="EA5">
            <v>0.2</v>
          </cell>
          <cell r="EB5">
            <v>0.2</v>
          </cell>
          <cell r="EC5">
            <v>0.2</v>
          </cell>
          <cell r="ED5">
            <v>0.2</v>
          </cell>
          <cell r="EE5">
            <v>0.2</v>
          </cell>
          <cell r="EF5">
            <v>0.2</v>
          </cell>
          <cell r="EG5">
            <v>0.2</v>
          </cell>
          <cell r="EH5">
            <v>0.2</v>
          </cell>
          <cell r="EI5">
            <v>0.2</v>
          </cell>
          <cell r="EJ5">
            <v>0.2</v>
          </cell>
          <cell r="EK5">
            <v>0.2</v>
          </cell>
          <cell r="EL5">
            <v>0.2</v>
          </cell>
          <cell r="EM5">
            <v>0.2</v>
          </cell>
          <cell r="EN5">
            <v>0.2</v>
          </cell>
          <cell r="EO5">
            <v>0.2</v>
          </cell>
          <cell r="EP5">
            <v>0.2</v>
          </cell>
          <cell r="EQ5">
            <v>0.2</v>
          </cell>
          <cell r="ER5">
            <v>0.2</v>
          </cell>
          <cell r="ES5">
            <v>0.2</v>
          </cell>
          <cell r="ET5">
            <v>0.2</v>
          </cell>
          <cell r="EU5">
            <v>0.2</v>
          </cell>
          <cell r="EV5">
            <v>0.2</v>
          </cell>
          <cell r="EW5">
            <v>0.2</v>
          </cell>
          <cell r="EX5">
            <v>0.2</v>
          </cell>
          <cell r="EY5">
            <v>0.2</v>
          </cell>
          <cell r="EZ5">
            <v>0.2</v>
          </cell>
          <cell r="FA5">
            <v>0.2</v>
          </cell>
          <cell r="FB5">
            <v>0.2</v>
          </cell>
          <cell r="FC5">
            <v>0.2</v>
          </cell>
          <cell r="FD5">
            <v>0.2</v>
          </cell>
          <cell r="FE5">
            <v>0.2</v>
          </cell>
          <cell r="FF5">
            <v>0.2</v>
          </cell>
          <cell r="FG5">
            <v>0.2</v>
          </cell>
          <cell r="FH5">
            <v>0.2</v>
          </cell>
          <cell r="FI5">
            <v>0.2</v>
          </cell>
          <cell r="FJ5">
            <v>0.2</v>
          </cell>
          <cell r="FK5">
            <v>0.2</v>
          </cell>
          <cell r="FL5">
            <v>0.2</v>
          </cell>
          <cell r="FM5">
            <v>0.2</v>
          </cell>
          <cell r="FN5">
            <v>0.2</v>
          </cell>
        </row>
        <row r="6">
          <cell r="A6" t="str">
            <v>G3AVARG2</v>
          </cell>
          <cell r="B6" t="str">
            <v>ANIANA VARGAS 2</v>
          </cell>
          <cell r="C6">
            <v>0.2</v>
          </cell>
          <cell r="D6">
            <v>0.2</v>
          </cell>
          <cell r="E6">
            <v>0.2</v>
          </cell>
          <cell r="F6">
            <v>0.2</v>
          </cell>
          <cell r="G6">
            <v>0.2</v>
          </cell>
          <cell r="H6">
            <v>0.2</v>
          </cell>
          <cell r="I6">
            <v>0.2</v>
          </cell>
          <cell r="J6">
            <v>0.2</v>
          </cell>
          <cell r="K6">
            <v>0.2</v>
          </cell>
          <cell r="L6">
            <v>0.2</v>
          </cell>
          <cell r="M6">
            <v>0.2</v>
          </cell>
          <cell r="N6">
            <v>0.2</v>
          </cell>
          <cell r="O6">
            <v>0.2</v>
          </cell>
          <cell r="P6">
            <v>0.2</v>
          </cell>
          <cell r="Q6">
            <v>0.2</v>
          </cell>
          <cell r="R6">
            <v>0.2</v>
          </cell>
          <cell r="S6">
            <v>0.2</v>
          </cell>
          <cell r="T6">
            <v>0.2</v>
          </cell>
          <cell r="U6">
            <v>0.2</v>
          </cell>
          <cell r="V6">
            <v>0.2</v>
          </cell>
          <cell r="W6">
            <v>0.2</v>
          </cell>
          <cell r="X6">
            <v>0.2</v>
          </cell>
          <cell r="Y6">
            <v>0.2</v>
          </cell>
          <cell r="Z6">
            <v>0.2</v>
          </cell>
          <cell r="AA6">
            <v>0.2</v>
          </cell>
          <cell r="AB6">
            <v>0.2</v>
          </cell>
          <cell r="AC6">
            <v>0.2</v>
          </cell>
          <cell r="AD6">
            <v>0.2</v>
          </cell>
          <cell r="AE6">
            <v>0.2</v>
          </cell>
          <cell r="AF6">
            <v>0.2</v>
          </cell>
          <cell r="AG6">
            <v>0.2</v>
          </cell>
          <cell r="AH6">
            <v>0.2</v>
          </cell>
          <cell r="AI6">
            <v>0.2</v>
          </cell>
          <cell r="AJ6">
            <v>0.2</v>
          </cell>
          <cell r="AK6">
            <v>0.2</v>
          </cell>
          <cell r="AL6">
            <v>0.2</v>
          </cell>
          <cell r="AM6">
            <v>0.2</v>
          </cell>
          <cell r="AN6">
            <v>0.2</v>
          </cell>
          <cell r="AO6">
            <v>0.2</v>
          </cell>
          <cell r="AP6">
            <v>0.2</v>
          </cell>
          <cell r="AQ6">
            <v>0.2</v>
          </cell>
          <cell r="AR6">
            <v>0.2</v>
          </cell>
          <cell r="AS6">
            <v>0.2</v>
          </cell>
          <cell r="AT6">
            <v>0.2</v>
          </cell>
          <cell r="AU6">
            <v>0.2</v>
          </cell>
          <cell r="AV6">
            <v>0.2</v>
          </cell>
          <cell r="AW6">
            <v>0.2</v>
          </cell>
          <cell r="AX6">
            <v>0.2</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0</v>
          </cell>
          <cell r="EW6">
            <v>0</v>
          </cell>
          <cell r="EX6">
            <v>0</v>
          </cell>
          <cell r="EY6">
            <v>0</v>
          </cell>
          <cell r="EZ6">
            <v>0</v>
          </cell>
          <cell r="FA6">
            <v>0</v>
          </cell>
          <cell r="FB6">
            <v>0</v>
          </cell>
          <cell r="FC6">
            <v>0</v>
          </cell>
          <cell r="FD6">
            <v>0</v>
          </cell>
          <cell r="FE6">
            <v>0</v>
          </cell>
          <cell r="FF6">
            <v>0</v>
          </cell>
          <cell r="FG6">
            <v>0</v>
          </cell>
          <cell r="FH6">
            <v>0</v>
          </cell>
          <cell r="FI6">
            <v>0</v>
          </cell>
          <cell r="FJ6">
            <v>0</v>
          </cell>
          <cell r="FK6">
            <v>0</v>
          </cell>
          <cell r="FL6">
            <v>0</v>
          </cell>
          <cell r="FM6">
            <v>0</v>
          </cell>
          <cell r="FN6">
            <v>0</v>
          </cell>
        </row>
        <row r="7">
          <cell r="A7" t="str">
            <v>G3BAIGU1</v>
          </cell>
          <cell r="B7" t="str">
            <v>BAIGUAQUE 1</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row>
        <row r="8">
          <cell r="A8" t="str">
            <v>G3BAIGU2</v>
          </cell>
          <cell r="B8" t="str">
            <v>BAIGUAQUE 2</v>
          </cell>
          <cell r="C8">
            <v>0.2</v>
          </cell>
          <cell r="D8">
            <v>0.2</v>
          </cell>
          <cell r="E8">
            <v>0.2</v>
          </cell>
          <cell r="F8">
            <v>0.2</v>
          </cell>
          <cell r="G8">
            <v>0.2</v>
          </cell>
          <cell r="H8">
            <v>0.2</v>
          </cell>
          <cell r="I8">
            <v>0.2</v>
          </cell>
          <cell r="J8">
            <v>0.2</v>
          </cell>
          <cell r="K8">
            <v>0.2</v>
          </cell>
          <cell r="L8">
            <v>0.2</v>
          </cell>
          <cell r="M8">
            <v>0.2</v>
          </cell>
          <cell r="N8">
            <v>0.2</v>
          </cell>
          <cell r="O8">
            <v>0.2</v>
          </cell>
          <cell r="P8">
            <v>0.2</v>
          </cell>
          <cell r="Q8">
            <v>0.2</v>
          </cell>
          <cell r="R8">
            <v>0.2</v>
          </cell>
          <cell r="S8">
            <v>0.2</v>
          </cell>
          <cell r="T8">
            <v>0.2</v>
          </cell>
          <cell r="U8">
            <v>0.2</v>
          </cell>
          <cell r="V8">
            <v>0.2</v>
          </cell>
          <cell r="W8">
            <v>0.2</v>
          </cell>
          <cell r="X8">
            <v>0.2</v>
          </cell>
          <cell r="Y8">
            <v>0.2</v>
          </cell>
          <cell r="Z8">
            <v>0.2</v>
          </cell>
          <cell r="AA8">
            <v>0.2</v>
          </cell>
          <cell r="AB8">
            <v>0.2</v>
          </cell>
          <cell r="AC8">
            <v>0.2</v>
          </cell>
          <cell r="AD8">
            <v>0.2</v>
          </cell>
          <cell r="AE8">
            <v>0.2</v>
          </cell>
          <cell r="AF8">
            <v>0.2</v>
          </cell>
          <cell r="AG8">
            <v>0.2</v>
          </cell>
          <cell r="AH8">
            <v>0.2</v>
          </cell>
          <cell r="AI8">
            <v>0.2</v>
          </cell>
          <cell r="AJ8">
            <v>0.2</v>
          </cell>
          <cell r="AK8">
            <v>0.2</v>
          </cell>
          <cell r="AL8">
            <v>0.2</v>
          </cell>
          <cell r="AM8">
            <v>0.2</v>
          </cell>
          <cell r="AN8">
            <v>0.2</v>
          </cell>
          <cell r="AO8">
            <v>0.2</v>
          </cell>
          <cell r="AP8">
            <v>0.2</v>
          </cell>
          <cell r="AQ8">
            <v>0.2</v>
          </cell>
          <cell r="AR8">
            <v>0.2</v>
          </cell>
          <cell r="AS8">
            <v>0.2</v>
          </cell>
          <cell r="AT8">
            <v>0.2</v>
          </cell>
          <cell r="AU8">
            <v>0.2</v>
          </cell>
          <cell r="AV8">
            <v>0.2</v>
          </cell>
          <cell r="AW8">
            <v>0.2</v>
          </cell>
          <cell r="AX8">
            <v>0.2</v>
          </cell>
          <cell r="AY8">
            <v>0.2</v>
          </cell>
          <cell r="AZ8">
            <v>0.2</v>
          </cell>
          <cell r="BA8">
            <v>0.2</v>
          </cell>
          <cell r="BB8">
            <v>0.2</v>
          </cell>
          <cell r="BC8">
            <v>0.2</v>
          </cell>
          <cell r="BD8">
            <v>0.2</v>
          </cell>
          <cell r="BE8">
            <v>0.2</v>
          </cell>
          <cell r="BF8">
            <v>0.2</v>
          </cell>
          <cell r="BG8">
            <v>0.2</v>
          </cell>
          <cell r="BH8">
            <v>0.2</v>
          </cell>
          <cell r="BI8">
            <v>0.2</v>
          </cell>
          <cell r="BJ8">
            <v>0.2</v>
          </cell>
          <cell r="BK8">
            <v>0.2</v>
          </cell>
          <cell r="BL8">
            <v>0.2</v>
          </cell>
          <cell r="BM8">
            <v>0.2</v>
          </cell>
          <cell r="BN8">
            <v>0.2</v>
          </cell>
          <cell r="BO8">
            <v>0.2</v>
          </cell>
          <cell r="BP8">
            <v>0.2</v>
          </cell>
          <cell r="BQ8">
            <v>0.2</v>
          </cell>
          <cell r="BR8">
            <v>0.2</v>
          </cell>
          <cell r="BS8">
            <v>0.2</v>
          </cell>
          <cell r="BT8">
            <v>0.2</v>
          </cell>
          <cell r="BU8">
            <v>0.2</v>
          </cell>
          <cell r="BV8">
            <v>0.2</v>
          </cell>
          <cell r="BW8">
            <v>0.2</v>
          </cell>
          <cell r="BX8">
            <v>0.2</v>
          </cell>
          <cell r="BY8">
            <v>0.2</v>
          </cell>
          <cell r="BZ8">
            <v>0.2</v>
          </cell>
          <cell r="CA8">
            <v>0.2</v>
          </cell>
          <cell r="CB8">
            <v>0.2</v>
          </cell>
          <cell r="CC8">
            <v>0.2</v>
          </cell>
          <cell r="CD8">
            <v>0.2</v>
          </cell>
          <cell r="CE8">
            <v>0.2</v>
          </cell>
          <cell r="CF8">
            <v>0.2</v>
          </cell>
          <cell r="CG8">
            <v>0.2</v>
          </cell>
          <cell r="CH8">
            <v>0.2</v>
          </cell>
          <cell r="CI8">
            <v>0.2</v>
          </cell>
          <cell r="CJ8">
            <v>0.2</v>
          </cell>
          <cell r="CK8">
            <v>0.2</v>
          </cell>
          <cell r="CL8">
            <v>0.2</v>
          </cell>
          <cell r="CM8">
            <v>0.2</v>
          </cell>
          <cell r="CN8">
            <v>0.2</v>
          </cell>
          <cell r="CO8">
            <v>0.2</v>
          </cell>
          <cell r="CP8">
            <v>0.2</v>
          </cell>
          <cell r="CQ8">
            <v>0.2</v>
          </cell>
          <cell r="CR8">
            <v>0.2</v>
          </cell>
          <cell r="CS8">
            <v>0.2</v>
          </cell>
          <cell r="CT8">
            <v>0.2</v>
          </cell>
          <cell r="CU8">
            <v>0.2</v>
          </cell>
          <cell r="CV8">
            <v>0.2</v>
          </cell>
          <cell r="CW8">
            <v>0.2</v>
          </cell>
          <cell r="CX8">
            <v>0.2</v>
          </cell>
          <cell r="CY8">
            <v>0.2</v>
          </cell>
          <cell r="CZ8">
            <v>0.2</v>
          </cell>
          <cell r="DA8">
            <v>0.2</v>
          </cell>
          <cell r="DB8">
            <v>0.2</v>
          </cell>
          <cell r="DC8">
            <v>0.2</v>
          </cell>
          <cell r="DD8">
            <v>0.2</v>
          </cell>
          <cell r="DE8">
            <v>0.2</v>
          </cell>
          <cell r="DF8">
            <v>0.2</v>
          </cell>
          <cell r="DG8">
            <v>0.2</v>
          </cell>
          <cell r="DH8">
            <v>0.2</v>
          </cell>
          <cell r="DI8">
            <v>0.2</v>
          </cell>
          <cell r="DJ8">
            <v>0.2</v>
          </cell>
          <cell r="DK8">
            <v>0.2</v>
          </cell>
          <cell r="DL8">
            <v>0.2</v>
          </cell>
          <cell r="DM8">
            <v>0.2</v>
          </cell>
          <cell r="DN8">
            <v>0.2</v>
          </cell>
          <cell r="DO8">
            <v>0.2</v>
          </cell>
          <cell r="DP8">
            <v>0.2</v>
          </cell>
          <cell r="DQ8">
            <v>0.2</v>
          </cell>
          <cell r="DR8">
            <v>0.2</v>
          </cell>
          <cell r="DS8">
            <v>0.2</v>
          </cell>
          <cell r="DT8">
            <v>0.2</v>
          </cell>
          <cell r="DU8">
            <v>0.2</v>
          </cell>
          <cell r="DV8">
            <v>0.2</v>
          </cell>
          <cell r="DW8">
            <v>0.2</v>
          </cell>
          <cell r="DX8">
            <v>0.2</v>
          </cell>
          <cell r="DY8">
            <v>0.2</v>
          </cell>
          <cell r="DZ8">
            <v>0.2</v>
          </cell>
          <cell r="EA8">
            <v>0.2</v>
          </cell>
          <cell r="EB8">
            <v>0.2</v>
          </cell>
          <cell r="EC8">
            <v>0.2</v>
          </cell>
          <cell r="ED8">
            <v>0.2</v>
          </cell>
          <cell r="EE8">
            <v>0.2</v>
          </cell>
          <cell r="EF8">
            <v>0.2</v>
          </cell>
          <cell r="EG8">
            <v>0.2</v>
          </cell>
          <cell r="EH8">
            <v>0.2</v>
          </cell>
          <cell r="EI8">
            <v>0.2</v>
          </cell>
          <cell r="EJ8">
            <v>0.2</v>
          </cell>
          <cell r="EK8">
            <v>0.2</v>
          </cell>
          <cell r="EL8">
            <v>0.2</v>
          </cell>
          <cell r="EM8">
            <v>0.2</v>
          </cell>
          <cell r="EN8">
            <v>0.2</v>
          </cell>
          <cell r="EO8">
            <v>0.2</v>
          </cell>
          <cell r="EP8">
            <v>0.2</v>
          </cell>
          <cell r="EQ8">
            <v>0.2</v>
          </cell>
          <cell r="ER8">
            <v>0.2</v>
          </cell>
          <cell r="ES8">
            <v>0.2</v>
          </cell>
          <cell r="ET8">
            <v>0.2</v>
          </cell>
          <cell r="EU8">
            <v>0.2</v>
          </cell>
          <cell r="EV8">
            <v>0.2</v>
          </cell>
          <cell r="EW8">
            <v>0.2</v>
          </cell>
          <cell r="EX8">
            <v>0.2</v>
          </cell>
          <cell r="EY8">
            <v>0.2</v>
          </cell>
          <cell r="EZ8">
            <v>0.2</v>
          </cell>
          <cell r="FA8">
            <v>0.2</v>
          </cell>
          <cell r="FB8">
            <v>0.2</v>
          </cell>
          <cell r="FC8">
            <v>0.2</v>
          </cell>
          <cell r="FD8">
            <v>0.2</v>
          </cell>
          <cell r="FE8">
            <v>0.2</v>
          </cell>
          <cell r="FF8">
            <v>0.2</v>
          </cell>
          <cell r="FG8">
            <v>0.2</v>
          </cell>
          <cell r="FH8">
            <v>0.2</v>
          </cell>
          <cell r="FI8">
            <v>0.2</v>
          </cell>
          <cell r="FJ8">
            <v>0.2</v>
          </cell>
          <cell r="FK8">
            <v>0.2</v>
          </cell>
          <cell r="FL8">
            <v>0.2</v>
          </cell>
          <cell r="FM8">
            <v>0.2</v>
          </cell>
          <cell r="FN8">
            <v>0.2</v>
          </cell>
        </row>
        <row r="9">
          <cell r="A9" t="str">
            <v>G3BCARBO</v>
          </cell>
          <cell r="B9" t="str">
            <v>BARAHONA CARBON</v>
          </cell>
          <cell r="C9">
            <v>48</v>
          </cell>
          <cell r="D9">
            <v>48</v>
          </cell>
          <cell r="E9">
            <v>48</v>
          </cell>
          <cell r="F9">
            <v>48</v>
          </cell>
          <cell r="G9">
            <v>48</v>
          </cell>
          <cell r="H9">
            <v>48</v>
          </cell>
          <cell r="I9">
            <v>48</v>
          </cell>
          <cell r="J9">
            <v>48</v>
          </cell>
          <cell r="K9">
            <v>48</v>
          </cell>
          <cell r="L9">
            <v>48</v>
          </cell>
          <cell r="M9">
            <v>48</v>
          </cell>
          <cell r="N9">
            <v>48</v>
          </cell>
          <cell r="O9">
            <v>48</v>
          </cell>
          <cell r="P9">
            <v>48</v>
          </cell>
          <cell r="Q9">
            <v>48</v>
          </cell>
          <cell r="R9">
            <v>48</v>
          </cell>
          <cell r="S9">
            <v>48</v>
          </cell>
          <cell r="T9">
            <v>48</v>
          </cell>
          <cell r="U9">
            <v>48</v>
          </cell>
          <cell r="V9">
            <v>48</v>
          </cell>
          <cell r="W9">
            <v>48</v>
          </cell>
          <cell r="X9">
            <v>48</v>
          </cell>
          <cell r="Y9">
            <v>48</v>
          </cell>
          <cell r="Z9">
            <v>48</v>
          </cell>
          <cell r="AA9">
            <v>48</v>
          </cell>
          <cell r="AB9">
            <v>48</v>
          </cell>
          <cell r="AC9">
            <v>48</v>
          </cell>
          <cell r="AD9">
            <v>48</v>
          </cell>
          <cell r="AE9">
            <v>48</v>
          </cell>
          <cell r="AF9">
            <v>48</v>
          </cell>
          <cell r="AG9">
            <v>48</v>
          </cell>
          <cell r="AH9">
            <v>48</v>
          </cell>
          <cell r="AI9">
            <v>48</v>
          </cell>
          <cell r="AJ9">
            <v>48</v>
          </cell>
          <cell r="AK9">
            <v>48</v>
          </cell>
          <cell r="AL9">
            <v>48</v>
          </cell>
          <cell r="AM9">
            <v>48</v>
          </cell>
          <cell r="AN9">
            <v>48</v>
          </cell>
          <cell r="AO9">
            <v>48</v>
          </cell>
          <cell r="AP9">
            <v>48</v>
          </cell>
          <cell r="AQ9">
            <v>48</v>
          </cell>
          <cell r="AR9">
            <v>48</v>
          </cell>
          <cell r="AS9">
            <v>48</v>
          </cell>
          <cell r="AT9">
            <v>48</v>
          </cell>
          <cell r="AU9">
            <v>48</v>
          </cell>
          <cell r="AV9">
            <v>48</v>
          </cell>
          <cell r="AW9">
            <v>48</v>
          </cell>
          <cell r="AX9">
            <v>48</v>
          </cell>
          <cell r="AY9">
            <v>48</v>
          </cell>
          <cell r="AZ9">
            <v>48</v>
          </cell>
          <cell r="BA9">
            <v>48</v>
          </cell>
          <cell r="BB9">
            <v>48</v>
          </cell>
          <cell r="BC9">
            <v>48</v>
          </cell>
          <cell r="BD9">
            <v>48</v>
          </cell>
          <cell r="BE9">
            <v>48</v>
          </cell>
          <cell r="BF9">
            <v>48</v>
          </cell>
          <cell r="BG9">
            <v>48</v>
          </cell>
          <cell r="BH9">
            <v>48</v>
          </cell>
          <cell r="BI9">
            <v>48</v>
          </cell>
          <cell r="BJ9">
            <v>48</v>
          </cell>
          <cell r="BK9">
            <v>48</v>
          </cell>
          <cell r="BL9">
            <v>48</v>
          </cell>
          <cell r="BM9">
            <v>48</v>
          </cell>
          <cell r="BN9">
            <v>48</v>
          </cell>
          <cell r="BO9">
            <v>48</v>
          </cell>
          <cell r="BP9">
            <v>48</v>
          </cell>
          <cell r="BQ9">
            <v>48</v>
          </cell>
          <cell r="BR9">
            <v>48</v>
          </cell>
          <cell r="BS9">
            <v>48</v>
          </cell>
          <cell r="BT9">
            <v>48</v>
          </cell>
          <cell r="BU9">
            <v>48</v>
          </cell>
          <cell r="BV9">
            <v>48</v>
          </cell>
          <cell r="BW9">
            <v>48</v>
          </cell>
          <cell r="BX9">
            <v>48</v>
          </cell>
          <cell r="BY9">
            <v>48</v>
          </cell>
          <cell r="BZ9">
            <v>48</v>
          </cell>
          <cell r="CA9">
            <v>48</v>
          </cell>
          <cell r="CB9">
            <v>48</v>
          </cell>
          <cell r="CC9">
            <v>48</v>
          </cell>
          <cell r="CD9">
            <v>48</v>
          </cell>
          <cell r="CE9">
            <v>48</v>
          </cell>
          <cell r="CF9">
            <v>48</v>
          </cell>
          <cell r="CG9">
            <v>48</v>
          </cell>
          <cell r="CH9">
            <v>48</v>
          </cell>
          <cell r="CI9">
            <v>48</v>
          </cell>
          <cell r="CJ9">
            <v>48</v>
          </cell>
          <cell r="CK9">
            <v>48</v>
          </cell>
          <cell r="CL9">
            <v>48</v>
          </cell>
          <cell r="CM9">
            <v>48</v>
          </cell>
          <cell r="CN9">
            <v>48</v>
          </cell>
          <cell r="CO9">
            <v>48</v>
          </cell>
          <cell r="CP9">
            <v>48</v>
          </cell>
          <cell r="CQ9">
            <v>48</v>
          </cell>
          <cell r="CR9">
            <v>48</v>
          </cell>
          <cell r="CS9">
            <v>48</v>
          </cell>
          <cell r="CT9">
            <v>48</v>
          </cell>
          <cell r="CU9">
            <v>48</v>
          </cell>
          <cell r="CV9">
            <v>48</v>
          </cell>
          <cell r="CW9">
            <v>48</v>
          </cell>
          <cell r="CX9">
            <v>48</v>
          </cell>
          <cell r="CY9">
            <v>48</v>
          </cell>
          <cell r="CZ9">
            <v>48</v>
          </cell>
          <cell r="DA9">
            <v>48</v>
          </cell>
          <cell r="DB9">
            <v>48</v>
          </cell>
          <cell r="DC9">
            <v>48</v>
          </cell>
          <cell r="DD9">
            <v>48</v>
          </cell>
          <cell r="DE9">
            <v>48</v>
          </cell>
          <cell r="DF9">
            <v>48</v>
          </cell>
          <cell r="DG9">
            <v>48</v>
          </cell>
          <cell r="DH9">
            <v>48</v>
          </cell>
          <cell r="DI9">
            <v>48</v>
          </cell>
          <cell r="DJ9">
            <v>48</v>
          </cell>
          <cell r="DK9">
            <v>48</v>
          </cell>
          <cell r="DL9">
            <v>48</v>
          </cell>
          <cell r="DM9">
            <v>48</v>
          </cell>
          <cell r="DN9">
            <v>48</v>
          </cell>
          <cell r="DO9">
            <v>48</v>
          </cell>
          <cell r="DP9">
            <v>48</v>
          </cell>
          <cell r="DQ9">
            <v>48</v>
          </cell>
          <cell r="DR9">
            <v>48</v>
          </cell>
          <cell r="DS9">
            <v>48</v>
          </cell>
          <cell r="DT9">
            <v>48</v>
          </cell>
          <cell r="DU9">
            <v>48</v>
          </cell>
          <cell r="DV9">
            <v>48</v>
          </cell>
          <cell r="DW9">
            <v>48</v>
          </cell>
          <cell r="DX9">
            <v>48</v>
          </cell>
          <cell r="DY9">
            <v>48</v>
          </cell>
          <cell r="DZ9">
            <v>48</v>
          </cell>
          <cell r="EA9">
            <v>48</v>
          </cell>
          <cell r="EB9">
            <v>48</v>
          </cell>
          <cell r="EC9">
            <v>48</v>
          </cell>
          <cell r="ED9">
            <v>48</v>
          </cell>
          <cell r="EE9">
            <v>48</v>
          </cell>
          <cell r="EF9">
            <v>48</v>
          </cell>
          <cell r="EG9">
            <v>48</v>
          </cell>
          <cell r="EH9">
            <v>48</v>
          </cell>
          <cell r="EI9">
            <v>48</v>
          </cell>
          <cell r="EJ9">
            <v>48</v>
          </cell>
          <cell r="EK9">
            <v>48</v>
          </cell>
          <cell r="EL9">
            <v>48</v>
          </cell>
          <cell r="EM9">
            <v>48</v>
          </cell>
          <cell r="EN9">
            <v>48</v>
          </cell>
          <cell r="EO9">
            <v>48</v>
          </cell>
          <cell r="EP9">
            <v>48</v>
          </cell>
          <cell r="EQ9">
            <v>48</v>
          </cell>
          <cell r="ER9">
            <v>48</v>
          </cell>
          <cell r="ES9">
            <v>48</v>
          </cell>
          <cell r="ET9">
            <v>48</v>
          </cell>
          <cell r="EU9">
            <v>48</v>
          </cell>
          <cell r="EV9">
            <v>48</v>
          </cell>
          <cell r="EW9">
            <v>48</v>
          </cell>
          <cell r="EX9">
            <v>48</v>
          </cell>
          <cell r="EY9">
            <v>48</v>
          </cell>
          <cell r="EZ9">
            <v>48</v>
          </cell>
          <cell r="FA9">
            <v>48</v>
          </cell>
          <cell r="FB9">
            <v>48</v>
          </cell>
          <cell r="FC9">
            <v>48</v>
          </cell>
          <cell r="FD9">
            <v>48</v>
          </cell>
          <cell r="FE9">
            <v>48</v>
          </cell>
          <cell r="FF9">
            <v>48</v>
          </cell>
          <cell r="FG9">
            <v>48</v>
          </cell>
          <cell r="FH9">
            <v>48</v>
          </cell>
          <cell r="FI9">
            <v>48</v>
          </cell>
          <cell r="FJ9">
            <v>48</v>
          </cell>
          <cell r="FK9">
            <v>48</v>
          </cell>
          <cell r="FL9">
            <v>48</v>
          </cell>
          <cell r="FM9">
            <v>48</v>
          </cell>
          <cell r="FN9">
            <v>48</v>
          </cell>
        </row>
        <row r="10">
          <cell r="A10" t="str">
            <v>G3BDEREC</v>
          </cell>
          <cell r="B10" t="str">
            <v>BRAZO DERECHO</v>
          </cell>
          <cell r="C10">
            <v>1.3</v>
          </cell>
          <cell r="D10">
            <v>1.3</v>
          </cell>
          <cell r="E10">
            <v>1.3</v>
          </cell>
          <cell r="F10">
            <v>1.3</v>
          </cell>
          <cell r="G10">
            <v>1.3</v>
          </cell>
          <cell r="H10">
            <v>1.3</v>
          </cell>
          <cell r="I10">
            <v>1.3</v>
          </cell>
          <cell r="J10">
            <v>1.3</v>
          </cell>
          <cell r="K10">
            <v>1.3</v>
          </cell>
          <cell r="L10">
            <v>1.3</v>
          </cell>
          <cell r="M10">
            <v>1.3</v>
          </cell>
          <cell r="N10">
            <v>1.3</v>
          </cell>
          <cell r="O10">
            <v>1.3</v>
          </cell>
          <cell r="P10">
            <v>1.3</v>
          </cell>
          <cell r="Q10">
            <v>1.3</v>
          </cell>
          <cell r="R10">
            <v>1.3</v>
          </cell>
          <cell r="S10">
            <v>1.3</v>
          </cell>
          <cell r="T10">
            <v>1.3</v>
          </cell>
          <cell r="U10">
            <v>1.3</v>
          </cell>
          <cell r="V10">
            <v>1.3</v>
          </cell>
          <cell r="W10">
            <v>1.3</v>
          </cell>
          <cell r="X10">
            <v>1.3</v>
          </cell>
          <cell r="Y10">
            <v>1.3</v>
          </cell>
          <cell r="Z10">
            <v>1.3</v>
          </cell>
          <cell r="AA10">
            <v>1.3</v>
          </cell>
          <cell r="AB10">
            <v>1.3</v>
          </cell>
          <cell r="AC10">
            <v>1.3</v>
          </cell>
          <cell r="AD10">
            <v>1.3</v>
          </cell>
          <cell r="AE10">
            <v>1.3</v>
          </cell>
          <cell r="AF10">
            <v>1.3</v>
          </cell>
          <cell r="AG10">
            <v>1.3</v>
          </cell>
          <cell r="AH10">
            <v>1.3</v>
          </cell>
          <cell r="AI10">
            <v>1.3</v>
          </cell>
          <cell r="AJ10">
            <v>1.3</v>
          </cell>
          <cell r="AK10">
            <v>1.3</v>
          </cell>
          <cell r="AL10">
            <v>1.3</v>
          </cell>
          <cell r="AM10">
            <v>1.3</v>
          </cell>
          <cell r="AN10">
            <v>1.3</v>
          </cell>
          <cell r="AO10">
            <v>1.3</v>
          </cell>
          <cell r="AP10">
            <v>1.3</v>
          </cell>
          <cell r="AQ10">
            <v>1.3</v>
          </cell>
          <cell r="AR10">
            <v>1.3</v>
          </cell>
          <cell r="AS10">
            <v>1.3</v>
          </cell>
          <cell r="AT10">
            <v>1.3</v>
          </cell>
          <cell r="AU10">
            <v>1.3</v>
          </cell>
          <cell r="AV10">
            <v>1.3</v>
          </cell>
          <cell r="AW10">
            <v>1.3</v>
          </cell>
          <cell r="AX10">
            <v>1.3</v>
          </cell>
          <cell r="AY10">
            <v>1.3</v>
          </cell>
          <cell r="AZ10">
            <v>1.3</v>
          </cell>
          <cell r="BA10">
            <v>1.3</v>
          </cell>
          <cell r="BB10">
            <v>1.3</v>
          </cell>
          <cell r="BC10">
            <v>1.3</v>
          </cell>
          <cell r="BD10">
            <v>1.3</v>
          </cell>
          <cell r="BE10">
            <v>1.3</v>
          </cell>
          <cell r="BF10">
            <v>1.3</v>
          </cell>
          <cell r="BG10">
            <v>1.3</v>
          </cell>
          <cell r="BH10">
            <v>1.3</v>
          </cell>
          <cell r="BI10">
            <v>1.3</v>
          </cell>
          <cell r="BJ10">
            <v>1.3</v>
          </cell>
          <cell r="BK10">
            <v>1.3</v>
          </cell>
          <cell r="BL10">
            <v>1.3</v>
          </cell>
          <cell r="BM10">
            <v>1.3</v>
          </cell>
          <cell r="BN10">
            <v>1.3</v>
          </cell>
          <cell r="BO10">
            <v>1.3</v>
          </cell>
          <cell r="BP10">
            <v>1.3</v>
          </cell>
          <cell r="BQ10">
            <v>1.3</v>
          </cell>
          <cell r="BR10">
            <v>1.3</v>
          </cell>
          <cell r="BS10">
            <v>1.3</v>
          </cell>
          <cell r="BT10">
            <v>1.3</v>
          </cell>
          <cell r="BU10">
            <v>1.3</v>
          </cell>
          <cell r="BV10">
            <v>1.3</v>
          </cell>
          <cell r="BW10">
            <v>1.3</v>
          </cell>
          <cell r="BX10">
            <v>1.3</v>
          </cell>
          <cell r="BY10">
            <v>1.3</v>
          </cell>
          <cell r="BZ10">
            <v>1.3</v>
          </cell>
          <cell r="CA10">
            <v>1.3</v>
          </cell>
          <cell r="CB10">
            <v>1.3</v>
          </cell>
          <cell r="CC10">
            <v>1.3</v>
          </cell>
          <cell r="CD10">
            <v>1.3</v>
          </cell>
          <cell r="CE10">
            <v>1.3</v>
          </cell>
          <cell r="CF10">
            <v>1.3</v>
          </cell>
          <cell r="CG10">
            <v>1.3</v>
          </cell>
          <cell r="CH10">
            <v>1.3</v>
          </cell>
          <cell r="CI10">
            <v>1.3</v>
          </cell>
          <cell r="CJ10">
            <v>1.3</v>
          </cell>
          <cell r="CK10">
            <v>1.3</v>
          </cell>
          <cell r="CL10">
            <v>1.3</v>
          </cell>
          <cell r="CM10">
            <v>1.3</v>
          </cell>
          <cell r="CN10">
            <v>1.3</v>
          </cell>
          <cell r="CO10">
            <v>1.3</v>
          </cell>
          <cell r="CP10">
            <v>1.3</v>
          </cell>
          <cell r="CQ10">
            <v>1.3</v>
          </cell>
          <cell r="CR10">
            <v>1.3</v>
          </cell>
          <cell r="CS10">
            <v>1.3</v>
          </cell>
          <cell r="CT10">
            <v>1.3</v>
          </cell>
          <cell r="CU10">
            <v>1.3</v>
          </cell>
          <cell r="CV10">
            <v>1.3</v>
          </cell>
          <cell r="CW10">
            <v>1.3</v>
          </cell>
          <cell r="CX10">
            <v>1.3</v>
          </cell>
          <cell r="CY10">
            <v>1.3</v>
          </cell>
          <cell r="CZ10">
            <v>1.3</v>
          </cell>
          <cell r="DA10">
            <v>1.3</v>
          </cell>
          <cell r="DB10">
            <v>1.3</v>
          </cell>
          <cell r="DC10">
            <v>1.3</v>
          </cell>
          <cell r="DD10">
            <v>1.3</v>
          </cell>
          <cell r="DE10">
            <v>1.3</v>
          </cell>
          <cell r="DF10">
            <v>1.3</v>
          </cell>
          <cell r="DG10">
            <v>1.3</v>
          </cell>
          <cell r="DH10">
            <v>1.3</v>
          </cell>
          <cell r="DI10">
            <v>1.3</v>
          </cell>
          <cell r="DJ10">
            <v>1.3</v>
          </cell>
          <cell r="DK10">
            <v>1.3</v>
          </cell>
          <cell r="DL10">
            <v>1.3</v>
          </cell>
          <cell r="DM10">
            <v>1.3</v>
          </cell>
          <cell r="DN10">
            <v>1.3</v>
          </cell>
          <cell r="DO10">
            <v>1.3</v>
          </cell>
          <cell r="DP10">
            <v>1.3</v>
          </cell>
          <cell r="DQ10">
            <v>1.3</v>
          </cell>
          <cell r="DR10">
            <v>1.3</v>
          </cell>
          <cell r="DS10">
            <v>1.3</v>
          </cell>
          <cell r="DT10">
            <v>1.3</v>
          </cell>
          <cell r="DU10">
            <v>1.3</v>
          </cell>
          <cell r="DV10">
            <v>1.3</v>
          </cell>
          <cell r="DW10">
            <v>1.3</v>
          </cell>
          <cell r="DX10">
            <v>1.3</v>
          </cell>
          <cell r="DY10">
            <v>1.3</v>
          </cell>
          <cell r="DZ10">
            <v>1.3</v>
          </cell>
          <cell r="EA10">
            <v>1.3</v>
          </cell>
          <cell r="EB10">
            <v>1.3</v>
          </cell>
          <cell r="EC10">
            <v>1.3</v>
          </cell>
          <cell r="ED10">
            <v>1.3</v>
          </cell>
          <cell r="EE10">
            <v>1.3</v>
          </cell>
          <cell r="EF10">
            <v>1.3</v>
          </cell>
          <cell r="EG10">
            <v>1.3</v>
          </cell>
          <cell r="EH10">
            <v>1.3</v>
          </cell>
          <cell r="EI10">
            <v>1.3</v>
          </cell>
          <cell r="EJ10">
            <v>1.3</v>
          </cell>
          <cell r="EK10">
            <v>1.3</v>
          </cell>
          <cell r="EL10">
            <v>1.3</v>
          </cell>
          <cell r="EM10">
            <v>1.3</v>
          </cell>
          <cell r="EN10">
            <v>1.3</v>
          </cell>
          <cell r="EO10">
            <v>1.3</v>
          </cell>
          <cell r="EP10">
            <v>1.3</v>
          </cell>
          <cell r="EQ10">
            <v>1.3</v>
          </cell>
          <cell r="ER10">
            <v>1.3</v>
          </cell>
          <cell r="ES10">
            <v>1.3</v>
          </cell>
          <cell r="ET10">
            <v>1.3</v>
          </cell>
          <cell r="EU10">
            <v>1.3</v>
          </cell>
          <cell r="EV10">
            <v>1.3</v>
          </cell>
          <cell r="EW10">
            <v>1.3</v>
          </cell>
          <cell r="EX10">
            <v>1.3</v>
          </cell>
          <cell r="EY10">
            <v>1.3</v>
          </cell>
          <cell r="EZ10">
            <v>1.3</v>
          </cell>
          <cell r="FA10">
            <v>1.3</v>
          </cell>
          <cell r="FB10">
            <v>1.3</v>
          </cell>
          <cell r="FC10">
            <v>1.3</v>
          </cell>
          <cell r="FD10">
            <v>1.3</v>
          </cell>
          <cell r="FE10">
            <v>1.3</v>
          </cell>
          <cell r="FF10">
            <v>1.3</v>
          </cell>
          <cell r="FG10">
            <v>1.3</v>
          </cell>
          <cell r="FH10">
            <v>1.3</v>
          </cell>
          <cell r="FI10">
            <v>1.3</v>
          </cell>
          <cell r="FJ10">
            <v>1.3</v>
          </cell>
          <cell r="FK10">
            <v>1.3</v>
          </cell>
          <cell r="FL10">
            <v>1.3</v>
          </cell>
          <cell r="FM10">
            <v>1.3</v>
          </cell>
          <cell r="FN10">
            <v>1.3</v>
          </cell>
        </row>
        <row r="11">
          <cell r="A11" t="str">
            <v>G3BERSAL</v>
          </cell>
          <cell r="B11" t="str">
            <v>BERSAL</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cell r="W11">
            <v>15</v>
          </cell>
          <cell r="X11">
            <v>15</v>
          </cell>
          <cell r="Y11">
            <v>15</v>
          </cell>
          <cell r="Z11">
            <v>15</v>
          </cell>
          <cell r="AA11">
            <v>15</v>
          </cell>
          <cell r="AB11">
            <v>15</v>
          </cell>
          <cell r="AC11">
            <v>15</v>
          </cell>
          <cell r="AD11">
            <v>15</v>
          </cell>
          <cell r="AE11">
            <v>15</v>
          </cell>
          <cell r="AF11">
            <v>15</v>
          </cell>
          <cell r="AG11">
            <v>15</v>
          </cell>
          <cell r="AH11">
            <v>15</v>
          </cell>
          <cell r="AI11">
            <v>15</v>
          </cell>
          <cell r="AJ11">
            <v>15</v>
          </cell>
          <cell r="AK11">
            <v>15</v>
          </cell>
          <cell r="AL11">
            <v>15</v>
          </cell>
          <cell r="AM11">
            <v>15</v>
          </cell>
          <cell r="AN11">
            <v>15</v>
          </cell>
          <cell r="AO11">
            <v>15</v>
          </cell>
          <cell r="AP11">
            <v>15</v>
          </cell>
          <cell r="AQ11">
            <v>15</v>
          </cell>
          <cell r="AR11">
            <v>15</v>
          </cell>
          <cell r="AS11">
            <v>15</v>
          </cell>
          <cell r="AT11">
            <v>15</v>
          </cell>
          <cell r="AU11">
            <v>15</v>
          </cell>
          <cell r="AV11">
            <v>15</v>
          </cell>
          <cell r="AW11">
            <v>15</v>
          </cell>
          <cell r="AX11">
            <v>15</v>
          </cell>
          <cell r="AY11">
            <v>15</v>
          </cell>
          <cell r="AZ11">
            <v>15</v>
          </cell>
          <cell r="BA11">
            <v>15</v>
          </cell>
          <cell r="BB11">
            <v>15</v>
          </cell>
          <cell r="BC11">
            <v>15</v>
          </cell>
          <cell r="BD11">
            <v>15</v>
          </cell>
          <cell r="BE11">
            <v>15</v>
          </cell>
          <cell r="BF11">
            <v>15</v>
          </cell>
          <cell r="BG11">
            <v>15</v>
          </cell>
          <cell r="BH11">
            <v>15</v>
          </cell>
          <cell r="BI11">
            <v>15</v>
          </cell>
          <cell r="BJ11">
            <v>15</v>
          </cell>
          <cell r="BK11">
            <v>15</v>
          </cell>
          <cell r="BL11">
            <v>15</v>
          </cell>
          <cell r="BM11">
            <v>15</v>
          </cell>
          <cell r="BN11">
            <v>15</v>
          </cell>
          <cell r="BO11">
            <v>15</v>
          </cell>
          <cell r="BP11">
            <v>15</v>
          </cell>
          <cell r="BQ11">
            <v>15</v>
          </cell>
          <cell r="BR11">
            <v>15</v>
          </cell>
          <cell r="BS11">
            <v>15</v>
          </cell>
          <cell r="BT11">
            <v>15</v>
          </cell>
          <cell r="BU11">
            <v>15</v>
          </cell>
          <cell r="BV11">
            <v>15</v>
          </cell>
          <cell r="BW11">
            <v>15</v>
          </cell>
          <cell r="BX11">
            <v>15</v>
          </cell>
          <cell r="BY11">
            <v>15</v>
          </cell>
          <cell r="BZ11">
            <v>15</v>
          </cell>
          <cell r="CA11">
            <v>15</v>
          </cell>
          <cell r="CB11">
            <v>15</v>
          </cell>
          <cell r="CC11">
            <v>15</v>
          </cell>
          <cell r="CD11">
            <v>15</v>
          </cell>
          <cell r="CE11">
            <v>15</v>
          </cell>
          <cell r="CF11">
            <v>15</v>
          </cell>
          <cell r="CG11">
            <v>15</v>
          </cell>
          <cell r="CH11">
            <v>15</v>
          </cell>
          <cell r="CI11">
            <v>15</v>
          </cell>
          <cell r="CJ11">
            <v>15</v>
          </cell>
          <cell r="CK11">
            <v>15</v>
          </cell>
          <cell r="CL11">
            <v>15</v>
          </cell>
          <cell r="CM11">
            <v>15</v>
          </cell>
          <cell r="CN11">
            <v>15</v>
          </cell>
          <cell r="CO11">
            <v>15</v>
          </cell>
          <cell r="CP11">
            <v>15</v>
          </cell>
          <cell r="CQ11">
            <v>15</v>
          </cell>
          <cell r="CR11">
            <v>15</v>
          </cell>
          <cell r="CS11">
            <v>15</v>
          </cell>
          <cell r="CT11">
            <v>15</v>
          </cell>
          <cell r="CU11">
            <v>15</v>
          </cell>
          <cell r="CV11">
            <v>15</v>
          </cell>
          <cell r="CW11">
            <v>15</v>
          </cell>
          <cell r="CX11">
            <v>15</v>
          </cell>
          <cell r="CY11">
            <v>15</v>
          </cell>
          <cell r="CZ11">
            <v>15</v>
          </cell>
          <cell r="DA11">
            <v>15</v>
          </cell>
          <cell r="DB11">
            <v>15</v>
          </cell>
          <cell r="DC11">
            <v>15</v>
          </cell>
          <cell r="DD11">
            <v>15</v>
          </cell>
          <cell r="DE11">
            <v>15</v>
          </cell>
          <cell r="DF11">
            <v>15</v>
          </cell>
          <cell r="DG11">
            <v>15</v>
          </cell>
          <cell r="DH11">
            <v>15</v>
          </cell>
          <cell r="DI11">
            <v>15</v>
          </cell>
          <cell r="DJ11">
            <v>15</v>
          </cell>
          <cell r="DK11">
            <v>15</v>
          </cell>
          <cell r="DL11">
            <v>15</v>
          </cell>
          <cell r="DM11">
            <v>15</v>
          </cell>
          <cell r="DN11">
            <v>15</v>
          </cell>
          <cell r="DO11">
            <v>15</v>
          </cell>
          <cell r="DP11">
            <v>15</v>
          </cell>
          <cell r="DQ11">
            <v>15</v>
          </cell>
          <cell r="DR11">
            <v>15</v>
          </cell>
          <cell r="DS11">
            <v>15</v>
          </cell>
          <cell r="DT11">
            <v>15</v>
          </cell>
          <cell r="DU11">
            <v>15</v>
          </cell>
          <cell r="DV11">
            <v>15</v>
          </cell>
          <cell r="DW11">
            <v>15</v>
          </cell>
          <cell r="DX11">
            <v>15</v>
          </cell>
          <cell r="DY11">
            <v>15</v>
          </cell>
          <cell r="DZ11">
            <v>15</v>
          </cell>
          <cell r="EA11">
            <v>15</v>
          </cell>
          <cell r="EB11">
            <v>15</v>
          </cell>
          <cell r="EC11">
            <v>15</v>
          </cell>
          <cell r="ED11">
            <v>15</v>
          </cell>
          <cell r="EE11">
            <v>15</v>
          </cell>
          <cell r="EF11">
            <v>15</v>
          </cell>
          <cell r="EG11">
            <v>15</v>
          </cell>
          <cell r="EH11">
            <v>15</v>
          </cell>
          <cell r="EI11">
            <v>15</v>
          </cell>
          <cell r="EJ11">
            <v>15</v>
          </cell>
          <cell r="EK11">
            <v>15</v>
          </cell>
          <cell r="EL11">
            <v>15</v>
          </cell>
          <cell r="EM11">
            <v>15</v>
          </cell>
          <cell r="EN11">
            <v>15</v>
          </cell>
          <cell r="EO11">
            <v>15</v>
          </cell>
          <cell r="EP11">
            <v>15</v>
          </cell>
          <cell r="EQ11">
            <v>15</v>
          </cell>
          <cell r="ER11">
            <v>15</v>
          </cell>
          <cell r="ES11">
            <v>15</v>
          </cell>
          <cell r="ET11">
            <v>15</v>
          </cell>
          <cell r="EU11">
            <v>15</v>
          </cell>
          <cell r="EV11">
            <v>15</v>
          </cell>
          <cell r="EW11">
            <v>15</v>
          </cell>
          <cell r="EX11">
            <v>15</v>
          </cell>
          <cell r="EY11">
            <v>15</v>
          </cell>
          <cell r="EZ11">
            <v>15</v>
          </cell>
          <cell r="FA11">
            <v>15</v>
          </cell>
          <cell r="FB11">
            <v>15</v>
          </cell>
          <cell r="FC11">
            <v>15</v>
          </cell>
          <cell r="FD11">
            <v>15</v>
          </cell>
          <cell r="FE11">
            <v>15</v>
          </cell>
          <cell r="FF11">
            <v>15</v>
          </cell>
          <cell r="FG11">
            <v>15</v>
          </cell>
          <cell r="FH11">
            <v>15</v>
          </cell>
          <cell r="FI11">
            <v>15</v>
          </cell>
          <cell r="FJ11">
            <v>15</v>
          </cell>
          <cell r="FK11">
            <v>15</v>
          </cell>
          <cell r="FL11">
            <v>15</v>
          </cell>
          <cell r="FM11">
            <v>15</v>
          </cell>
          <cell r="FN11">
            <v>15</v>
          </cell>
        </row>
        <row r="12">
          <cell r="A12" t="str">
            <v>G3CEMON1</v>
          </cell>
          <cell r="B12" t="str">
            <v>CONTRA EMBALSE MONCION 1</v>
          </cell>
          <cell r="C12">
            <v>0.75</v>
          </cell>
          <cell r="D12">
            <v>0.75</v>
          </cell>
          <cell r="E12">
            <v>0.75</v>
          </cell>
          <cell r="F12">
            <v>0.75</v>
          </cell>
          <cell r="G12">
            <v>0.75</v>
          </cell>
          <cell r="H12">
            <v>0.75</v>
          </cell>
          <cell r="I12">
            <v>0.75</v>
          </cell>
          <cell r="J12">
            <v>0.75</v>
          </cell>
          <cell r="K12">
            <v>0.75</v>
          </cell>
          <cell r="L12">
            <v>0.75</v>
          </cell>
          <cell r="M12">
            <v>0.75</v>
          </cell>
          <cell r="N12">
            <v>0.75</v>
          </cell>
          <cell r="O12">
            <v>0.75</v>
          </cell>
          <cell r="P12">
            <v>0.75</v>
          </cell>
          <cell r="Q12">
            <v>0.75</v>
          </cell>
          <cell r="R12">
            <v>0.75</v>
          </cell>
          <cell r="S12">
            <v>0.75</v>
          </cell>
          <cell r="T12">
            <v>0.75</v>
          </cell>
          <cell r="U12">
            <v>0.75</v>
          </cell>
          <cell r="V12">
            <v>0.75</v>
          </cell>
          <cell r="W12">
            <v>0.75</v>
          </cell>
          <cell r="X12">
            <v>0.75</v>
          </cell>
          <cell r="Y12">
            <v>0.75</v>
          </cell>
          <cell r="Z12">
            <v>0.75</v>
          </cell>
          <cell r="AA12">
            <v>0.75</v>
          </cell>
          <cell r="AB12">
            <v>0.75</v>
          </cell>
          <cell r="AC12">
            <v>0.75</v>
          </cell>
          <cell r="AD12">
            <v>0.75</v>
          </cell>
          <cell r="AE12">
            <v>0.75</v>
          </cell>
          <cell r="AF12">
            <v>0.75</v>
          </cell>
          <cell r="AG12">
            <v>0.75</v>
          </cell>
          <cell r="AH12">
            <v>0.75</v>
          </cell>
          <cell r="AI12">
            <v>0.75</v>
          </cell>
          <cell r="AJ12">
            <v>0.75</v>
          </cell>
          <cell r="AK12">
            <v>0.75</v>
          </cell>
          <cell r="AL12">
            <v>0.75</v>
          </cell>
          <cell r="AM12">
            <v>0.75</v>
          </cell>
          <cell r="AN12">
            <v>0.75</v>
          </cell>
          <cell r="AO12">
            <v>0.75</v>
          </cell>
          <cell r="AP12">
            <v>0.75</v>
          </cell>
          <cell r="AQ12">
            <v>0.75</v>
          </cell>
          <cell r="AR12">
            <v>0.75</v>
          </cell>
          <cell r="AS12">
            <v>0.75</v>
          </cell>
          <cell r="AT12">
            <v>0.75</v>
          </cell>
          <cell r="AU12">
            <v>0.75</v>
          </cell>
          <cell r="AV12">
            <v>0.75</v>
          </cell>
          <cell r="AW12">
            <v>0.75</v>
          </cell>
          <cell r="AX12">
            <v>0.75</v>
          </cell>
          <cell r="AY12">
            <v>0.75</v>
          </cell>
          <cell r="AZ12">
            <v>0.75</v>
          </cell>
          <cell r="BA12">
            <v>0.75</v>
          </cell>
          <cell r="BB12">
            <v>0.75</v>
          </cell>
          <cell r="BC12">
            <v>0.75</v>
          </cell>
          <cell r="BD12">
            <v>0.75</v>
          </cell>
          <cell r="BE12">
            <v>0.75</v>
          </cell>
          <cell r="BF12">
            <v>0.75</v>
          </cell>
          <cell r="BG12">
            <v>0.75</v>
          </cell>
          <cell r="BH12">
            <v>0.75</v>
          </cell>
          <cell r="BI12">
            <v>0.75</v>
          </cell>
          <cell r="BJ12">
            <v>0.75</v>
          </cell>
          <cell r="BK12">
            <v>0.75</v>
          </cell>
          <cell r="BL12">
            <v>0.75</v>
          </cell>
          <cell r="BM12">
            <v>0.75</v>
          </cell>
          <cell r="BN12">
            <v>0.75</v>
          </cell>
          <cell r="BO12">
            <v>0.75</v>
          </cell>
          <cell r="BP12">
            <v>0.75</v>
          </cell>
          <cell r="BQ12">
            <v>0.75</v>
          </cell>
          <cell r="BR12">
            <v>0.75</v>
          </cell>
          <cell r="BS12">
            <v>0.75</v>
          </cell>
          <cell r="BT12">
            <v>0.75</v>
          </cell>
          <cell r="BU12">
            <v>0.75</v>
          </cell>
          <cell r="BV12">
            <v>0.75</v>
          </cell>
          <cell r="BW12">
            <v>0.75</v>
          </cell>
          <cell r="BX12">
            <v>0.75</v>
          </cell>
          <cell r="BY12">
            <v>0.75</v>
          </cell>
          <cell r="BZ12">
            <v>0.75</v>
          </cell>
          <cell r="CA12">
            <v>0.75</v>
          </cell>
          <cell r="CB12">
            <v>0.75</v>
          </cell>
          <cell r="CC12">
            <v>0.75</v>
          </cell>
          <cell r="CD12">
            <v>0.75</v>
          </cell>
          <cell r="CE12">
            <v>0.75</v>
          </cell>
          <cell r="CF12">
            <v>0.75</v>
          </cell>
          <cell r="CG12">
            <v>0.75</v>
          </cell>
          <cell r="CH12">
            <v>0.75</v>
          </cell>
          <cell r="CI12">
            <v>0.75</v>
          </cell>
          <cell r="CJ12">
            <v>0.75</v>
          </cell>
          <cell r="CK12">
            <v>0.75</v>
          </cell>
          <cell r="CL12">
            <v>0.75</v>
          </cell>
          <cell r="CM12">
            <v>0.75</v>
          </cell>
          <cell r="CN12">
            <v>0.75</v>
          </cell>
          <cell r="CO12">
            <v>0.75</v>
          </cell>
          <cell r="CP12">
            <v>0.75</v>
          </cell>
          <cell r="CQ12">
            <v>0.75</v>
          </cell>
          <cell r="CR12">
            <v>0.75</v>
          </cell>
          <cell r="CS12">
            <v>0.75</v>
          </cell>
          <cell r="CT12">
            <v>0.75</v>
          </cell>
          <cell r="CU12">
            <v>0.75</v>
          </cell>
          <cell r="CV12">
            <v>0.75</v>
          </cell>
          <cell r="CW12">
            <v>0.75</v>
          </cell>
          <cell r="CX12">
            <v>0.75</v>
          </cell>
          <cell r="CY12">
            <v>0.75</v>
          </cell>
          <cell r="CZ12">
            <v>0.75</v>
          </cell>
          <cell r="DA12">
            <v>0.75</v>
          </cell>
          <cell r="DB12">
            <v>0.75</v>
          </cell>
          <cell r="DC12">
            <v>0.75</v>
          </cell>
          <cell r="DD12">
            <v>0.75</v>
          </cell>
          <cell r="DE12">
            <v>0.75</v>
          </cell>
          <cell r="DF12">
            <v>0.75</v>
          </cell>
          <cell r="DG12">
            <v>0.75</v>
          </cell>
          <cell r="DH12">
            <v>0.75</v>
          </cell>
          <cell r="DI12">
            <v>0.75</v>
          </cell>
          <cell r="DJ12">
            <v>0.75</v>
          </cell>
          <cell r="DK12">
            <v>0.75</v>
          </cell>
          <cell r="DL12">
            <v>0.75</v>
          </cell>
          <cell r="DM12">
            <v>0.75</v>
          </cell>
          <cell r="DN12">
            <v>0.75</v>
          </cell>
          <cell r="DO12">
            <v>0.75</v>
          </cell>
          <cell r="DP12">
            <v>0.75</v>
          </cell>
          <cell r="DQ12">
            <v>0.75</v>
          </cell>
          <cell r="DR12">
            <v>0.75</v>
          </cell>
          <cell r="DS12">
            <v>0.75</v>
          </cell>
          <cell r="DT12">
            <v>0.75</v>
          </cell>
          <cell r="DU12">
            <v>0.75</v>
          </cell>
          <cell r="DV12">
            <v>0.75</v>
          </cell>
          <cell r="DW12">
            <v>0.75</v>
          </cell>
          <cell r="DX12">
            <v>0.75</v>
          </cell>
          <cell r="DY12">
            <v>0.75</v>
          </cell>
          <cell r="DZ12">
            <v>0.75</v>
          </cell>
          <cell r="EA12">
            <v>0.75</v>
          </cell>
          <cell r="EB12">
            <v>0.75</v>
          </cell>
          <cell r="EC12">
            <v>0.75</v>
          </cell>
          <cell r="ED12">
            <v>0.75</v>
          </cell>
          <cell r="EE12">
            <v>0.75</v>
          </cell>
          <cell r="EF12">
            <v>0.75</v>
          </cell>
          <cell r="EG12">
            <v>0.75</v>
          </cell>
          <cell r="EH12">
            <v>0.75</v>
          </cell>
          <cell r="EI12">
            <v>0.75</v>
          </cell>
          <cell r="EJ12">
            <v>0.75</v>
          </cell>
          <cell r="EK12">
            <v>0.75</v>
          </cell>
          <cell r="EL12">
            <v>0.75</v>
          </cell>
          <cell r="EM12">
            <v>0.75</v>
          </cell>
          <cell r="EN12">
            <v>0.75</v>
          </cell>
          <cell r="EO12">
            <v>0.75</v>
          </cell>
          <cell r="EP12">
            <v>0.75</v>
          </cell>
          <cell r="EQ12">
            <v>0.75</v>
          </cell>
          <cell r="ER12">
            <v>0.75</v>
          </cell>
          <cell r="ES12">
            <v>0.75</v>
          </cell>
          <cell r="ET12">
            <v>0.75</v>
          </cell>
          <cell r="EU12">
            <v>0.75</v>
          </cell>
          <cell r="EV12">
            <v>0.75</v>
          </cell>
          <cell r="EW12">
            <v>0.75</v>
          </cell>
          <cell r="EX12">
            <v>0.75</v>
          </cell>
          <cell r="EY12">
            <v>0.75</v>
          </cell>
          <cell r="EZ12">
            <v>0.75</v>
          </cell>
          <cell r="FA12">
            <v>0.75</v>
          </cell>
          <cell r="FB12">
            <v>0.75</v>
          </cell>
          <cell r="FC12">
            <v>0.75</v>
          </cell>
          <cell r="FD12">
            <v>0.75</v>
          </cell>
          <cell r="FE12">
            <v>0.75</v>
          </cell>
          <cell r="FF12">
            <v>0.75</v>
          </cell>
          <cell r="FG12">
            <v>0.75</v>
          </cell>
          <cell r="FH12">
            <v>0.75</v>
          </cell>
          <cell r="FI12">
            <v>0.75</v>
          </cell>
          <cell r="FJ12">
            <v>0.75</v>
          </cell>
          <cell r="FK12">
            <v>0.75</v>
          </cell>
          <cell r="FL12">
            <v>0.75</v>
          </cell>
          <cell r="FM12">
            <v>0.75</v>
          </cell>
          <cell r="FN12">
            <v>0.75</v>
          </cell>
        </row>
        <row r="13">
          <cell r="A13" t="str">
            <v>G3CEMON2</v>
          </cell>
          <cell r="B13" t="str">
            <v>CONTRA EMBALSE MONCION 2</v>
          </cell>
          <cell r="C13">
            <v>0.75</v>
          </cell>
          <cell r="D13">
            <v>0.75</v>
          </cell>
          <cell r="E13">
            <v>0.75</v>
          </cell>
          <cell r="F13">
            <v>0.75</v>
          </cell>
          <cell r="G13">
            <v>0.75</v>
          </cell>
          <cell r="H13">
            <v>0.75</v>
          </cell>
          <cell r="I13">
            <v>0.75</v>
          </cell>
          <cell r="J13">
            <v>0.75</v>
          </cell>
          <cell r="K13">
            <v>0.75</v>
          </cell>
          <cell r="L13">
            <v>0.75</v>
          </cell>
          <cell r="M13">
            <v>0.75</v>
          </cell>
          <cell r="N13">
            <v>0.75</v>
          </cell>
          <cell r="O13">
            <v>0.75</v>
          </cell>
          <cell r="P13">
            <v>0.75</v>
          </cell>
          <cell r="Q13">
            <v>0.75</v>
          </cell>
          <cell r="R13">
            <v>0.75</v>
          </cell>
          <cell r="S13">
            <v>0.75</v>
          </cell>
          <cell r="T13">
            <v>0.75</v>
          </cell>
          <cell r="U13">
            <v>0.75</v>
          </cell>
          <cell r="V13">
            <v>0.75</v>
          </cell>
          <cell r="W13">
            <v>0.75</v>
          </cell>
          <cell r="X13">
            <v>0.75</v>
          </cell>
          <cell r="Y13">
            <v>0.75</v>
          </cell>
          <cell r="Z13">
            <v>0.75</v>
          </cell>
          <cell r="AA13">
            <v>0.75</v>
          </cell>
          <cell r="AB13">
            <v>0.75</v>
          </cell>
          <cell r="AC13">
            <v>0.75</v>
          </cell>
          <cell r="AD13">
            <v>0.75</v>
          </cell>
          <cell r="AE13">
            <v>0.75</v>
          </cell>
          <cell r="AF13">
            <v>0.75</v>
          </cell>
          <cell r="AG13">
            <v>0.75</v>
          </cell>
          <cell r="AH13">
            <v>0.75</v>
          </cell>
          <cell r="AI13">
            <v>0.75</v>
          </cell>
          <cell r="AJ13">
            <v>0.75</v>
          </cell>
          <cell r="AK13">
            <v>0.75</v>
          </cell>
          <cell r="AL13">
            <v>0.75</v>
          </cell>
          <cell r="AM13">
            <v>0.75</v>
          </cell>
          <cell r="AN13">
            <v>0.75</v>
          </cell>
          <cell r="AO13">
            <v>0.75</v>
          </cell>
          <cell r="AP13">
            <v>0.75</v>
          </cell>
          <cell r="AQ13">
            <v>0.75</v>
          </cell>
          <cell r="AR13">
            <v>0.75</v>
          </cell>
          <cell r="AS13">
            <v>0.75</v>
          </cell>
          <cell r="AT13">
            <v>0.75</v>
          </cell>
          <cell r="AU13">
            <v>0.75</v>
          </cell>
          <cell r="AV13">
            <v>0.75</v>
          </cell>
          <cell r="AW13">
            <v>0.75</v>
          </cell>
          <cell r="AX13">
            <v>0.75</v>
          </cell>
          <cell r="AY13">
            <v>0.75</v>
          </cell>
          <cell r="AZ13">
            <v>0.75</v>
          </cell>
          <cell r="BA13">
            <v>0.75</v>
          </cell>
          <cell r="BB13">
            <v>0.75</v>
          </cell>
          <cell r="BC13">
            <v>0.75</v>
          </cell>
          <cell r="BD13">
            <v>0.75</v>
          </cell>
          <cell r="BE13">
            <v>0.75</v>
          </cell>
          <cell r="BF13">
            <v>0.75</v>
          </cell>
          <cell r="BG13">
            <v>0.75</v>
          </cell>
          <cell r="BH13">
            <v>0.75</v>
          </cell>
          <cell r="BI13">
            <v>0.75</v>
          </cell>
          <cell r="BJ13">
            <v>0.75</v>
          </cell>
          <cell r="BK13">
            <v>0.75</v>
          </cell>
          <cell r="BL13">
            <v>0.75</v>
          </cell>
          <cell r="BM13">
            <v>0.75</v>
          </cell>
          <cell r="BN13">
            <v>0.75</v>
          </cell>
          <cell r="BO13">
            <v>0.75</v>
          </cell>
          <cell r="BP13">
            <v>0.75</v>
          </cell>
          <cell r="BQ13">
            <v>0.75</v>
          </cell>
          <cell r="BR13">
            <v>0.75</v>
          </cell>
          <cell r="BS13">
            <v>0.75</v>
          </cell>
          <cell r="BT13">
            <v>0.75</v>
          </cell>
          <cell r="BU13">
            <v>0.75</v>
          </cell>
          <cell r="BV13">
            <v>0.75</v>
          </cell>
          <cell r="BW13">
            <v>0.75</v>
          </cell>
          <cell r="BX13">
            <v>0.75</v>
          </cell>
          <cell r="BY13">
            <v>0.75</v>
          </cell>
          <cell r="BZ13">
            <v>0.75</v>
          </cell>
          <cell r="CA13">
            <v>0.75</v>
          </cell>
          <cell r="CB13">
            <v>0.75</v>
          </cell>
          <cell r="CC13">
            <v>0.75</v>
          </cell>
          <cell r="CD13">
            <v>0.75</v>
          </cell>
          <cell r="CE13">
            <v>0.75</v>
          </cell>
          <cell r="CF13">
            <v>0.75</v>
          </cell>
          <cell r="CG13">
            <v>0.75</v>
          </cell>
          <cell r="CH13">
            <v>0.75</v>
          </cell>
          <cell r="CI13">
            <v>0.75</v>
          </cell>
          <cell r="CJ13">
            <v>0.75</v>
          </cell>
          <cell r="CK13">
            <v>0.75</v>
          </cell>
          <cell r="CL13">
            <v>0.75</v>
          </cell>
          <cell r="CM13">
            <v>0.75</v>
          </cell>
          <cell r="CN13">
            <v>0.75</v>
          </cell>
          <cell r="CO13">
            <v>0.75</v>
          </cell>
          <cell r="CP13">
            <v>0.75</v>
          </cell>
          <cell r="CQ13">
            <v>0.75</v>
          </cell>
          <cell r="CR13">
            <v>0.75</v>
          </cell>
          <cell r="CS13">
            <v>0.75</v>
          </cell>
          <cell r="CT13">
            <v>0.75</v>
          </cell>
          <cell r="CU13">
            <v>0.75</v>
          </cell>
          <cell r="CV13">
            <v>0.75</v>
          </cell>
          <cell r="CW13">
            <v>0.75</v>
          </cell>
          <cell r="CX13">
            <v>0.75</v>
          </cell>
          <cell r="CY13">
            <v>0.75</v>
          </cell>
          <cell r="CZ13">
            <v>0.75</v>
          </cell>
          <cell r="DA13">
            <v>0.75</v>
          </cell>
          <cell r="DB13">
            <v>0.75</v>
          </cell>
          <cell r="DC13">
            <v>0.75</v>
          </cell>
          <cell r="DD13">
            <v>0.75</v>
          </cell>
          <cell r="DE13">
            <v>0.75</v>
          </cell>
          <cell r="DF13">
            <v>0.75</v>
          </cell>
          <cell r="DG13">
            <v>0.75</v>
          </cell>
          <cell r="DH13">
            <v>0.75</v>
          </cell>
          <cell r="DI13">
            <v>0.75</v>
          </cell>
          <cell r="DJ13">
            <v>0.75</v>
          </cell>
          <cell r="DK13">
            <v>0.75</v>
          </cell>
          <cell r="DL13">
            <v>0.75</v>
          </cell>
          <cell r="DM13">
            <v>0.75</v>
          </cell>
          <cell r="DN13">
            <v>0.75</v>
          </cell>
          <cell r="DO13">
            <v>0.75</v>
          </cell>
          <cell r="DP13">
            <v>0.75</v>
          </cell>
          <cell r="DQ13">
            <v>0.75</v>
          </cell>
          <cell r="DR13">
            <v>0.75</v>
          </cell>
          <cell r="DS13">
            <v>0.75</v>
          </cell>
          <cell r="DT13">
            <v>0.75</v>
          </cell>
          <cell r="DU13">
            <v>0.75</v>
          </cell>
          <cell r="DV13">
            <v>0.75</v>
          </cell>
          <cell r="DW13">
            <v>0.75</v>
          </cell>
          <cell r="DX13">
            <v>0.75</v>
          </cell>
          <cell r="DY13">
            <v>0.75</v>
          </cell>
          <cell r="DZ13">
            <v>0.75</v>
          </cell>
          <cell r="EA13">
            <v>0.75</v>
          </cell>
          <cell r="EB13">
            <v>0.75</v>
          </cell>
          <cell r="EC13">
            <v>0.75</v>
          </cell>
          <cell r="ED13">
            <v>0.75</v>
          </cell>
          <cell r="EE13">
            <v>0.75</v>
          </cell>
          <cell r="EF13">
            <v>0.75</v>
          </cell>
          <cell r="EG13">
            <v>0.75</v>
          </cell>
          <cell r="EH13">
            <v>0.75</v>
          </cell>
          <cell r="EI13">
            <v>0.75</v>
          </cell>
          <cell r="EJ13">
            <v>0.75</v>
          </cell>
          <cell r="EK13">
            <v>0.75</v>
          </cell>
          <cell r="EL13">
            <v>0.75</v>
          </cell>
          <cell r="EM13">
            <v>0.75</v>
          </cell>
          <cell r="EN13">
            <v>0.75</v>
          </cell>
          <cell r="EO13">
            <v>0.75</v>
          </cell>
          <cell r="EP13">
            <v>0.75</v>
          </cell>
          <cell r="EQ13">
            <v>0.75</v>
          </cell>
          <cell r="ER13">
            <v>0.75</v>
          </cell>
          <cell r="ES13">
            <v>0.75</v>
          </cell>
          <cell r="ET13">
            <v>0.75</v>
          </cell>
          <cell r="EU13">
            <v>0.75</v>
          </cell>
          <cell r="EV13">
            <v>0.75</v>
          </cell>
          <cell r="EW13">
            <v>0.75</v>
          </cell>
          <cell r="EX13">
            <v>0.75</v>
          </cell>
          <cell r="EY13">
            <v>0.75</v>
          </cell>
          <cell r="EZ13">
            <v>0.75</v>
          </cell>
          <cell r="FA13">
            <v>0.75</v>
          </cell>
          <cell r="FB13">
            <v>0.75</v>
          </cell>
          <cell r="FC13">
            <v>0.75</v>
          </cell>
          <cell r="FD13">
            <v>0.75</v>
          </cell>
          <cell r="FE13">
            <v>0.75</v>
          </cell>
          <cell r="FF13">
            <v>0.75</v>
          </cell>
          <cell r="FG13">
            <v>0.75</v>
          </cell>
          <cell r="FH13">
            <v>0.75</v>
          </cell>
          <cell r="FI13">
            <v>0.75</v>
          </cell>
          <cell r="FJ13">
            <v>0.75</v>
          </cell>
          <cell r="FK13">
            <v>0.75</v>
          </cell>
          <cell r="FL13">
            <v>0.75</v>
          </cell>
          <cell r="FM13">
            <v>0.75</v>
          </cell>
          <cell r="FN13">
            <v>0.75</v>
          </cell>
        </row>
        <row r="14">
          <cell r="A14" t="str">
            <v>G3CEPP1</v>
          </cell>
          <cell r="B14" t="str">
            <v>CEPP 1</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row>
        <row r="15">
          <cell r="A15" t="str">
            <v>G3CEPP2</v>
          </cell>
          <cell r="B15" t="str">
            <v>CEPP 2</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row>
        <row r="16">
          <cell r="A16" t="str">
            <v>G3CES1FO</v>
          </cell>
          <cell r="B16" t="str">
            <v>CESPM 1 FO</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row>
        <row r="17">
          <cell r="A17" t="str">
            <v>G3CES1GN</v>
          </cell>
          <cell r="B17" t="str">
            <v>CESPM 1 GN</v>
          </cell>
          <cell r="C17">
            <v>90</v>
          </cell>
          <cell r="D17">
            <v>90</v>
          </cell>
          <cell r="E17">
            <v>90</v>
          </cell>
          <cell r="F17">
            <v>90</v>
          </cell>
          <cell r="G17">
            <v>90</v>
          </cell>
          <cell r="H17">
            <v>90</v>
          </cell>
          <cell r="I17">
            <v>90</v>
          </cell>
          <cell r="J17">
            <v>90</v>
          </cell>
          <cell r="K17">
            <v>90</v>
          </cell>
          <cell r="L17">
            <v>90</v>
          </cell>
          <cell r="M17">
            <v>90</v>
          </cell>
          <cell r="N17">
            <v>90</v>
          </cell>
          <cell r="O17">
            <v>90</v>
          </cell>
          <cell r="P17">
            <v>90</v>
          </cell>
          <cell r="Q17">
            <v>90</v>
          </cell>
          <cell r="R17">
            <v>90</v>
          </cell>
          <cell r="S17">
            <v>90</v>
          </cell>
          <cell r="T17">
            <v>90</v>
          </cell>
          <cell r="U17">
            <v>90</v>
          </cell>
          <cell r="V17">
            <v>90</v>
          </cell>
          <cell r="W17">
            <v>90</v>
          </cell>
          <cell r="X17">
            <v>90</v>
          </cell>
          <cell r="Y17">
            <v>90</v>
          </cell>
          <cell r="Z17">
            <v>90</v>
          </cell>
          <cell r="AA17">
            <v>90</v>
          </cell>
          <cell r="AB17">
            <v>90</v>
          </cell>
          <cell r="AC17">
            <v>90</v>
          </cell>
          <cell r="AD17">
            <v>90</v>
          </cell>
          <cell r="AE17">
            <v>90</v>
          </cell>
          <cell r="AF17">
            <v>90</v>
          </cell>
          <cell r="AG17">
            <v>90</v>
          </cell>
          <cell r="AH17">
            <v>90</v>
          </cell>
          <cell r="AI17">
            <v>90</v>
          </cell>
          <cell r="AJ17">
            <v>90</v>
          </cell>
          <cell r="AK17">
            <v>90</v>
          </cell>
          <cell r="AL17">
            <v>90</v>
          </cell>
          <cell r="AM17">
            <v>90</v>
          </cell>
          <cell r="AN17">
            <v>90</v>
          </cell>
          <cell r="AO17">
            <v>90</v>
          </cell>
          <cell r="AP17">
            <v>90</v>
          </cell>
          <cell r="AQ17">
            <v>90</v>
          </cell>
          <cell r="AR17">
            <v>90</v>
          </cell>
          <cell r="AS17">
            <v>90</v>
          </cell>
          <cell r="AT17">
            <v>90</v>
          </cell>
          <cell r="AU17">
            <v>90</v>
          </cell>
          <cell r="AV17">
            <v>90</v>
          </cell>
          <cell r="AW17">
            <v>90</v>
          </cell>
          <cell r="AX17">
            <v>90</v>
          </cell>
          <cell r="AY17">
            <v>90</v>
          </cell>
          <cell r="AZ17">
            <v>90</v>
          </cell>
          <cell r="BA17">
            <v>90</v>
          </cell>
          <cell r="BB17">
            <v>90</v>
          </cell>
          <cell r="BC17">
            <v>90</v>
          </cell>
          <cell r="BD17">
            <v>90</v>
          </cell>
          <cell r="BE17">
            <v>90</v>
          </cell>
          <cell r="BF17">
            <v>90</v>
          </cell>
          <cell r="BG17">
            <v>90</v>
          </cell>
          <cell r="BH17">
            <v>90</v>
          </cell>
          <cell r="BI17">
            <v>90</v>
          </cell>
          <cell r="BJ17">
            <v>90</v>
          </cell>
          <cell r="BK17">
            <v>90</v>
          </cell>
          <cell r="BL17">
            <v>90</v>
          </cell>
          <cell r="BM17">
            <v>90</v>
          </cell>
          <cell r="BN17">
            <v>90</v>
          </cell>
          <cell r="BO17">
            <v>90</v>
          </cell>
          <cell r="BP17">
            <v>90</v>
          </cell>
          <cell r="BQ17">
            <v>90</v>
          </cell>
          <cell r="BR17">
            <v>90</v>
          </cell>
          <cell r="BS17">
            <v>90</v>
          </cell>
          <cell r="BT17">
            <v>90</v>
          </cell>
          <cell r="BU17">
            <v>90</v>
          </cell>
          <cell r="BV17">
            <v>90</v>
          </cell>
          <cell r="BW17">
            <v>90</v>
          </cell>
          <cell r="BX17">
            <v>90</v>
          </cell>
          <cell r="BY17">
            <v>90</v>
          </cell>
          <cell r="BZ17">
            <v>90</v>
          </cell>
          <cell r="CA17">
            <v>90</v>
          </cell>
          <cell r="CB17">
            <v>90</v>
          </cell>
          <cell r="CC17">
            <v>90</v>
          </cell>
          <cell r="CD17">
            <v>90</v>
          </cell>
          <cell r="CE17">
            <v>90</v>
          </cell>
          <cell r="CF17">
            <v>90</v>
          </cell>
          <cell r="CG17">
            <v>90</v>
          </cell>
          <cell r="CH17">
            <v>90</v>
          </cell>
          <cell r="CI17">
            <v>90</v>
          </cell>
          <cell r="CJ17">
            <v>90</v>
          </cell>
          <cell r="CK17">
            <v>90</v>
          </cell>
          <cell r="CL17">
            <v>90</v>
          </cell>
          <cell r="CM17">
            <v>90</v>
          </cell>
          <cell r="CN17">
            <v>90</v>
          </cell>
          <cell r="CO17">
            <v>90</v>
          </cell>
          <cell r="CP17">
            <v>90</v>
          </cell>
          <cell r="CQ17">
            <v>90</v>
          </cell>
          <cell r="CR17">
            <v>90</v>
          </cell>
          <cell r="CS17">
            <v>90</v>
          </cell>
          <cell r="CT17">
            <v>90</v>
          </cell>
          <cell r="CU17">
            <v>90</v>
          </cell>
          <cell r="CV17">
            <v>90</v>
          </cell>
          <cell r="CW17">
            <v>90</v>
          </cell>
          <cell r="CX17">
            <v>90</v>
          </cell>
          <cell r="CY17">
            <v>90</v>
          </cell>
          <cell r="CZ17">
            <v>90</v>
          </cell>
          <cell r="DA17">
            <v>90</v>
          </cell>
          <cell r="DB17">
            <v>90</v>
          </cell>
          <cell r="DC17">
            <v>90</v>
          </cell>
          <cell r="DD17">
            <v>90</v>
          </cell>
          <cell r="DE17">
            <v>90</v>
          </cell>
          <cell r="DF17">
            <v>90</v>
          </cell>
          <cell r="DG17">
            <v>90</v>
          </cell>
          <cell r="DH17">
            <v>90</v>
          </cell>
          <cell r="DI17">
            <v>90</v>
          </cell>
          <cell r="DJ17">
            <v>90</v>
          </cell>
          <cell r="DK17">
            <v>90</v>
          </cell>
          <cell r="DL17">
            <v>90</v>
          </cell>
          <cell r="DM17">
            <v>90</v>
          </cell>
          <cell r="DN17">
            <v>90</v>
          </cell>
          <cell r="DO17">
            <v>90</v>
          </cell>
          <cell r="DP17">
            <v>90</v>
          </cell>
          <cell r="DQ17">
            <v>90</v>
          </cell>
          <cell r="DR17">
            <v>90</v>
          </cell>
          <cell r="DS17">
            <v>90</v>
          </cell>
          <cell r="DT17">
            <v>90</v>
          </cell>
          <cell r="DU17">
            <v>90</v>
          </cell>
          <cell r="DV17">
            <v>90</v>
          </cell>
          <cell r="DW17">
            <v>90</v>
          </cell>
          <cell r="DX17">
            <v>90</v>
          </cell>
          <cell r="DY17">
            <v>90</v>
          </cell>
          <cell r="DZ17">
            <v>90</v>
          </cell>
          <cell r="EA17">
            <v>90</v>
          </cell>
          <cell r="EB17">
            <v>90</v>
          </cell>
          <cell r="EC17">
            <v>90</v>
          </cell>
          <cell r="ED17">
            <v>90</v>
          </cell>
          <cell r="EE17">
            <v>90</v>
          </cell>
          <cell r="EF17">
            <v>90</v>
          </cell>
          <cell r="EG17">
            <v>90</v>
          </cell>
          <cell r="EH17">
            <v>90</v>
          </cell>
          <cell r="EI17">
            <v>90</v>
          </cell>
          <cell r="EJ17">
            <v>90</v>
          </cell>
          <cell r="EK17">
            <v>90</v>
          </cell>
          <cell r="EL17">
            <v>90</v>
          </cell>
          <cell r="EM17">
            <v>90</v>
          </cell>
          <cell r="EN17">
            <v>90</v>
          </cell>
          <cell r="EO17">
            <v>90</v>
          </cell>
          <cell r="EP17">
            <v>90</v>
          </cell>
          <cell r="EQ17">
            <v>90</v>
          </cell>
          <cell r="ER17">
            <v>90</v>
          </cell>
          <cell r="ES17">
            <v>90</v>
          </cell>
          <cell r="ET17">
            <v>90</v>
          </cell>
          <cell r="EU17">
            <v>90</v>
          </cell>
          <cell r="EV17">
            <v>90</v>
          </cell>
          <cell r="EW17">
            <v>90</v>
          </cell>
          <cell r="EX17">
            <v>90</v>
          </cell>
          <cell r="EY17">
            <v>90</v>
          </cell>
          <cell r="EZ17">
            <v>90</v>
          </cell>
          <cell r="FA17">
            <v>90</v>
          </cell>
          <cell r="FB17">
            <v>90</v>
          </cell>
          <cell r="FC17">
            <v>90</v>
          </cell>
          <cell r="FD17">
            <v>90</v>
          </cell>
          <cell r="FE17">
            <v>90</v>
          </cell>
          <cell r="FF17">
            <v>90</v>
          </cell>
          <cell r="FG17">
            <v>90</v>
          </cell>
          <cell r="FH17">
            <v>90</v>
          </cell>
          <cell r="FI17">
            <v>90</v>
          </cell>
          <cell r="FJ17">
            <v>90</v>
          </cell>
          <cell r="FK17">
            <v>90</v>
          </cell>
          <cell r="FL17">
            <v>90</v>
          </cell>
          <cell r="FM17">
            <v>90</v>
          </cell>
          <cell r="FN17">
            <v>90</v>
          </cell>
        </row>
        <row r="18">
          <cell r="A18" t="str">
            <v>G3CES2FO</v>
          </cell>
          <cell r="B18" t="str">
            <v>CESPM 2 FO</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row>
        <row r="19">
          <cell r="A19" t="str">
            <v>G3CES2GN</v>
          </cell>
          <cell r="B19" t="str">
            <v>CESPM 2 GN</v>
          </cell>
          <cell r="C19">
            <v>90</v>
          </cell>
          <cell r="D19">
            <v>90</v>
          </cell>
          <cell r="E19">
            <v>90</v>
          </cell>
          <cell r="F19">
            <v>90</v>
          </cell>
          <cell r="G19">
            <v>90</v>
          </cell>
          <cell r="H19">
            <v>90</v>
          </cell>
          <cell r="I19">
            <v>90</v>
          </cell>
          <cell r="J19">
            <v>90</v>
          </cell>
          <cell r="K19">
            <v>90</v>
          </cell>
          <cell r="L19">
            <v>90</v>
          </cell>
          <cell r="M19">
            <v>90</v>
          </cell>
          <cell r="N19">
            <v>90</v>
          </cell>
          <cell r="O19">
            <v>90</v>
          </cell>
          <cell r="P19">
            <v>90</v>
          </cell>
          <cell r="Q19">
            <v>90</v>
          </cell>
          <cell r="R19">
            <v>90</v>
          </cell>
          <cell r="S19">
            <v>90</v>
          </cell>
          <cell r="T19">
            <v>90</v>
          </cell>
          <cell r="U19">
            <v>90</v>
          </cell>
          <cell r="V19">
            <v>90</v>
          </cell>
          <cell r="W19">
            <v>90</v>
          </cell>
          <cell r="X19">
            <v>90</v>
          </cell>
          <cell r="Y19">
            <v>90</v>
          </cell>
          <cell r="Z19">
            <v>90</v>
          </cell>
          <cell r="AA19">
            <v>90</v>
          </cell>
          <cell r="AB19">
            <v>90</v>
          </cell>
          <cell r="AC19">
            <v>90</v>
          </cell>
          <cell r="AD19">
            <v>90</v>
          </cell>
          <cell r="AE19">
            <v>90</v>
          </cell>
          <cell r="AF19">
            <v>90</v>
          </cell>
          <cell r="AG19">
            <v>90</v>
          </cell>
          <cell r="AH19">
            <v>90</v>
          </cell>
          <cell r="AI19">
            <v>90</v>
          </cell>
          <cell r="AJ19">
            <v>90</v>
          </cell>
          <cell r="AK19">
            <v>90</v>
          </cell>
          <cell r="AL19">
            <v>90</v>
          </cell>
          <cell r="AM19">
            <v>90</v>
          </cell>
          <cell r="AN19">
            <v>90</v>
          </cell>
          <cell r="AO19">
            <v>90</v>
          </cell>
          <cell r="AP19">
            <v>90</v>
          </cell>
          <cell r="AQ19">
            <v>90</v>
          </cell>
          <cell r="AR19">
            <v>90</v>
          </cell>
          <cell r="AS19">
            <v>90</v>
          </cell>
          <cell r="AT19">
            <v>90</v>
          </cell>
          <cell r="AU19">
            <v>90</v>
          </cell>
          <cell r="AV19">
            <v>90</v>
          </cell>
          <cell r="AW19">
            <v>90</v>
          </cell>
          <cell r="AX19">
            <v>90</v>
          </cell>
          <cell r="AY19">
            <v>90</v>
          </cell>
          <cell r="AZ19">
            <v>90</v>
          </cell>
          <cell r="BA19">
            <v>90</v>
          </cell>
          <cell r="BB19">
            <v>90</v>
          </cell>
          <cell r="BC19">
            <v>90</v>
          </cell>
          <cell r="BD19">
            <v>90</v>
          </cell>
          <cell r="BE19">
            <v>90</v>
          </cell>
          <cell r="BF19">
            <v>90</v>
          </cell>
          <cell r="BG19">
            <v>90</v>
          </cell>
          <cell r="BH19">
            <v>90</v>
          </cell>
          <cell r="BI19">
            <v>90</v>
          </cell>
          <cell r="BJ19">
            <v>90</v>
          </cell>
          <cell r="BK19">
            <v>90</v>
          </cell>
          <cell r="BL19">
            <v>90</v>
          </cell>
          <cell r="BM19">
            <v>90</v>
          </cell>
          <cell r="BN19">
            <v>90</v>
          </cell>
          <cell r="BO19">
            <v>90</v>
          </cell>
          <cell r="BP19">
            <v>90</v>
          </cell>
          <cell r="BQ19">
            <v>90</v>
          </cell>
          <cell r="BR19">
            <v>90</v>
          </cell>
          <cell r="BS19">
            <v>90</v>
          </cell>
          <cell r="BT19">
            <v>90</v>
          </cell>
          <cell r="BU19">
            <v>90</v>
          </cell>
          <cell r="BV19">
            <v>90</v>
          </cell>
          <cell r="BW19">
            <v>90</v>
          </cell>
          <cell r="BX19">
            <v>90</v>
          </cell>
          <cell r="BY19">
            <v>90</v>
          </cell>
          <cell r="BZ19">
            <v>90</v>
          </cell>
          <cell r="CA19">
            <v>90</v>
          </cell>
          <cell r="CB19">
            <v>90</v>
          </cell>
          <cell r="CC19">
            <v>90</v>
          </cell>
          <cell r="CD19">
            <v>90</v>
          </cell>
          <cell r="CE19">
            <v>90</v>
          </cell>
          <cell r="CF19">
            <v>90</v>
          </cell>
          <cell r="CG19">
            <v>90</v>
          </cell>
          <cell r="CH19">
            <v>90</v>
          </cell>
          <cell r="CI19">
            <v>90</v>
          </cell>
          <cell r="CJ19">
            <v>90</v>
          </cell>
          <cell r="CK19">
            <v>90</v>
          </cell>
          <cell r="CL19">
            <v>90</v>
          </cell>
          <cell r="CM19">
            <v>90</v>
          </cell>
          <cell r="CN19">
            <v>90</v>
          </cell>
          <cell r="CO19">
            <v>90</v>
          </cell>
          <cell r="CP19">
            <v>90</v>
          </cell>
          <cell r="CQ19">
            <v>90</v>
          </cell>
          <cell r="CR19">
            <v>90</v>
          </cell>
          <cell r="CS19">
            <v>90</v>
          </cell>
          <cell r="CT19">
            <v>90</v>
          </cell>
          <cell r="CU19">
            <v>90</v>
          </cell>
          <cell r="CV19">
            <v>90</v>
          </cell>
          <cell r="CW19">
            <v>90</v>
          </cell>
          <cell r="CX19">
            <v>90</v>
          </cell>
          <cell r="CY19">
            <v>90</v>
          </cell>
          <cell r="CZ19">
            <v>90</v>
          </cell>
          <cell r="DA19">
            <v>90</v>
          </cell>
          <cell r="DB19">
            <v>90</v>
          </cell>
          <cell r="DC19">
            <v>90</v>
          </cell>
          <cell r="DD19">
            <v>90</v>
          </cell>
          <cell r="DE19">
            <v>90</v>
          </cell>
          <cell r="DF19">
            <v>90</v>
          </cell>
          <cell r="DG19">
            <v>90</v>
          </cell>
          <cell r="DH19">
            <v>90</v>
          </cell>
          <cell r="DI19">
            <v>90</v>
          </cell>
          <cell r="DJ19">
            <v>90</v>
          </cell>
          <cell r="DK19">
            <v>90</v>
          </cell>
          <cell r="DL19">
            <v>90</v>
          </cell>
          <cell r="DM19">
            <v>90</v>
          </cell>
          <cell r="DN19">
            <v>90</v>
          </cell>
          <cell r="DO19">
            <v>90</v>
          </cell>
          <cell r="DP19">
            <v>90</v>
          </cell>
          <cell r="DQ19">
            <v>90</v>
          </cell>
          <cell r="DR19">
            <v>90</v>
          </cell>
          <cell r="DS19">
            <v>90</v>
          </cell>
          <cell r="DT19">
            <v>90</v>
          </cell>
          <cell r="DU19">
            <v>90</v>
          </cell>
          <cell r="DV19">
            <v>90</v>
          </cell>
          <cell r="DW19">
            <v>90</v>
          </cell>
          <cell r="DX19">
            <v>90</v>
          </cell>
          <cell r="DY19">
            <v>90</v>
          </cell>
          <cell r="DZ19">
            <v>90</v>
          </cell>
          <cell r="EA19">
            <v>90</v>
          </cell>
          <cell r="EB19">
            <v>90</v>
          </cell>
          <cell r="EC19">
            <v>90</v>
          </cell>
          <cell r="ED19">
            <v>90</v>
          </cell>
          <cell r="EE19">
            <v>90</v>
          </cell>
          <cell r="EF19">
            <v>90</v>
          </cell>
          <cell r="EG19">
            <v>90</v>
          </cell>
          <cell r="EH19">
            <v>90</v>
          </cell>
          <cell r="EI19">
            <v>90</v>
          </cell>
          <cell r="EJ19">
            <v>90</v>
          </cell>
          <cell r="EK19">
            <v>90</v>
          </cell>
          <cell r="EL19">
            <v>90</v>
          </cell>
          <cell r="EM19">
            <v>90</v>
          </cell>
          <cell r="EN19">
            <v>90</v>
          </cell>
          <cell r="EO19">
            <v>90</v>
          </cell>
          <cell r="EP19">
            <v>90</v>
          </cell>
          <cell r="EQ19">
            <v>90</v>
          </cell>
          <cell r="ER19">
            <v>90</v>
          </cell>
          <cell r="ES19">
            <v>90</v>
          </cell>
          <cell r="ET19">
            <v>90</v>
          </cell>
          <cell r="EU19">
            <v>90</v>
          </cell>
          <cell r="EV19">
            <v>90</v>
          </cell>
          <cell r="EW19">
            <v>90</v>
          </cell>
          <cell r="EX19">
            <v>90</v>
          </cell>
          <cell r="EY19">
            <v>90</v>
          </cell>
          <cell r="EZ19">
            <v>90</v>
          </cell>
          <cell r="FA19">
            <v>90</v>
          </cell>
          <cell r="FB19">
            <v>90</v>
          </cell>
          <cell r="FC19">
            <v>90</v>
          </cell>
          <cell r="FD19">
            <v>90</v>
          </cell>
          <cell r="FE19">
            <v>90</v>
          </cell>
          <cell r="FF19">
            <v>90</v>
          </cell>
          <cell r="FG19">
            <v>90</v>
          </cell>
          <cell r="FH19">
            <v>90</v>
          </cell>
          <cell r="FI19">
            <v>90</v>
          </cell>
          <cell r="FJ19">
            <v>90</v>
          </cell>
          <cell r="FK19">
            <v>90</v>
          </cell>
          <cell r="FL19">
            <v>90</v>
          </cell>
          <cell r="FM19">
            <v>90</v>
          </cell>
          <cell r="FN19">
            <v>90</v>
          </cell>
        </row>
        <row r="20">
          <cell r="A20" t="str">
            <v>G3CES3FO</v>
          </cell>
          <cell r="B20" t="str">
            <v>CESPM 3 FO</v>
          </cell>
          <cell r="C20">
            <v>90</v>
          </cell>
          <cell r="D20">
            <v>90</v>
          </cell>
          <cell r="E20">
            <v>90</v>
          </cell>
          <cell r="F20">
            <v>90</v>
          </cell>
          <cell r="G20">
            <v>90</v>
          </cell>
          <cell r="H20">
            <v>90</v>
          </cell>
          <cell r="I20">
            <v>90</v>
          </cell>
          <cell r="J20">
            <v>90</v>
          </cell>
          <cell r="K20">
            <v>90</v>
          </cell>
          <cell r="L20">
            <v>90</v>
          </cell>
          <cell r="M20">
            <v>90</v>
          </cell>
          <cell r="N20">
            <v>90</v>
          </cell>
          <cell r="O20">
            <v>90</v>
          </cell>
          <cell r="P20">
            <v>90</v>
          </cell>
          <cell r="Q20">
            <v>90</v>
          </cell>
          <cell r="R20">
            <v>90</v>
          </cell>
          <cell r="S20">
            <v>90</v>
          </cell>
          <cell r="T20">
            <v>90</v>
          </cell>
          <cell r="U20">
            <v>90</v>
          </cell>
          <cell r="V20">
            <v>90</v>
          </cell>
          <cell r="W20">
            <v>90</v>
          </cell>
          <cell r="X20">
            <v>90</v>
          </cell>
          <cell r="Y20">
            <v>90</v>
          </cell>
          <cell r="Z20">
            <v>90</v>
          </cell>
          <cell r="AA20">
            <v>90</v>
          </cell>
          <cell r="AB20">
            <v>90</v>
          </cell>
          <cell r="AC20">
            <v>90</v>
          </cell>
          <cell r="AD20">
            <v>90</v>
          </cell>
          <cell r="AE20">
            <v>90</v>
          </cell>
          <cell r="AF20">
            <v>90</v>
          </cell>
          <cell r="AG20">
            <v>90</v>
          </cell>
          <cell r="AH20">
            <v>90</v>
          </cell>
          <cell r="AI20">
            <v>90</v>
          </cell>
          <cell r="AJ20">
            <v>90</v>
          </cell>
          <cell r="AK20">
            <v>90</v>
          </cell>
          <cell r="AL20">
            <v>90</v>
          </cell>
          <cell r="AM20">
            <v>90</v>
          </cell>
          <cell r="AN20">
            <v>90</v>
          </cell>
          <cell r="AO20">
            <v>90</v>
          </cell>
          <cell r="AP20">
            <v>90</v>
          </cell>
          <cell r="AQ20">
            <v>90</v>
          </cell>
          <cell r="AR20">
            <v>90</v>
          </cell>
          <cell r="AS20">
            <v>90</v>
          </cell>
          <cell r="AT20">
            <v>90</v>
          </cell>
          <cell r="AU20">
            <v>90</v>
          </cell>
          <cell r="AV20">
            <v>90</v>
          </cell>
          <cell r="AW20">
            <v>90</v>
          </cell>
          <cell r="AX20">
            <v>90</v>
          </cell>
          <cell r="AY20">
            <v>90</v>
          </cell>
          <cell r="AZ20">
            <v>90</v>
          </cell>
          <cell r="BA20">
            <v>90</v>
          </cell>
          <cell r="BB20">
            <v>90</v>
          </cell>
          <cell r="BC20">
            <v>90</v>
          </cell>
          <cell r="BD20">
            <v>90</v>
          </cell>
          <cell r="BE20">
            <v>90</v>
          </cell>
          <cell r="BF20">
            <v>90</v>
          </cell>
          <cell r="BG20">
            <v>90</v>
          </cell>
          <cell r="BH20">
            <v>90</v>
          </cell>
          <cell r="BI20">
            <v>90</v>
          </cell>
          <cell r="BJ20">
            <v>90</v>
          </cell>
          <cell r="BK20">
            <v>90</v>
          </cell>
          <cell r="BL20">
            <v>90</v>
          </cell>
          <cell r="BM20">
            <v>90</v>
          </cell>
          <cell r="BN20">
            <v>90</v>
          </cell>
          <cell r="BO20">
            <v>90</v>
          </cell>
          <cell r="BP20">
            <v>90</v>
          </cell>
          <cell r="BQ20">
            <v>90</v>
          </cell>
          <cell r="BR20">
            <v>90</v>
          </cell>
          <cell r="BS20">
            <v>90</v>
          </cell>
          <cell r="BT20">
            <v>90</v>
          </cell>
          <cell r="BU20">
            <v>90</v>
          </cell>
          <cell r="BV20">
            <v>90</v>
          </cell>
          <cell r="BW20">
            <v>90</v>
          </cell>
          <cell r="BX20">
            <v>90</v>
          </cell>
          <cell r="BY20">
            <v>90</v>
          </cell>
          <cell r="BZ20">
            <v>90</v>
          </cell>
          <cell r="CA20">
            <v>90</v>
          </cell>
          <cell r="CB20">
            <v>90</v>
          </cell>
          <cell r="CC20">
            <v>90</v>
          </cell>
          <cell r="CD20">
            <v>90</v>
          </cell>
          <cell r="CE20">
            <v>90</v>
          </cell>
          <cell r="CF20">
            <v>90</v>
          </cell>
          <cell r="CG20">
            <v>90</v>
          </cell>
          <cell r="CH20">
            <v>90</v>
          </cell>
          <cell r="CI20">
            <v>90</v>
          </cell>
          <cell r="CJ20">
            <v>90</v>
          </cell>
          <cell r="CK20">
            <v>90</v>
          </cell>
          <cell r="CL20">
            <v>90</v>
          </cell>
          <cell r="CM20">
            <v>90</v>
          </cell>
          <cell r="CN20">
            <v>90</v>
          </cell>
          <cell r="CO20">
            <v>90</v>
          </cell>
          <cell r="CP20">
            <v>90</v>
          </cell>
          <cell r="CQ20">
            <v>90</v>
          </cell>
          <cell r="CR20">
            <v>90</v>
          </cell>
          <cell r="CS20">
            <v>90</v>
          </cell>
          <cell r="CT20">
            <v>90</v>
          </cell>
          <cell r="CU20">
            <v>90</v>
          </cell>
          <cell r="CV20">
            <v>90</v>
          </cell>
          <cell r="CW20">
            <v>90</v>
          </cell>
          <cell r="CX20">
            <v>90</v>
          </cell>
          <cell r="CY20">
            <v>90</v>
          </cell>
          <cell r="CZ20">
            <v>90</v>
          </cell>
          <cell r="DA20">
            <v>90</v>
          </cell>
          <cell r="DB20">
            <v>90</v>
          </cell>
          <cell r="DC20">
            <v>90</v>
          </cell>
          <cell r="DD20">
            <v>90</v>
          </cell>
          <cell r="DE20">
            <v>90</v>
          </cell>
          <cell r="DF20">
            <v>90</v>
          </cell>
          <cell r="DG20">
            <v>90</v>
          </cell>
          <cell r="DH20">
            <v>90</v>
          </cell>
          <cell r="DI20">
            <v>90</v>
          </cell>
          <cell r="DJ20">
            <v>90</v>
          </cell>
          <cell r="DK20">
            <v>90</v>
          </cell>
          <cell r="DL20">
            <v>90</v>
          </cell>
          <cell r="DM20">
            <v>90</v>
          </cell>
          <cell r="DN20">
            <v>90</v>
          </cell>
          <cell r="DO20">
            <v>90</v>
          </cell>
          <cell r="DP20">
            <v>90</v>
          </cell>
          <cell r="DQ20">
            <v>90</v>
          </cell>
          <cell r="DR20">
            <v>90</v>
          </cell>
          <cell r="DS20">
            <v>90</v>
          </cell>
          <cell r="DT20">
            <v>90</v>
          </cell>
          <cell r="DU20">
            <v>90</v>
          </cell>
          <cell r="DV20">
            <v>90</v>
          </cell>
          <cell r="DW20">
            <v>90</v>
          </cell>
          <cell r="DX20">
            <v>90</v>
          </cell>
          <cell r="DY20">
            <v>90</v>
          </cell>
          <cell r="DZ20">
            <v>90</v>
          </cell>
          <cell r="EA20">
            <v>90</v>
          </cell>
          <cell r="EB20">
            <v>90</v>
          </cell>
          <cell r="EC20">
            <v>90</v>
          </cell>
          <cell r="ED20">
            <v>90</v>
          </cell>
          <cell r="EE20">
            <v>90</v>
          </cell>
          <cell r="EF20">
            <v>90</v>
          </cell>
          <cell r="EG20">
            <v>90</v>
          </cell>
          <cell r="EH20">
            <v>90</v>
          </cell>
          <cell r="EI20">
            <v>90</v>
          </cell>
          <cell r="EJ20">
            <v>90</v>
          </cell>
          <cell r="EK20">
            <v>90</v>
          </cell>
          <cell r="EL20">
            <v>90</v>
          </cell>
          <cell r="EM20">
            <v>90</v>
          </cell>
          <cell r="EN20">
            <v>90</v>
          </cell>
          <cell r="EO20">
            <v>90</v>
          </cell>
          <cell r="EP20">
            <v>90</v>
          </cell>
          <cell r="EQ20">
            <v>90</v>
          </cell>
          <cell r="ER20">
            <v>90</v>
          </cell>
          <cell r="ES20">
            <v>90</v>
          </cell>
          <cell r="ET20">
            <v>90</v>
          </cell>
          <cell r="EU20">
            <v>90</v>
          </cell>
          <cell r="EV20">
            <v>90</v>
          </cell>
          <cell r="EW20">
            <v>90</v>
          </cell>
          <cell r="EX20">
            <v>90</v>
          </cell>
          <cell r="EY20">
            <v>90</v>
          </cell>
          <cell r="EZ20">
            <v>90</v>
          </cell>
          <cell r="FA20">
            <v>90</v>
          </cell>
          <cell r="FB20">
            <v>90</v>
          </cell>
          <cell r="FC20">
            <v>90</v>
          </cell>
          <cell r="FD20">
            <v>90</v>
          </cell>
          <cell r="FE20">
            <v>90</v>
          </cell>
          <cell r="FF20">
            <v>90</v>
          </cell>
          <cell r="FG20">
            <v>90</v>
          </cell>
          <cell r="FH20">
            <v>90</v>
          </cell>
          <cell r="FI20">
            <v>90</v>
          </cell>
          <cell r="FJ20">
            <v>90</v>
          </cell>
          <cell r="FK20">
            <v>90</v>
          </cell>
          <cell r="FL20">
            <v>90</v>
          </cell>
          <cell r="FM20">
            <v>90</v>
          </cell>
          <cell r="FN20">
            <v>90</v>
          </cell>
        </row>
        <row r="21">
          <cell r="A21" t="str">
            <v>G3CES3GN</v>
          </cell>
          <cell r="B21" t="str">
            <v>CESPM 3 GN</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0</v>
          </cell>
          <cell r="FJ21">
            <v>0</v>
          </cell>
          <cell r="FK21">
            <v>0</v>
          </cell>
          <cell r="FL21">
            <v>0</v>
          </cell>
          <cell r="FM21">
            <v>0</v>
          </cell>
          <cell r="FN21">
            <v>0</v>
          </cell>
        </row>
        <row r="22">
          <cell r="A22" t="str">
            <v>G3DRODR1</v>
          </cell>
          <cell r="B22" t="str">
            <v>DOMINGO RODRIGUEZ 1</v>
          </cell>
          <cell r="C22">
            <v>1.2</v>
          </cell>
          <cell r="D22">
            <v>1.2</v>
          </cell>
          <cell r="E22">
            <v>1.2</v>
          </cell>
          <cell r="F22">
            <v>1.2</v>
          </cell>
          <cell r="G22">
            <v>1.2</v>
          </cell>
          <cell r="H22">
            <v>1.2</v>
          </cell>
          <cell r="I22">
            <v>1.2</v>
          </cell>
          <cell r="J22">
            <v>1.2</v>
          </cell>
          <cell r="K22">
            <v>1.2</v>
          </cell>
          <cell r="L22">
            <v>1.2</v>
          </cell>
          <cell r="M22">
            <v>1.2</v>
          </cell>
          <cell r="N22">
            <v>1.2</v>
          </cell>
          <cell r="O22">
            <v>1.2</v>
          </cell>
          <cell r="P22">
            <v>1.2</v>
          </cell>
          <cell r="Q22">
            <v>1.2</v>
          </cell>
          <cell r="R22">
            <v>1.2</v>
          </cell>
          <cell r="S22">
            <v>1.2</v>
          </cell>
          <cell r="T22">
            <v>1.2</v>
          </cell>
          <cell r="U22">
            <v>1.2</v>
          </cell>
          <cell r="V22">
            <v>1.2</v>
          </cell>
          <cell r="W22">
            <v>1.2</v>
          </cell>
          <cell r="X22">
            <v>1.2</v>
          </cell>
          <cell r="Y22">
            <v>1.2</v>
          </cell>
          <cell r="Z22">
            <v>1.2</v>
          </cell>
          <cell r="AA22">
            <v>1.2</v>
          </cell>
          <cell r="AB22">
            <v>1.2</v>
          </cell>
          <cell r="AC22">
            <v>1.2</v>
          </cell>
          <cell r="AD22">
            <v>1.2</v>
          </cell>
          <cell r="AE22">
            <v>1.2</v>
          </cell>
          <cell r="AF22">
            <v>1.2</v>
          </cell>
          <cell r="AG22">
            <v>1.2</v>
          </cell>
          <cell r="AH22">
            <v>1.2</v>
          </cell>
          <cell r="AI22">
            <v>1.2</v>
          </cell>
          <cell r="AJ22">
            <v>1.2</v>
          </cell>
          <cell r="AK22">
            <v>1.2</v>
          </cell>
          <cell r="AL22">
            <v>1.2</v>
          </cell>
          <cell r="AM22">
            <v>1.2</v>
          </cell>
          <cell r="AN22">
            <v>1.2</v>
          </cell>
          <cell r="AO22">
            <v>1.2</v>
          </cell>
          <cell r="AP22">
            <v>1.2</v>
          </cell>
          <cell r="AQ22">
            <v>1.2</v>
          </cell>
          <cell r="AR22">
            <v>1.2</v>
          </cell>
          <cell r="AS22">
            <v>1.2</v>
          </cell>
          <cell r="AT22">
            <v>1.2</v>
          </cell>
          <cell r="AU22">
            <v>1.2</v>
          </cell>
          <cell r="AV22">
            <v>1.2</v>
          </cell>
          <cell r="AW22">
            <v>1.2</v>
          </cell>
          <cell r="AX22">
            <v>1.2</v>
          </cell>
          <cell r="AY22">
            <v>1.2</v>
          </cell>
          <cell r="AZ22">
            <v>1.2</v>
          </cell>
          <cell r="BA22">
            <v>1.2</v>
          </cell>
          <cell r="BB22">
            <v>1.2</v>
          </cell>
          <cell r="BC22">
            <v>1.2</v>
          </cell>
          <cell r="BD22">
            <v>1.2</v>
          </cell>
          <cell r="BE22">
            <v>1.2</v>
          </cell>
          <cell r="BF22">
            <v>1.2</v>
          </cell>
          <cell r="BG22">
            <v>1.2</v>
          </cell>
          <cell r="BH22">
            <v>1.2</v>
          </cell>
          <cell r="BI22">
            <v>1.2</v>
          </cell>
          <cell r="BJ22">
            <v>1.2</v>
          </cell>
          <cell r="BK22">
            <v>1.2</v>
          </cell>
          <cell r="BL22">
            <v>1.2</v>
          </cell>
          <cell r="BM22">
            <v>1.2</v>
          </cell>
          <cell r="BN22">
            <v>1.2</v>
          </cell>
          <cell r="BO22">
            <v>1.2</v>
          </cell>
          <cell r="BP22">
            <v>1.2</v>
          </cell>
          <cell r="BQ22">
            <v>1.2</v>
          </cell>
          <cell r="BR22">
            <v>1.2</v>
          </cell>
          <cell r="BS22">
            <v>1.2</v>
          </cell>
          <cell r="BT22">
            <v>1.2</v>
          </cell>
          <cell r="BU22">
            <v>1.2</v>
          </cell>
          <cell r="BV22">
            <v>1.2</v>
          </cell>
          <cell r="BW22">
            <v>1.2</v>
          </cell>
          <cell r="BX22">
            <v>1.2</v>
          </cell>
          <cell r="BY22">
            <v>1.2</v>
          </cell>
          <cell r="BZ22">
            <v>1.2</v>
          </cell>
          <cell r="CA22">
            <v>1.2</v>
          </cell>
          <cell r="CB22">
            <v>1.2</v>
          </cell>
          <cell r="CC22">
            <v>1.2</v>
          </cell>
          <cell r="CD22">
            <v>1.2</v>
          </cell>
          <cell r="CE22">
            <v>1.2</v>
          </cell>
          <cell r="CF22">
            <v>1.2</v>
          </cell>
          <cell r="CG22">
            <v>1.2</v>
          </cell>
          <cell r="CH22">
            <v>1.2</v>
          </cell>
          <cell r="CI22">
            <v>1.2</v>
          </cell>
          <cell r="CJ22">
            <v>1.2</v>
          </cell>
          <cell r="CK22">
            <v>1.2</v>
          </cell>
          <cell r="CL22">
            <v>1.2</v>
          </cell>
          <cell r="CM22">
            <v>1.2</v>
          </cell>
          <cell r="CN22">
            <v>1.2</v>
          </cell>
          <cell r="CO22">
            <v>1.2</v>
          </cell>
          <cell r="CP22">
            <v>1.2</v>
          </cell>
          <cell r="CQ22">
            <v>1.2</v>
          </cell>
          <cell r="CR22">
            <v>1.2</v>
          </cell>
          <cell r="CS22">
            <v>1.2</v>
          </cell>
          <cell r="CT22">
            <v>1.2</v>
          </cell>
          <cell r="CU22">
            <v>1.2</v>
          </cell>
          <cell r="CV22">
            <v>1.2</v>
          </cell>
          <cell r="CW22">
            <v>1.2</v>
          </cell>
          <cell r="CX22">
            <v>1.2</v>
          </cell>
          <cell r="CY22">
            <v>1.2</v>
          </cell>
          <cell r="CZ22">
            <v>1.2</v>
          </cell>
          <cell r="DA22">
            <v>1.2</v>
          </cell>
          <cell r="DB22">
            <v>1.2</v>
          </cell>
          <cell r="DC22">
            <v>1.2</v>
          </cell>
          <cell r="DD22">
            <v>1.2</v>
          </cell>
          <cell r="DE22">
            <v>1.2</v>
          </cell>
          <cell r="DF22">
            <v>1.2</v>
          </cell>
          <cell r="DG22">
            <v>1.2</v>
          </cell>
          <cell r="DH22">
            <v>1.2</v>
          </cell>
          <cell r="DI22">
            <v>1.2</v>
          </cell>
          <cell r="DJ22">
            <v>1.2</v>
          </cell>
          <cell r="DK22">
            <v>1.2</v>
          </cell>
          <cell r="DL22">
            <v>1.2</v>
          </cell>
          <cell r="DM22">
            <v>1.2</v>
          </cell>
          <cell r="DN22">
            <v>1.2</v>
          </cell>
          <cell r="DO22">
            <v>1.2</v>
          </cell>
          <cell r="DP22">
            <v>1.2</v>
          </cell>
          <cell r="DQ22">
            <v>1.2</v>
          </cell>
          <cell r="DR22">
            <v>1.2</v>
          </cell>
          <cell r="DS22">
            <v>1.2</v>
          </cell>
          <cell r="DT22">
            <v>1.2</v>
          </cell>
          <cell r="DU22">
            <v>1.2</v>
          </cell>
          <cell r="DV22">
            <v>1.2</v>
          </cell>
          <cell r="DW22">
            <v>1.2</v>
          </cell>
          <cell r="DX22">
            <v>1.2</v>
          </cell>
          <cell r="DY22">
            <v>1.2</v>
          </cell>
          <cell r="DZ22">
            <v>1.2</v>
          </cell>
          <cell r="EA22">
            <v>1.2</v>
          </cell>
          <cell r="EB22">
            <v>1.2</v>
          </cell>
          <cell r="EC22">
            <v>1.2</v>
          </cell>
          <cell r="ED22">
            <v>1.2</v>
          </cell>
          <cell r="EE22">
            <v>1.2</v>
          </cell>
          <cell r="EF22">
            <v>1.2</v>
          </cell>
          <cell r="EG22">
            <v>1.2</v>
          </cell>
          <cell r="EH22">
            <v>1.2</v>
          </cell>
          <cell r="EI22">
            <v>1.2</v>
          </cell>
          <cell r="EJ22">
            <v>1.2</v>
          </cell>
          <cell r="EK22">
            <v>1.2</v>
          </cell>
          <cell r="EL22">
            <v>1.2</v>
          </cell>
          <cell r="EM22">
            <v>1.2</v>
          </cell>
          <cell r="EN22">
            <v>1.2</v>
          </cell>
          <cell r="EO22">
            <v>1.2</v>
          </cell>
          <cell r="EP22">
            <v>1.2</v>
          </cell>
          <cell r="EQ22">
            <v>1.2</v>
          </cell>
          <cell r="ER22">
            <v>1.2</v>
          </cell>
          <cell r="ES22">
            <v>1.2</v>
          </cell>
          <cell r="ET22">
            <v>1.2</v>
          </cell>
          <cell r="EU22">
            <v>1.2</v>
          </cell>
          <cell r="EV22">
            <v>1.2</v>
          </cell>
          <cell r="EW22">
            <v>1.2</v>
          </cell>
          <cell r="EX22">
            <v>1.2</v>
          </cell>
          <cell r="EY22">
            <v>1.2</v>
          </cell>
          <cell r="EZ22">
            <v>1.2</v>
          </cell>
          <cell r="FA22">
            <v>1.2</v>
          </cell>
          <cell r="FB22">
            <v>1.2</v>
          </cell>
          <cell r="FC22">
            <v>1.2</v>
          </cell>
          <cell r="FD22">
            <v>1.2</v>
          </cell>
          <cell r="FE22">
            <v>1.2</v>
          </cell>
          <cell r="FF22">
            <v>1.2</v>
          </cell>
          <cell r="FG22">
            <v>1.2</v>
          </cell>
          <cell r="FH22">
            <v>1.2</v>
          </cell>
          <cell r="FI22">
            <v>1.2</v>
          </cell>
          <cell r="FJ22">
            <v>1.2</v>
          </cell>
          <cell r="FK22">
            <v>1.2</v>
          </cell>
          <cell r="FL22">
            <v>1.2</v>
          </cell>
          <cell r="FM22">
            <v>1.2</v>
          </cell>
          <cell r="FN22">
            <v>1.2</v>
          </cell>
        </row>
        <row r="23">
          <cell r="A23" t="str">
            <v>G3DRODR2</v>
          </cell>
          <cell r="B23" t="str">
            <v>DOMINGO RODRIGUEZ 2</v>
          </cell>
          <cell r="C23">
            <v>1.2</v>
          </cell>
          <cell r="D23">
            <v>1.2</v>
          </cell>
          <cell r="E23">
            <v>1.2</v>
          </cell>
          <cell r="F23">
            <v>1.2</v>
          </cell>
          <cell r="G23">
            <v>1.2</v>
          </cell>
          <cell r="H23">
            <v>1.2</v>
          </cell>
          <cell r="I23">
            <v>1.2</v>
          </cell>
          <cell r="J23">
            <v>1.2</v>
          </cell>
          <cell r="K23">
            <v>1.2</v>
          </cell>
          <cell r="L23">
            <v>1.2</v>
          </cell>
          <cell r="M23">
            <v>1.2</v>
          </cell>
          <cell r="N23">
            <v>1.2</v>
          </cell>
          <cell r="O23">
            <v>1.2</v>
          </cell>
          <cell r="P23">
            <v>1.2</v>
          </cell>
          <cell r="Q23">
            <v>1.2</v>
          </cell>
          <cell r="R23">
            <v>1.2</v>
          </cell>
          <cell r="S23">
            <v>1.2</v>
          </cell>
          <cell r="T23">
            <v>1.2</v>
          </cell>
          <cell r="U23">
            <v>1.2</v>
          </cell>
          <cell r="V23">
            <v>1.2</v>
          </cell>
          <cell r="W23">
            <v>1.2</v>
          </cell>
          <cell r="X23">
            <v>1.2</v>
          </cell>
          <cell r="Y23">
            <v>1.2</v>
          </cell>
          <cell r="Z23">
            <v>1.2</v>
          </cell>
          <cell r="AA23">
            <v>1.2</v>
          </cell>
          <cell r="AB23">
            <v>1.2</v>
          </cell>
          <cell r="AC23">
            <v>1.2</v>
          </cell>
          <cell r="AD23">
            <v>1.2</v>
          </cell>
          <cell r="AE23">
            <v>1.2</v>
          </cell>
          <cell r="AF23">
            <v>1.2</v>
          </cell>
          <cell r="AG23">
            <v>1.2</v>
          </cell>
          <cell r="AH23">
            <v>1.2</v>
          </cell>
          <cell r="AI23">
            <v>1.2</v>
          </cell>
          <cell r="AJ23">
            <v>1.2</v>
          </cell>
          <cell r="AK23">
            <v>1.2</v>
          </cell>
          <cell r="AL23">
            <v>1.2</v>
          </cell>
          <cell r="AM23">
            <v>1.2</v>
          </cell>
          <cell r="AN23">
            <v>1.2</v>
          </cell>
          <cell r="AO23">
            <v>1.2</v>
          </cell>
          <cell r="AP23">
            <v>1.2</v>
          </cell>
          <cell r="AQ23">
            <v>1.2</v>
          </cell>
          <cell r="AR23">
            <v>1.2</v>
          </cell>
          <cell r="AS23">
            <v>1.2</v>
          </cell>
          <cell r="AT23">
            <v>1.2</v>
          </cell>
          <cell r="AU23">
            <v>1.2</v>
          </cell>
          <cell r="AV23">
            <v>1.2</v>
          </cell>
          <cell r="AW23">
            <v>1.2</v>
          </cell>
          <cell r="AX23">
            <v>1.2</v>
          </cell>
          <cell r="AY23">
            <v>1.2</v>
          </cell>
          <cell r="AZ23">
            <v>1.2</v>
          </cell>
          <cell r="BA23">
            <v>1.2</v>
          </cell>
          <cell r="BB23">
            <v>1.2</v>
          </cell>
          <cell r="BC23">
            <v>1.2</v>
          </cell>
          <cell r="BD23">
            <v>1.2</v>
          </cell>
          <cell r="BE23">
            <v>1.2</v>
          </cell>
          <cell r="BF23">
            <v>1.2</v>
          </cell>
          <cell r="BG23">
            <v>1.2</v>
          </cell>
          <cell r="BH23">
            <v>1.2</v>
          </cell>
          <cell r="BI23">
            <v>1.2</v>
          </cell>
          <cell r="BJ23">
            <v>1.2</v>
          </cell>
          <cell r="BK23">
            <v>1.2</v>
          </cell>
          <cell r="BL23">
            <v>1.2</v>
          </cell>
          <cell r="BM23">
            <v>1.2</v>
          </cell>
          <cell r="BN23">
            <v>1.2</v>
          </cell>
          <cell r="BO23">
            <v>1.2</v>
          </cell>
          <cell r="BP23">
            <v>1.2</v>
          </cell>
          <cell r="BQ23">
            <v>1.2</v>
          </cell>
          <cell r="BR23">
            <v>1.2</v>
          </cell>
          <cell r="BS23">
            <v>1.2</v>
          </cell>
          <cell r="BT23">
            <v>1.2</v>
          </cell>
          <cell r="BU23">
            <v>1.2</v>
          </cell>
          <cell r="BV23">
            <v>1.2</v>
          </cell>
          <cell r="BW23">
            <v>1.2</v>
          </cell>
          <cell r="BX23">
            <v>1.2</v>
          </cell>
          <cell r="BY23">
            <v>1.2</v>
          </cell>
          <cell r="BZ23">
            <v>1.2</v>
          </cell>
          <cell r="CA23">
            <v>1.2</v>
          </cell>
          <cell r="CB23">
            <v>1.2</v>
          </cell>
          <cell r="CC23">
            <v>1.2</v>
          </cell>
          <cell r="CD23">
            <v>1.2</v>
          </cell>
          <cell r="CE23">
            <v>1.2</v>
          </cell>
          <cell r="CF23">
            <v>1.2</v>
          </cell>
          <cell r="CG23">
            <v>1.2</v>
          </cell>
          <cell r="CH23">
            <v>1.2</v>
          </cell>
          <cell r="CI23">
            <v>1.2</v>
          </cell>
          <cell r="CJ23">
            <v>1.2</v>
          </cell>
          <cell r="CK23">
            <v>1.2</v>
          </cell>
          <cell r="CL23">
            <v>1.2</v>
          </cell>
          <cell r="CM23">
            <v>1.2</v>
          </cell>
          <cell r="CN23">
            <v>1.2</v>
          </cell>
          <cell r="CO23">
            <v>1.2</v>
          </cell>
          <cell r="CP23">
            <v>1.2</v>
          </cell>
          <cell r="CQ23">
            <v>1.2</v>
          </cell>
          <cell r="CR23">
            <v>1.2</v>
          </cell>
          <cell r="CS23">
            <v>1.2</v>
          </cell>
          <cell r="CT23">
            <v>1.2</v>
          </cell>
          <cell r="CU23">
            <v>1.2</v>
          </cell>
          <cell r="CV23">
            <v>1.2</v>
          </cell>
          <cell r="CW23">
            <v>1.2</v>
          </cell>
          <cell r="CX23">
            <v>1.2</v>
          </cell>
          <cell r="CY23">
            <v>1.2</v>
          </cell>
          <cell r="CZ23">
            <v>1.2</v>
          </cell>
          <cell r="DA23">
            <v>1.2</v>
          </cell>
          <cell r="DB23">
            <v>1.2</v>
          </cell>
          <cell r="DC23">
            <v>1.2</v>
          </cell>
          <cell r="DD23">
            <v>1.2</v>
          </cell>
          <cell r="DE23">
            <v>1.2</v>
          </cell>
          <cell r="DF23">
            <v>1.2</v>
          </cell>
          <cell r="DG23">
            <v>1.2</v>
          </cell>
          <cell r="DH23">
            <v>1.2</v>
          </cell>
          <cell r="DI23">
            <v>1.2</v>
          </cell>
          <cell r="DJ23">
            <v>1.2</v>
          </cell>
          <cell r="DK23">
            <v>1.2</v>
          </cell>
          <cell r="DL23">
            <v>1.2</v>
          </cell>
          <cell r="DM23">
            <v>1.2</v>
          </cell>
          <cell r="DN23">
            <v>1.2</v>
          </cell>
          <cell r="DO23">
            <v>1.2</v>
          </cell>
          <cell r="DP23">
            <v>1.2</v>
          </cell>
          <cell r="DQ23">
            <v>1.2</v>
          </cell>
          <cell r="DR23">
            <v>1.2</v>
          </cell>
          <cell r="DS23">
            <v>1.2</v>
          </cell>
          <cell r="DT23">
            <v>1.2</v>
          </cell>
          <cell r="DU23">
            <v>1.2</v>
          </cell>
          <cell r="DV23">
            <v>1.2</v>
          </cell>
          <cell r="DW23">
            <v>1.2</v>
          </cell>
          <cell r="DX23">
            <v>1.2</v>
          </cell>
          <cell r="DY23">
            <v>1.2</v>
          </cell>
          <cell r="DZ23">
            <v>1.2</v>
          </cell>
          <cell r="EA23">
            <v>1.2</v>
          </cell>
          <cell r="EB23">
            <v>1.2</v>
          </cell>
          <cell r="EC23">
            <v>1.2</v>
          </cell>
          <cell r="ED23">
            <v>1.2</v>
          </cell>
          <cell r="EE23">
            <v>1.2</v>
          </cell>
          <cell r="EF23">
            <v>1.2</v>
          </cell>
          <cell r="EG23">
            <v>1.2</v>
          </cell>
          <cell r="EH23">
            <v>1.2</v>
          </cell>
          <cell r="EI23">
            <v>1.2</v>
          </cell>
          <cell r="EJ23">
            <v>1.2</v>
          </cell>
          <cell r="EK23">
            <v>1.2</v>
          </cell>
          <cell r="EL23">
            <v>1.2</v>
          </cell>
          <cell r="EM23">
            <v>1.2</v>
          </cell>
          <cell r="EN23">
            <v>1.2</v>
          </cell>
          <cell r="EO23">
            <v>1.2</v>
          </cell>
          <cell r="EP23">
            <v>1.2</v>
          </cell>
          <cell r="EQ23">
            <v>1.2</v>
          </cell>
          <cell r="ER23">
            <v>1.2</v>
          </cell>
          <cell r="ES23">
            <v>1.2</v>
          </cell>
          <cell r="ET23">
            <v>1.2</v>
          </cell>
          <cell r="EU23">
            <v>1.2</v>
          </cell>
          <cell r="EV23">
            <v>1.2</v>
          </cell>
          <cell r="EW23">
            <v>1.2</v>
          </cell>
          <cell r="EX23">
            <v>1.2</v>
          </cell>
          <cell r="EY23">
            <v>1.2</v>
          </cell>
          <cell r="EZ23">
            <v>1.2</v>
          </cell>
          <cell r="FA23">
            <v>1.2</v>
          </cell>
          <cell r="FB23">
            <v>1.2</v>
          </cell>
          <cell r="FC23">
            <v>1.2</v>
          </cell>
          <cell r="FD23">
            <v>1.2</v>
          </cell>
          <cell r="FE23">
            <v>1.2</v>
          </cell>
          <cell r="FF23">
            <v>1.2</v>
          </cell>
          <cell r="FG23">
            <v>1.2</v>
          </cell>
          <cell r="FH23">
            <v>1.2</v>
          </cell>
          <cell r="FI23">
            <v>1.2</v>
          </cell>
          <cell r="FJ23">
            <v>1.2</v>
          </cell>
          <cell r="FK23">
            <v>1.2</v>
          </cell>
          <cell r="FL23">
            <v>1.2</v>
          </cell>
          <cell r="FM23">
            <v>1.2</v>
          </cell>
          <cell r="FN23">
            <v>1.2</v>
          </cell>
        </row>
        <row r="24">
          <cell r="A24" t="str">
            <v>G3EM2CFO</v>
          </cell>
          <cell r="B24" t="str">
            <v>ESTRELLA DEL MAR 2 CFO</v>
          </cell>
          <cell r="C24">
            <v>103</v>
          </cell>
          <cell r="D24">
            <v>103</v>
          </cell>
          <cell r="E24">
            <v>103</v>
          </cell>
          <cell r="F24">
            <v>103</v>
          </cell>
          <cell r="G24">
            <v>103</v>
          </cell>
          <cell r="H24">
            <v>103</v>
          </cell>
          <cell r="I24">
            <v>103</v>
          </cell>
          <cell r="J24">
            <v>103</v>
          </cell>
          <cell r="K24">
            <v>103</v>
          </cell>
          <cell r="L24">
            <v>103</v>
          </cell>
          <cell r="M24">
            <v>103</v>
          </cell>
          <cell r="N24">
            <v>103</v>
          </cell>
          <cell r="O24">
            <v>103</v>
          </cell>
          <cell r="P24">
            <v>103</v>
          </cell>
          <cell r="Q24">
            <v>103</v>
          </cell>
          <cell r="R24">
            <v>103</v>
          </cell>
          <cell r="S24">
            <v>103</v>
          </cell>
          <cell r="T24">
            <v>103</v>
          </cell>
          <cell r="U24">
            <v>103</v>
          </cell>
          <cell r="V24">
            <v>103</v>
          </cell>
          <cell r="W24">
            <v>103</v>
          </cell>
          <cell r="X24">
            <v>103</v>
          </cell>
          <cell r="Y24">
            <v>103</v>
          </cell>
          <cell r="Z24">
            <v>103</v>
          </cell>
          <cell r="AA24">
            <v>103</v>
          </cell>
          <cell r="AB24">
            <v>103</v>
          </cell>
          <cell r="AC24">
            <v>103</v>
          </cell>
          <cell r="AD24">
            <v>103</v>
          </cell>
          <cell r="AE24">
            <v>103</v>
          </cell>
          <cell r="AF24">
            <v>103</v>
          </cell>
          <cell r="AG24">
            <v>103</v>
          </cell>
          <cell r="AH24">
            <v>103</v>
          </cell>
          <cell r="AI24">
            <v>103</v>
          </cell>
          <cell r="AJ24">
            <v>103</v>
          </cell>
          <cell r="AK24">
            <v>103</v>
          </cell>
          <cell r="AL24">
            <v>103</v>
          </cell>
          <cell r="AM24">
            <v>103</v>
          </cell>
          <cell r="AN24">
            <v>103</v>
          </cell>
          <cell r="AO24">
            <v>103</v>
          </cell>
          <cell r="AP24">
            <v>103</v>
          </cell>
          <cell r="AQ24">
            <v>103</v>
          </cell>
          <cell r="AR24">
            <v>103</v>
          </cell>
          <cell r="AS24">
            <v>103</v>
          </cell>
          <cell r="AT24">
            <v>103</v>
          </cell>
          <cell r="AU24">
            <v>103</v>
          </cell>
          <cell r="AV24">
            <v>103</v>
          </cell>
          <cell r="AW24">
            <v>103</v>
          </cell>
          <cell r="AX24">
            <v>103</v>
          </cell>
          <cell r="AY24">
            <v>103</v>
          </cell>
          <cell r="AZ24">
            <v>103</v>
          </cell>
          <cell r="BA24">
            <v>103</v>
          </cell>
          <cell r="BB24">
            <v>103</v>
          </cell>
          <cell r="BC24">
            <v>103</v>
          </cell>
          <cell r="BD24">
            <v>103</v>
          </cell>
          <cell r="BE24">
            <v>103</v>
          </cell>
          <cell r="BF24">
            <v>103</v>
          </cell>
          <cell r="BG24">
            <v>103</v>
          </cell>
          <cell r="BH24">
            <v>103</v>
          </cell>
          <cell r="BI24">
            <v>103</v>
          </cell>
          <cell r="BJ24">
            <v>103</v>
          </cell>
          <cell r="BK24">
            <v>103</v>
          </cell>
          <cell r="BL24">
            <v>103</v>
          </cell>
          <cell r="BM24">
            <v>103</v>
          </cell>
          <cell r="BN24">
            <v>103</v>
          </cell>
          <cell r="BO24">
            <v>103</v>
          </cell>
          <cell r="BP24">
            <v>103</v>
          </cell>
          <cell r="BQ24">
            <v>103</v>
          </cell>
          <cell r="BR24">
            <v>103</v>
          </cell>
          <cell r="BS24">
            <v>103</v>
          </cell>
          <cell r="BT24">
            <v>103</v>
          </cell>
          <cell r="BU24">
            <v>103</v>
          </cell>
          <cell r="BV24">
            <v>103</v>
          </cell>
          <cell r="BW24">
            <v>103</v>
          </cell>
          <cell r="BX24">
            <v>103</v>
          </cell>
          <cell r="BY24">
            <v>103</v>
          </cell>
          <cell r="BZ24">
            <v>103</v>
          </cell>
          <cell r="CA24">
            <v>103</v>
          </cell>
          <cell r="CB24">
            <v>103</v>
          </cell>
          <cell r="CC24">
            <v>103</v>
          </cell>
          <cell r="CD24">
            <v>103</v>
          </cell>
          <cell r="CE24">
            <v>103</v>
          </cell>
          <cell r="CF24">
            <v>103</v>
          </cell>
          <cell r="CG24">
            <v>103</v>
          </cell>
          <cell r="CH24">
            <v>103</v>
          </cell>
          <cell r="CI24">
            <v>103</v>
          </cell>
          <cell r="CJ24">
            <v>103</v>
          </cell>
          <cell r="CK24">
            <v>103</v>
          </cell>
          <cell r="CL24">
            <v>103</v>
          </cell>
          <cell r="CM24">
            <v>103</v>
          </cell>
          <cell r="CN24">
            <v>103</v>
          </cell>
          <cell r="CO24">
            <v>103</v>
          </cell>
          <cell r="CP24">
            <v>103</v>
          </cell>
          <cell r="CQ24">
            <v>103</v>
          </cell>
          <cell r="CR24">
            <v>103</v>
          </cell>
          <cell r="CS24">
            <v>103</v>
          </cell>
          <cell r="CT24">
            <v>103</v>
          </cell>
          <cell r="CU24">
            <v>103</v>
          </cell>
          <cell r="CV24">
            <v>103</v>
          </cell>
          <cell r="CW24">
            <v>103</v>
          </cell>
          <cell r="CX24">
            <v>103</v>
          </cell>
          <cell r="CY24">
            <v>103</v>
          </cell>
          <cell r="CZ24">
            <v>103</v>
          </cell>
          <cell r="DA24">
            <v>103</v>
          </cell>
          <cell r="DB24">
            <v>103</v>
          </cell>
          <cell r="DC24">
            <v>103</v>
          </cell>
          <cell r="DD24">
            <v>103</v>
          </cell>
          <cell r="DE24">
            <v>103</v>
          </cell>
          <cell r="DF24">
            <v>103</v>
          </cell>
          <cell r="DG24">
            <v>103</v>
          </cell>
          <cell r="DH24">
            <v>103</v>
          </cell>
          <cell r="DI24">
            <v>103</v>
          </cell>
          <cell r="DJ24">
            <v>103</v>
          </cell>
          <cell r="DK24">
            <v>103</v>
          </cell>
          <cell r="DL24">
            <v>103</v>
          </cell>
          <cell r="DM24">
            <v>103</v>
          </cell>
          <cell r="DN24">
            <v>103</v>
          </cell>
          <cell r="DO24">
            <v>103</v>
          </cell>
          <cell r="DP24">
            <v>103</v>
          </cell>
          <cell r="DQ24">
            <v>103</v>
          </cell>
          <cell r="DR24">
            <v>103</v>
          </cell>
          <cell r="DS24">
            <v>103</v>
          </cell>
          <cell r="DT24">
            <v>103</v>
          </cell>
          <cell r="DU24">
            <v>103</v>
          </cell>
          <cell r="DV24">
            <v>103</v>
          </cell>
          <cell r="DW24">
            <v>103</v>
          </cell>
          <cell r="DX24">
            <v>103</v>
          </cell>
          <cell r="DY24">
            <v>103</v>
          </cell>
          <cell r="DZ24">
            <v>103</v>
          </cell>
          <cell r="EA24">
            <v>103</v>
          </cell>
          <cell r="EB24">
            <v>103</v>
          </cell>
          <cell r="EC24">
            <v>103</v>
          </cell>
          <cell r="ED24">
            <v>103</v>
          </cell>
          <cell r="EE24">
            <v>103</v>
          </cell>
          <cell r="EF24">
            <v>103</v>
          </cell>
          <cell r="EG24">
            <v>103</v>
          </cell>
          <cell r="EH24">
            <v>103</v>
          </cell>
          <cell r="EI24">
            <v>103</v>
          </cell>
          <cell r="EJ24">
            <v>103</v>
          </cell>
          <cell r="EK24">
            <v>103</v>
          </cell>
          <cell r="EL24">
            <v>103</v>
          </cell>
          <cell r="EM24">
            <v>103</v>
          </cell>
          <cell r="EN24">
            <v>103</v>
          </cell>
          <cell r="EO24">
            <v>103</v>
          </cell>
          <cell r="EP24">
            <v>103</v>
          </cell>
          <cell r="EQ24">
            <v>103</v>
          </cell>
          <cell r="ER24">
            <v>103</v>
          </cell>
          <cell r="ES24">
            <v>103</v>
          </cell>
          <cell r="ET24">
            <v>103</v>
          </cell>
          <cell r="EU24">
            <v>103</v>
          </cell>
          <cell r="EV24">
            <v>103</v>
          </cell>
          <cell r="EW24">
            <v>103</v>
          </cell>
          <cell r="EX24">
            <v>103</v>
          </cell>
          <cell r="EY24">
            <v>103</v>
          </cell>
          <cell r="EZ24">
            <v>103</v>
          </cell>
          <cell r="FA24">
            <v>103</v>
          </cell>
          <cell r="FB24">
            <v>103</v>
          </cell>
          <cell r="FC24">
            <v>103</v>
          </cell>
          <cell r="FD24">
            <v>103</v>
          </cell>
          <cell r="FE24">
            <v>103</v>
          </cell>
          <cell r="FF24">
            <v>103</v>
          </cell>
          <cell r="FG24">
            <v>103</v>
          </cell>
          <cell r="FH24">
            <v>103</v>
          </cell>
          <cell r="FI24">
            <v>103</v>
          </cell>
          <cell r="FJ24">
            <v>103</v>
          </cell>
          <cell r="FK24">
            <v>103</v>
          </cell>
          <cell r="FL24">
            <v>103</v>
          </cell>
          <cell r="FM24">
            <v>103</v>
          </cell>
          <cell r="FN24">
            <v>103</v>
          </cell>
        </row>
        <row r="25">
          <cell r="A25" t="str">
            <v>G3EM2CGN</v>
          </cell>
          <cell r="B25" t="str">
            <v>ESTRELLA DEL MAR 2 CGN</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EP25">
            <v>0</v>
          </cell>
          <cell r="EQ25">
            <v>0</v>
          </cell>
          <cell r="ER25">
            <v>0</v>
          </cell>
          <cell r="ES25">
            <v>0</v>
          </cell>
          <cell r="ET25">
            <v>0</v>
          </cell>
          <cell r="EU25">
            <v>0</v>
          </cell>
          <cell r="EV25">
            <v>0</v>
          </cell>
          <cell r="EW25">
            <v>0</v>
          </cell>
          <cell r="EX25">
            <v>0</v>
          </cell>
          <cell r="EY25">
            <v>0</v>
          </cell>
          <cell r="EZ25">
            <v>0</v>
          </cell>
          <cell r="FA25">
            <v>0</v>
          </cell>
          <cell r="FB25">
            <v>0</v>
          </cell>
          <cell r="FC25">
            <v>0</v>
          </cell>
          <cell r="FD25">
            <v>0</v>
          </cell>
          <cell r="FE25">
            <v>0</v>
          </cell>
          <cell r="FF25">
            <v>0</v>
          </cell>
          <cell r="FG25">
            <v>0</v>
          </cell>
          <cell r="FH25">
            <v>0</v>
          </cell>
          <cell r="FI25">
            <v>0</v>
          </cell>
          <cell r="FJ25">
            <v>0</v>
          </cell>
          <cell r="FK25">
            <v>0</v>
          </cell>
          <cell r="FL25">
            <v>0</v>
          </cell>
          <cell r="FM25">
            <v>0</v>
          </cell>
          <cell r="FN25">
            <v>0</v>
          </cell>
        </row>
        <row r="26">
          <cell r="A26" t="str">
            <v>G3EM2SFO</v>
          </cell>
          <cell r="B26" t="str">
            <v>ESTRELLA DEL MAR 2 SFO</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cell r="FD26">
            <v>0</v>
          </cell>
          <cell r="FE26">
            <v>0</v>
          </cell>
          <cell r="FF26">
            <v>0</v>
          </cell>
          <cell r="FG26">
            <v>0</v>
          </cell>
          <cell r="FH26">
            <v>0</v>
          </cell>
          <cell r="FI26">
            <v>0</v>
          </cell>
          <cell r="FJ26">
            <v>0</v>
          </cell>
          <cell r="FK26">
            <v>0</v>
          </cell>
          <cell r="FL26">
            <v>0</v>
          </cell>
          <cell r="FM26">
            <v>0</v>
          </cell>
          <cell r="FN26">
            <v>0</v>
          </cell>
        </row>
        <row r="27">
          <cell r="A27" t="str">
            <v>G3EM2SGN</v>
          </cell>
          <cell r="B27" t="str">
            <v>ESTRELLA DEL MAR 2 SGN</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row>
        <row r="28">
          <cell r="A28" t="str">
            <v>G3EMAR3</v>
          </cell>
          <cell r="B28" t="str">
            <v>ESTRELLA DEL MAR 3</v>
          </cell>
          <cell r="C28">
            <v>0</v>
          </cell>
          <cell r="D28">
            <v>0</v>
          </cell>
          <cell r="E28">
            <v>0</v>
          </cell>
          <cell r="F28">
            <v>0</v>
          </cell>
          <cell r="G28">
            <v>0</v>
          </cell>
          <cell r="H28">
            <v>0</v>
          </cell>
          <cell r="I28">
            <v>0</v>
          </cell>
          <cell r="J28">
            <v>5</v>
          </cell>
          <cell r="K28">
            <v>25</v>
          </cell>
          <cell r="L28">
            <v>25</v>
          </cell>
          <cell r="M28">
            <v>25</v>
          </cell>
          <cell r="N28">
            <v>30</v>
          </cell>
          <cell r="O28">
            <v>43</v>
          </cell>
          <cell r="P28">
            <v>43</v>
          </cell>
          <cell r="Q28">
            <v>43</v>
          </cell>
          <cell r="R28">
            <v>43</v>
          </cell>
          <cell r="S28">
            <v>10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10</v>
          </cell>
          <cell r="AI28">
            <v>63</v>
          </cell>
          <cell r="AJ28">
            <v>18</v>
          </cell>
          <cell r="AK28">
            <v>13</v>
          </cell>
          <cell r="AL28">
            <v>13</v>
          </cell>
          <cell r="AM28">
            <v>13</v>
          </cell>
          <cell r="AN28">
            <v>13</v>
          </cell>
          <cell r="AO28">
            <v>13</v>
          </cell>
          <cell r="AP28">
            <v>13</v>
          </cell>
          <cell r="AQ28">
            <v>5</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5</v>
          </cell>
          <cell r="BG28">
            <v>13</v>
          </cell>
          <cell r="BH28">
            <v>13</v>
          </cell>
          <cell r="BI28">
            <v>13</v>
          </cell>
          <cell r="BJ28">
            <v>13</v>
          </cell>
          <cell r="BK28">
            <v>13</v>
          </cell>
          <cell r="BL28">
            <v>13</v>
          </cell>
          <cell r="BM28">
            <v>13</v>
          </cell>
          <cell r="BN28">
            <v>13</v>
          </cell>
          <cell r="BO28">
            <v>5</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5</v>
          </cell>
          <cell r="CE28">
            <v>13</v>
          </cell>
          <cell r="CF28">
            <v>13</v>
          </cell>
          <cell r="CG28">
            <v>13</v>
          </cell>
          <cell r="CH28">
            <v>13</v>
          </cell>
          <cell r="CI28">
            <v>13</v>
          </cell>
          <cell r="CJ28">
            <v>13</v>
          </cell>
          <cell r="CK28">
            <v>13</v>
          </cell>
          <cell r="CL28">
            <v>13</v>
          </cell>
          <cell r="CM28">
            <v>5</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5</v>
          </cell>
          <cell r="DC28">
            <v>13</v>
          </cell>
          <cell r="DD28">
            <v>13</v>
          </cell>
          <cell r="DE28">
            <v>13</v>
          </cell>
          <cell r="DF28">
            <v>13</v>
          </cell>
          <cell r="DG28">
            <v>13</v>
          </cell>
          <cell r="DH28">
            <v>13</v>
          </cell>
          <cell r="DI28">
            <v>13</v>
          </cell>
          <cell r="DJ28">
            <v>13</v>
          </cell>
          <cell r="DK28">
            <v>5</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10</v>
          </cell>
          <cell r="EA28">
            <v>25</v>
          </cell>
          <cell r="EB28">
            <v>25</v>
          </cell>
          <cell r="EC28">
            <v>25</v>
          </cell>
          <cell r="ED28">
            <v>25</v>
          </cell>
          <cell r="EE28">
            <v>25</v>
          </cell>
          <cell r="EF28">
            <v>25</v>
          </cell>
          <cell r="EG28">
            <v>25</v>
          </cell>
          <cell r="EH28">
            <v>25</v>
          </cell>
          <cell r="EI28">
            <v>10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10</v>
          </cell>
          <cell r="EY28">
            <v>25</v>
          </cell>
          <cell r="EZ28">
            <v>25</v>
          </cell>
          <cell r="FA28">
            <v>25</v>
          </cell>
          <cell r="FB28">
            <v>25</v>
          </cell>
          <cell r="FC28">
            <v>25</v>
          </cell>
          <cell r="FD28">
            <v>25</v>
          </cell>
          <cell r="FE28">
            <v>25</v>
          </cell>
          <cell r="FF28">
            <v>25</v>
          </cell>
          <cell r="FG28">
            <v>10</v>
          </cell>
          <cell r="FH28">
            <v>0</v>
          </cell>
          <cell r="FI28">
            <v>0</v>
          </cell>
          <cell r="FJ28">
            <v>0</v>
          </cell>
          <cell r="FK28">
            <v>0</v>
          </cell>
          <cell r="FL28">
            <v>0</v>
          </cell>
          <cell r="FM28">
            <v>0</v>
          </cell>
          <cell r="FN28">
            <v>0</v>
          </cell>
        </row>
        <row r="29">
          <cell r="A29" t="str">
            <v>G3ESALTO</v>
          </cell>
          <cell r="B29" t="str">
            <v>EL SALTO</v>
          </cell>
          <cell r="C29">
            <v>0.4</v>
          </cell>
          <cell r="D29">
            <v>0.4</v>
          </cell>
          <cell r="E29">
            <v>0.4</v>
          </cell>
          <cell r="F29">
            <v>0.4</v>
          </cell>
          <cell r="G29">
            <v>0.4</v>
          </cell>
          <cell r="H29">
            <v>0.4</v>
          </cell>
          <cell r="I29">
            <v>0.4</v>
          </cell>
          <cell r="J29">
            <v>0.4</v>
          </cell>
          <cell r="K29">
            <v>0.4</v>
          </cell>
          <cell r="L29">
            <v>0.4</v>
          </cell>
          <cell r="M29">
            <v>0.4</v>
          </cell>
          <cell r="N29">
            <v>0.4</v>
          </cell>
          <cell r="O29">
            <v>0.4</v>
          </cell>
          <cell r="P29">
            <v>0.4</v>
          </cell>
          <cell r="Q29">
            <v>0.4</v>
          </cell>
          <cell r="R29">
            <v>0.4</v>
          </cell>
          <cell r="S29">
            <v>0.4</v>
          </cell>
          <cell r="T29">
            <v>0.4</v>
          </cell>
          <cell r="U29">
            <v>0.4</v>
          </cell>
          <cell r="V29">
            <v>0.4</v>
          </cell>
          <cell r="W29">
            <v>0.4</v>
          </cell>
          <cell r="X29">
            <v>0.4</v>
          </cell>
          <cell r="Y29">
            <v>0.4</v>
          </cell>
          <cell r="Z29">
            <v>0.4</v>
          </cell>
          <cell r="AA29">
            <v>0.4</v>
          </cell>
          <cell r="AB29">
            <v>0.4</v>
          </cell>
          <cell r="AC29">
            <v>0.4</v>
          </cell>
          <cell r="AD29">
            <v>0.4</v>
          </cell>
          <cell r="AE29">
            <v>0.4</v>
          </cell>
          <cell r="AF29">
            <v>0.4</v>
          </cell>
          <cell r="AG29">
            <v>0.4</v>
          </cell>
          <cell r="AH29">
            <v>0.4</v>
          </cell>
          <cell r="AI29">
            <v>0.4</v>
          </cell>
          <cell r="AJ29">
            <v>0.4</v>
          </cell>
          <cell r="AK29">
            <v>0.4</v>
          </cell>
          <cell r="AL29">
            <v>0.4</v>
          </cell>
          <cell r="AM29">
            <v>0.4</v>
          </cell>
          <cell r="AN29">
            <v>0.4</v>
          </cell>
          <cell r="AO29">
            <v>0.4</v>
          </cell>
          <cell r="AP29">
            <v>0.4</v>
          </cell>
          <cell r="AQ29">
            <v>0.4</v>
          </cell>
          <cell r="AR29">
            <v>0.4</v>
          </cell>
          <cell r="AS29">
            <v>0.4</v>
          </cell>
          <cell r="AT29">
            <v>0.4</v>
          </cell>
          <cell r="AU29">
            <v>0.4</v>
          </cell>
          <cell r="AV29">
            <v>0.4</v>
          </cell>
          <cell r="AW29">
            <v>0.4</v>
          </cell>
          <cell r="AX29">
            <v>0.4</v>
          </cell>
          <cell r="AY29">
            <v>0.4</v>
          </cell>
          <cell r="AZ29">
            <v>0.4</v>
          </cell>
          <cell r="BA29">
            <v>0.4</v>
          </cell>
          <cell r="BB29">
            <v>0.4</v>
          </cell>
          <cell r="BC29">
            <v>0.4</v>
          </cell>
          <cell r="BD29">
            <v>0.4</v>
          </cell>
          <cell r="BE29">
            <v>0.4</v>
          </cell>
          <cell r="BF29">
            <v>0.4</v>
          </cell>
          <cell r="BG29">
            <v>0.4</v>
          </cell>
          <cell r="BH29">
            <v>0.4</v>
          </cell>
          <cell r="BI29">
            <v>0.4</v>
          </cell>
          <cell r="BJ29">
            <v>0.4</v>
          </cell>
          <cell r="BK29">
            <v>0.4</v>
          </cell>
          <cell r="BL29">
            <v>0.4</v>
          </cell>
          <cell r="BM29">
            <v>0.4</v>
          </cell>
          <cell r="BN29">
            <v>0.4</v>
          </cell>
          <cell r="BO29">
            <v>0.4</v>
          </cell>
          <cell r="BP29">
            <v>0.4</v>
          </cell>
          <cell r="BQ29">
            <v>0.4</v>
          </cell>
          <cell r="BR29">
            <v>0.4</v>
          </cell>
          <cell r="BS29">
            <v>0.4</v>
          </cell>
          <cell r="BT29">
            <v>0.4</v>
          </cell>
          <cell r="BU29">
            <v>0.4</v>
          </cell>
          <cell r="BV29">
            <v>0.4</v>
          </cell>
          <cell r="BW29">
            <v>0.4</v>
          </cell>
          <cell r="BX29">
            <v>0.4</v>
          </cell>
          <cell r="BY29">
            <v>0.4</v>
          </cell>
          <cell r="BZ29">
            <v>0.4</v>
          </cell>
          <cell r="CA29">
            <v>0.4</v>
          </cell>
          <cell r="CB29">
            <v>0.4</v>
          </cell>
          <cell r="CC29">
            <v>0.4</v>
          </cell>
          <cell r="CD29">
            <v>0.4</v>
          </cell>
          <cell r="CE29">
            <v>0.4</v>
          </cell>
          <cell r="CF29">
            <v>0.4</v>
          </cell>
          <cell r="CG29">
            <v>0.4</v>
          </cell>
          <cell r="CH29">
            <v>0.4</v>
          </cell>
          <cell r="CI29">
            <v>0.4</v>
          </cell>
          <cell r="CJ29">
            <v>0.4</v>
          </cell>
          <cell r="CK29">
            <v>0.4</v>
          </cell>
          <cell r="CL29">
            <v>0.4</v>
          </cell>
          <cell r="CM29">
            <v>0.4</v>
          </cell>
          <cell r="CN29">
            <v>0.4</v>
          </cell>
          <cell r="CO29">
            <v>0.4</v>
          </cell>
          <cell r="CP29">
            <v>0.4</v>
          </cell>
          <cell r="CQ29">
            <v>0.4</v>
          </cell>
          <cell r="CR29">
            <v>0.4</v>
          </cell>
          <cell r="CS29">
            <v>0.4</v>
          </cell>
          <cell r="CT29">
            <v>0.4</v>
          </cell>
          <cell r="CU29">
            <v>0.4</v>
          </cell>
          <cell r="CV29">
            <v>0.4</v>
          </cell>
          <cell r="CW29">
            <v>0.4</v>
          </cell>
          <cell r="CX29">
            <v>0.4</v>
          </cell>
          <cell r="CY29">
            <v>0.4</v>
          </cell>
          <cell r="CZ29">
            <v>0.4</v>
          </cell>
          <cell r="DA29">
            <v>0.4</v>
          </cell>
          <cell r="DB29">
            <v>0.4</v>
          </cell>
          <cell r="DC29">
            <v>0.4</v>
          </cell>
          <cell r="DD29">
            <v>0.4</v>
          </cell>
          <cell r="DE29">
            <v>0.4</v>
          </cell>
          <cell r="DF29">
            <v>0.4</v>
          </cell>
          <cell r="DG29">
            <v>0.4</v>
          </cell>
          <cell r="DH29">
            <v>0.4</v>
          </cell>
          <cell r="DI29">
            <v>0.4</v>
          </cell>
          <cell r="DJ29">
            <v>0.4</v>
          </cell>
          <cell r="DK29">
            <v>0.4</v>
          </cell>
          <cell r="DL29">
            <v>0.4</v>
          </cell>
          <cell r="DM29">
            <v>0.4</v>
          </cell>
          <cell r="DN29">
            <v>0.4</v>
          </cell>
          <cell r="DO29">
            <v>0.4</v>
          </cell>
          <cell r="DP29">
            <v>0.4</v>
          </cell>
          <cell r="DQ29">
            <v>0.4</v>
          </cell>
          <cell r="DR29">
            <v>0.4</v>
          </cell>
          <cell r="DS29">
            <v>0.4</v>
          </cell>
          <cell r="DT29">
            <v>0.4</v>
          </cell>
          <cell r="DU29">
            <v>0.4</v>
          </cell>
          <cell r="DV29">
            <v>0.4</v>
          </cell>
          <cell r="DW29">
            <v>0.4</v>
          </cell>
          <cell r="DX29">
            <v>0.4</v>
          </cell>
          <cell r="DY29">
            <v>0.4</v>
          </cell>
          <cell r="DZ29">
            <v>0.4</v>
          </cell>
          <cell r="EA29">
            <v>0.4</v>
          </cell>
          <cell r="EB29">
            <v>0.4</v>
          </cell>
          <cell r="EC29">
            <v>0.4</v>
          </cell>
          <cell r="ED29">
            <v>0.4</v>
          </cell>
          <cell r="EE29">
            <v>0.4</v>
          </cell>
          <cell r="EF29">
            <v>0.4</v>
          </cell>
          <cell r="EG29">
            <v>0.4</v>
          </cell>
          <cell r="EH29">
            <v>0.4</v>
          </cell>
          <cell r="EI29">
            <v>0.4</v>
          </cell>
          <cell r="EJ29">
            <v>0.4</v>
          </cell>
          <cell r="EK29">
            <v>0.4</v>
          </cell>
          <cell r="EL29">
            <v>0.4</v>
          </cell>
          <cell r="EM29">
            <v>0.4</v>
          </cell>
          <cell r="EN29">
            <v>0.4</v>
          </cell>
          <cell r="EO29">
            <v>0.4</v>
          </cell>
          <cell r="EP29">
            <v>0.4</v>
          </cell>
          <cell r="EQ29">
            <v>0.4</v>
          </cell>
          <cell r="ER29">
            <v>0.4</v>
          </cell>
          <cell r="ES29">
            <v>0.4</v>
          </cell>
          <cell r="ET29">
            <v>0.4</v>
          </cell>
          <cell r="EU29">
            <v>0.4</v>
          </cell>
          <cell r="EV29">
            <v>0.4</v>
          </cell>
          <cell r="EW29">
            <v>0.4</v>
          </cell>
          <cell r="EX29">
            <v>0.4</v>
          </cell>
          <cell r="EY29">
            <v>0.4</v>
          </cell>
          <cell r="EZ29">
            <v>0.4</v>
          </cell>
          <cell r="FA29">
            <v>0.4</v>
          </cell>
          <cell r="FB29">
            <v>0.4</v>
          </cell>
          <cell r="FC29">
            <v>0.4</v>
          </cell>
          <cell r="FD29">
            <v>0.4</v>
          </cell>
          <cell r="FE29">
            <v>0.4</v>
          </cell>
          <cell r="FF29">
            <v>0.4</v>
          </cell>
          <cell r="FG29">
            <v>0.4</v>
          </cell>
          <cell r="FH29">
            <v>0.4</v>
          </cell>
          <cell r="FI29">
            <v>0.4</v>
          </cell>
          <cell r="FJ29">
            <v>0.4</v>
          </cell>
          <cell r="FK29">
            <v>0.4</v>
          </cell>
          <cell r="FL29">
            <v>0.4</v>
          </cell>
          <cell r="FM29">
            <v>0.4</v>
          </cell>
          <cell r="FN29">
            <v>0.4</v>
          </cell>
        </row>
        <row r="30">
          <cell r="A30" t="str">
            <v>G3HATIL2</v>
          </cell>
          <cell r="B30" t="str">
            <v>HATILLO 2</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row>
        <row r="31">
          <cell r="A31" t="str">
            <v>G3HATILL</v>
          </cell>
          <cell r="B31" t="str">
            <v>HATILLO</v>
          </cell>
          <cell r="C31">
            <v>8</v>
          </cell>
          <cell r="D31">
            <v>8</v>
          </cell>
          <cell r="E31">
            <v>8</v>
          </cell>
          <cell r="F31">
            <v>8</v>
          </cell>
          <cell r="G31">
            <v>8</v>
          </cell>
          <cell r="H31">
            <v>8</v>
          </cell>
          <cell r="I31">
            <v>8</v>
          </cell>
          <cell r="J31">
            <v>8</v>
          </cell>
          <cell r="K31">
            <v>8</v>
          </cell>
          <cell r="L31">
            <v>8</v>
          </cell>
          <cell r="M31">
            <v>8</v>
          </cell>
          <cell r="N31">
            <v>8</v>
          </cell>
          <cell r="O31">
            <v>8</v>
          </cell>
          <cell r="P31">
            <v>8</v>
          </cell>
          <cell r="Q31">
            <v>8</v>
          </cell>
          <cell r="R31">
            <v>8</v>
          </cell>
          <cell r="S31">
            <v>8</v>
          </cell>
          <cell r="T31">
            <v>8</v>
          </cell>
          <cell r="U31">
            <v>8</v>
          </cell>
          <cell r="V31">
            <v>8</v>
          </cell>
          <cell r="W31">
            <v>8</v>
          </cell>
          <cell r="X31">
            <v>8</v>
          </cell>
          <cell r="Y31">
            <v>8</v>
          </cell>
          <cell r="Z31">
            <v>8</v>
          </cell>
          <cell r="AA31">
            <v>8</v>
          </cell>
          <cell r="AB31">
            <v>8</v>
          </cell>
          <cell r="AC31">
            <v>8</v>
          </cell>
          <cell r="AD31">
            <v>8</v>
          </cell>
          <cell r="AE31">
            <v>8</v>
          </cell>
          <cell r="AF31">
            <v>8</v>
          </cell>
          <cell r="AG31">
            <v>8</v>
          </cell>
          <cell r="AH31">
            <v>8</v>
          </cell>
          <cell r="AI31">
            <v>8</v>
          </cell>
          <cell r="AJ31">
            <v>8</v>
          </cell>
          <cell r="AK31">
            <v>8</v>
          </cell>
          <cell r="AL31">
            <v>8</v>
          </cell>
          <cell r="AM31">
            <v>8</v>
          </cell>
          <cell r="AN31">
            <v>8</v>
          </cell>
          <cell r="AO31">
            <v>8</v>
          </cell>
          <cell r="AP31">
            <v>8</v>
          </cell>
          <cell r="AQ31">
            <v>8</v>
          </cell>
          <cell r="AR31">
            <v>8</v>
          </cell>
          <cell r="AS31">
            <v>8</v>
          </cell>
          <cell r="AT31">
            <v>8</v>
          </cell>
          <cell r="AU31">
            <v>8</v>
          </cell>
          <cell r="AV31">
            <v>8</v>
          </cell>
          <cell r="AW31">
            <v>8</v>
          </cell>
          <cell r="AX31">
            <v>8</v>
          </cell>
          <cell r="AY31">
            <v>8</v>
          </cell>
          <cell r="AZ31">
            <v>8</v>
          </cell>
          <cell r="BA31">
            <v>8</v>
          </cell>
          <cell r="BB31">
            <v>8</v>
          </cell>
          <cell r="BC31">
            <v>8</v>
          </cell>
          <cell r="BD31">
            <v>8</v>
          </cell>
          <cell r="BE31">
            <v>8</v>
          </cell>
          <cell r="BF31">
            <v>8</v>
          </cell>
          <cell r="BG31">
            <v>8</v>
          </cell>
          <cell r="BH31">
            <v>8</v>
          </cell>
          <cell r="BI31">
            <v>8</v>
          </cell>
          <cell r="BJ31">
            <v>8</v>
          </cell>
          <cell r="BK31">
            <v>8</v>
          </cell>
          <cell r="BL31">
            <v>8</v>
          </cell>
          <cell r="BM31">
            <v>8</v>
          </cell>
          <cell r="BN31">
            <v>8</v>
          </cell>
          <cell r="BO31">
            <v>8</v>
          </cell>
          <cell r="BP31">
            <v>8</v>
          </cell>
          <cell r="BQ31">
            <v>8</v>
          </cell>
          <cell r="BR31">
            <v>8</v>
          </cell>
          <cell r="BS31">
            <v>8</v>
          </cell>
          <cell r="BT31">
            <v>8</v>
          </cell>
          <cell r="BU31">
            <v>8</v>
          </cell>
          <cell r="BV31">
            <v>8</v>
          </cell>
          <cell r="BW31">
            <v>8</v>
          </cell>
          <cell r="BX31">
            <v>8</v>
          </cell>
          <cell r="BY31">
            <v>8</v>
          </cell>
          <cell r="BZ31">
            <v>8</v>
          </cell>
          <cell r="CA31">
            <v>8</v>
          </cell>
          <cell r="CB31">
            <v>8</v>
          </cell>
          <cell r="CC31">
            <v>8</v>
          </cell>
          <cell r="CD31">
            <v>8</v>
          </cell>
          <cell r="CE31">
            <v>8</v>
          </cell>
          <cell r="CF31">
            <v>8</v>
          </cell>
          <cell r="CG31">
            <v>8</v>
          </cell>
          <cell r="CH31">
            <v>8</v>
          </cell>
          <cell r="CI31">
            <v>8</v>
          </cell>
          <cell r="CJ31">
            <v>8</v>
          </cell>
          <cell r="CK31">
            <v>8</v>
          </cell>
          <cell r="CL31">
            <v>8</v>
          </cell>
          <cell r="CM31">
            <v>8</v>
          </cell>
          <cell r="CN31">
            <v>8</v>
          </cell>
          <cell r="CO31">
            <v>8</v>
          </cell>
          <cell r="CP31">
            <v>8</v>
          </cell>
          <cell r="CQ31">
            <v>8</v>
          </cell>
          <cell r="CR31">
            <v>8</v>
          </cell>
          <cell r="CS31">
            <v>8</v>
          </cell>
          <cell r="CT31">
            <v>8</v>
          </cell>
          <cell r="CU31">
            <v>8</v>
          </cell>
          <cell r="CV31">
            <v>8</v>
          </cell>
          <cell r="CW31">
            <v>8</v>
          </cell>
          <cell r="CX31">
            <v>8</v>
          </cell>
          <cell r="CY31">
            <v>8</v>
          </cell>
          <cell r="CZ31">
            <v>8</v>
          </cell>
          <cell r="DA31">
            <v>8</v>
          </cell>
          <cell r="DB31">
            <v>8</v>
          </cell>
          <cell r="DC31">
            <v>8</v>
          </cell>
          <cell r="DD31">
            <v>8</v>
          </cell>
          <cell r="DE31">
            <v>8</v>
          </cell>
          <cell r="DF31">
            <v>8</v>
          </cell>
          <cell r="DG31">
            <v>8</v>
          </cell>
          <cell r="DH31">
            <v>8</v>
          </cell>
          <cell r="DI31">
            <v>8</v>
          </cell>
          <cell r="DJ31">
            <v>8</v>
          </cell>
          <cell r="DK31">
            <v>8</v>
          </cell>
          <cell r="DL31">
            <v>8</v>
          </cell>
          <cell r="DM31">
            <v>8</v>
          </cell>
          <cell r="DN31">
            <v>8</v>
          </cell>
          <cell r="DO31">
            <v>8</v>
          </cell>
          <cell r="DP31">
            <v>8</v>
          </cell>
          <cell r="DQ31">
            <v>8</v>
          </cell>
          <cell r="DR31">
            <v>8</v>
          </cell>
          <cell r="DS31">
            <v>8</v>
          </cell>
          <cell r="DT31">
            <v>8</v>
          </cell>
          <cell r="DU31">
            <v>8</v>
          </cell>
          <cell r="DV31">
            <v>8</v>
          </cell>
          <cell r="DW31">
            <v>8</v>
          </cell>
          <cell r="DX31">
            <v>8</v>
          </cell>
          <cell r="DY31">
            <v>8</v>
          </cell>
          <cell r="DZ31">
            <v>8</v>
          </cell>
          <cell r="EA31">
            <v>8</v>
          </cell>
          <cell r="EB31">
            <v>8</v>
          </cell>
          <cell r="EC31">
            <v>8</v>
          </cell>
          <cell r="ED31">
            <v>8</v>
          </cell>
          <cell r="EE31">
            <v>8</v>
          </cell>
          <cell r="EF31">
            <v>8</v>
          </cell>
          <cell r="EG31">
            <v>8</v>
          </cell>
          <cell r="EH31">
            <v>8</v>
          </cell>
          <cell r="EI31">
            <v>8</v>
          </cell>
          <cell r="EJ31">
            <v>8</v>
          </cell>
          <cell r="EK31">
            <v>8</v>
          </cell>
          <cell r="EL31">
            <v>8</v>
          </cell>
          <cell r="EM31">
            <v>8</v>
          </cell>
          <cell r="EN31">
            <v>8</v>
          </cell>
          <cell r="EO31">
            <v>8</v>
          </cell>
          <cell r="EP31">
            <v>8</v>
          </cell>
          <cell r="EQ31">
            <v>8</v>
          </cell>
          <cell r="ER31">
            <v>8</v>
          </cell>
          <cell r="ES31">
            <v>8</v>
          </cell>
          <cell r="ET31">
            <v>8</v>
          </cell>
          <cell r="EU31">
            <v>8</v>
          </cell>
          <cell r="EV31">
            <v>8</v>
          </cell>
          <cell r="EW31">
            <v>8</v>
          </cell>
          <cell r="EX31">
            <v>8</v>
          </cell>
          <cell r="EY31">
            <v>8</v>
          </cell>
          <cell r="EZ31">
            <v>8</v>
          </cell>
          <cell r="FA31">
            <v>8</v>
          </cell>
          <cell r="FB31">
            <v>8</v>
          </cell>
          <cell r="FC31">
            <v>8</v>
          </cell>
          <cell r="FD31">
            <v>8</v>
          </cell>
          <cell r="FE31">
            <v>8</v>
          </cell>
          <cell r="FF31">
            <v>8</v>
          </cell>
          <cell r="FG31">
            <v>8</v>
          </cell>
          <cell r="FH31">
            <v>8</v>
          </cell>
          <cell r="FI31">
            <v>8</v>
          </cell>
          <cell r="FJ31">
            <v>8</v>
          </cell>
          <cell r="FK31">
            <v>8</v>
          </cell>
          <cell r="FL31">
            <v>8</v>
          </cell>
          <cell r="FM31">
            <v>8</v>
          </cell>
          <cell r="FN31">
            <v>8</v>
          </cell>
        </row>
        <row r="32">
          <cell r="A32" t="str">
            <v>G3HTG</v>
          </cell>
          <cell r="B32" t="str">
            <v>HAINA TG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row>
        <row r="33">
          <cell r="A33" t="str">
            <v>G3IKM22</v>
          </cell>
          <cell r="B33" t="str">
            <v>INCA KM22</v>
          </cell>
          <cell r="C33">
            <v>14.4</v>
          </cell>
          <cell r="D33">
            <v>14.4</v>
          </cell>
          <cell r="E33">
            <v>14.4</v>
          </cell>
          <cell r="F33">
            <v>14.4</v>
          </cell>
          <cell r="G33">
            <v>14.4</v>
          </cell>
          <cell r="H33">
            <v>14.4</v>
          </cell>
          <cell r="I33">
            <v>14.4</v>
          </cell>
          <cell r="J33">
            <v>14.4</v>
          </cell>
          <cell r="K33">
            <v>14.4</v>
          </cell>
          <cell r="L33">
            <v>14.4</v>
          </cell>
          <cell r="M33">
            <v>14.4</v>
          </cell>
          <cell r="N33">
            <v>14.4</v>
          </cell>
          <cell r="O33">
            <v>14.4</v>
          </cell>
          <cell r="P33">
            <v>14.4</v>
          </cell>
          <cell r="Q33">
            <v>14.4</v>
          </cell>
          <cell r="R33">
            <v>14.4</v>
          </cell>
          <cell r="S33">
            <v>14.4</v>
          </cell>
          <cell r="T33">
            <v>14.4</v>
          </cell>
          <cell r="U33">
            <v>14.4</v>
          </cell>
          <cell r="V33">
            <v>14.4</v>
          </cell>
          <cell r="W33">
            <v>14.4</v>
          </cell>
          <cell r="X33">
            <v>14.4</v>
          </cell>
          <cell r="Y33">
            <v>14.4</v>
          </cell>
          <cell r="Z33">
            <v>14.4</v>
          </cell>
          <cell r="AA33">
            <v>14.4</v>
          </cell>
          <cell r="AB33">
            <v>14.4</v>
          </cell>
          <cell r="AC33">
            <v>14.4</v>
          </cell>
          <cell r="AD33">
            <v>14.4</v>
          </cell>
          <cell r="AE33">
            <v>14.4</v>
          </cell>
          <cell r="AF33">
            <v>14.4</v>
          </cell>
          <cell r="AG33">
            <v>14.4</v>
          </cell>
          <cell r="AH33">
            <v>14.4</v>
          </cell>
          <cell r="AI33">
            <v>14.4</v>
          </cell>
          <cell r="AJ33">
            <v>14.4</v>
          </cell>
          <cell r="AK33">
            <v>14.4</v>
          </cell>
          <cell r="AL33">
            <v>14.4</v>
          </cell>
          <cell r="AM33">
            <v>14.4</v>
          </cell>
          <cell r="AN33">
            <v>14.4</v>
          </cell>
          <cell r="AO33">
            <v>14.4</v>
          </cell>
          <cell r="AP33">
            <v>14.4</v>
          </cell>
          <cell r="AQ33">
            <v>14.4</v>
          </cell>
          <cell r="AR33">
            <v>14.4</v>
          </cell>
          <cell r="AS33">
            <v>14.4</v>
          </cell>
          <cell r="AT33">
            <v>14.4</v>
          </cell>
          <cell r="AU33">
            <v>14.4</v>
          </cell>
          <cell r="AV33">
            <v>14.4</v>
          </cell>
          <cell r="AW33">
            <v>14.4</v>
          </cell>
          <cell r="AX33">
            <v>14.4</v>
          </cell>
          <cell r="AY33">
            <v>14.4</v>
          </cell>
          <cell r="AZ33">
            <v>14.4</v>
          </cell>
          <cell r="BA33">
            <v>14.4</v>
          </cell>
          <cell r="BB33">
            <v>14.4</v>
          </cell>
          <cell r="BC33">
            <v>14.4</v>
          </cell>
          <cell r="BD33">
            <v>14.4</v>
          </cell>
          <cell r="BE33">
            <v>14.4</v>
          </cell>
          <cell r="BF33">
            <v>14.4</v>
          </cell>
          <cell r="BG33">
            <v>14.4</v>
          </cell>
          <cell r="BH33">
            <v>14.4</v>
          </cell>
          <cell r="BI33">
            <v>14.4</v>
          </cell>
          <cell r="BJ33">
            <v>14.4</v>
          </cell>
          <cell r="BK33">
            <v>14.4</v>
          </cell>
          <cell r="BL33">
            <v>14.4</v>
          </cell>
          <cell r="BM33">
            <v>14.4</v>
          </cell>
          <cell r="BN33">
            <v>14.4</v>
          </cell>
          <cell r="BO33">
            <v>14.4</v>
          </cell>
          <cell r="BP33">
            <v>14.4</v>
          </cell>
          <cell r="BQ33">
            <v>14.4</v>
          </cell>
          <cell r="BR33">
            <v>14.4</v>
          </cell>
          <cell r="BS33">
            <v>14.4</v>
          </cell>
          <cell r="BT33">
            <v>14.4</v>
          </cell>
          <cell r="BU33">
            <v>14.4</v>
          </cell>
          <cell r="BV33">
            <v>14.4</v>
          </cell>
          <cell r="BW33">
            <v>14.4</v>
          </cell>
          <cell r="BX33">
            <v>14.4</v>
          </cell>
          <cell r="BY33">
            <v>14.4</v>
          </cell>
          <cell r="BZ33">
            <v>14.4</v>
          </cell>
          <cell r="CA33">
            <v>14.4</v>
          </cell>
          <cell r="CB33">
            <v>14.4</v>
          </cell>
          <cell r="CC33">
            <v>14.4</v>
          </cell>
          <cell r="CD33">
            <v>14.4</v>
          </cell>
          <cell r="CE33">
            <v>14.4</v>
          </cell>
          <cell r="CF33">
            <v>14.4</v>
          </cell>
          <cell r="CG33">
            <v>14.4</v>
          </cell>
          <cell r="CH33">
            <v>14.4</v>
          </cell>
          <cell r="CI33">
            <v>14.4</v>
          </cell>
          <cell r="CJ33">
            <v>14.4</v>
          </cell>
          <cell r="CK33">
            <v>14.4</v>
          </cell>
          <cell r="CL33">
            <v>14.4</v>
          </cell>
          <cell r="CM33">
            <v>14.4</v>
          </cell>
          <cell r="CN33">
            <v>14.4</v>
          </cell>
          <cell r="CO33">
            <v>14.4</v>
          </cell>
          <cell r="CP33">
            <v>14.4</v>
          </cell>
          <cell r="CQ33">
            <v>14.4</v>
          </cell>
          <cell r="CR33">
            <v>14.4</v>
          </cell>
          <cell r="CS33">
            <v>14.4</v>
          </cell>
          <cell r="CT33">
            <v>14.4</v>
          </cell>
          <cell r="CU33">
            <v>14.4</v>
          </cell>
          <cell r="CV33">
            <v>14.4</v>
          </cell>
          <cell r="CW33">
            <v>14.4</v>
          </cell>
          <cell r="CX33">
            <v>14.4</v>
          </cell>
          <cell r="CY33">
            <v>14.4</v>
          </cell>
          <cell r="CZ33">
            <v>14.4</v>
          </cell>
          <cell r="DA33">
            <v>14.4</v>
          </cell>
          <cell r="DB33">
            <v>14.4</v>
          </cell>
          <cell r="DC33">
            <v>14.4</v>
          </cell>
          <cell r="DD33">
            <v>14.4</v>
          </cell>
          <cell r="DE33">
            <v>14.4</v>
          </cell>
          <cell r="DF33">
            <v>14.4</v>
          </cell>
          <cell r="DG33">
            <v>14.4</v>
          </cell>
          <cell r="DH33">
            <v>14.4</v>
          </cell>
          <cell r="DI33">
            <v>14.4</v>
          </cell>
          <cell r="DJ33">
            <v>14.4</v>
          </cell>
          <cell r="DK33">
            <v>14.4</v>
          </cell>
          <cell r="DL33">
            <v>14.4</v>
          </cell>
          <cell r="DM33">
            <v>14.4</v>
          </cell>
          <cell r="DN33">
            <v>14.4</v>
          </cell>
          <cell r="DO33">
            <v>14.4</v>
          </cell>
          <cell r="DP33">
            <v>14.4</v>
          </cell>
          <cell r="DQ33">
            <v>14.4</v>
          </cell>
          <cell r="DR33">
            <v>14.4</v>
          </cell>
          <cell r="DS33">
            <v>14.4</v>
          </cell>
          <cell r="DT33">
            <v>14.4</v>
          </cell>
          <cell r="DU33">
            <v>14.4</v>
          </cell>
          <cell r="DV33">
            <v>14.4</v>
          </cell>
          <cell r="DW33">
            <v>14.4</v>
          </cell>
          <cell r="DX33">
            <v>14.4</v>
          </cell>
          <cell r="DY33">
            <v>14.4</v>
          </cell>
          <cell r="DZ33">
            <v>14.4</v>
          </cell>
          <cell r="EA33">
            <v>14.4</v>
          </cell>
          <cell r="EB33">
            <v>14.4</v>
          </cell>
          <cell r="EC33">
            <v>14.4</v>
          </cell>
          <cell r="ED33">
            <v>14.4</v>
          </cell>
          <cell r="EE33">
            <v>14.4</v>
          </cell>
          <cell r="EF33">
            <v>14.4</v>
          </cell>
          <cell r="EG33">
            <v>14.4</v>
          </cell>
          <cell r="EH33">
            <v>14.4</v>
          </cell>
          <cell r="EI33">
            <v>14.4</v>
          </cell>
          <cell r="EJ33">
            <v>14.4</v>
          </cell>
          <cell r="EK33">
            <v>14.4</v>
          </cell>
          <cell r="EL33">
            <v>14.4</v>
          </cell>
          <cell r="EM33">
            <v>14.4</v>
          </cell>
          <cell r="EN33">
            <v>14.4</v>
          </cell>
          <cell r="EO33">
            <v>14.4</v>
          </cell>
          <cell r="EP33">
            <v>14.4</v>
          </cell>
          <cell r="EQ33">
            <v>14.4</v>
          </cell>
          <cell r="ER33">
            <v>14.4</v>
          </cell>
          <cell r="ES33">
            <v>14.4</v>
          </cell>
          <cell r="ET33">
            <v>14.4</v>
          </cell>
          <cell r="EU33">
            <v>14.4</v>
          </cell>
          <cell r="EV33">
            <v>14.4</v>
          </cell>
          <cell r="EW33">
            <v>14.4</v>
          </cell>
          <cell r="EX33">
            <v>14.4</v>
          </cell>
          <cell r="EY33">
            <v>14.4</v>
          </cell>
          <cell r="EZ33">
            <v>14.4</v>
          </cell>
          <cell r="FA33">
            <v>14.4</v>
          </cell>
          <cell r="FB33">
            <v>14.4</v>
          </cell>
          <cell r="FC33">
            <v>14.4</v>
          </cell>
          <cell r="FD33">
            <v>14.4</v>
          </cell>
          <cell r="FE33">
            <v>14.4</v>
          </cell>
          <cell r="FF33">
            <v>14.4</v>
          </cell>
          <cell r="FG33">
            <v>14.4</v>
          </cell>
          <cell r="FH33">
            <v>14.4</v>
          </cell>
          <cell r="FI33">
            <v>14.4</v>
          </cell>
          <cell r="FJ33">
            <v>14.4</v>
          </cell>
          <cell r="FK33">
            <v>14.4</v>
          </cell>
          <cell r="FL33">
            <v>14.4</v>
          </cell>
          <cell r="FM33">
            <v>14.4</v>
          </cell>
          <cell r="FN33">
            <v>14.4</v>
          </cell>
        </row>
        <row r="34">
          <cell r="A34" t="str">
            <v>G3ITABO1</v>
          </cell>
          <cell r="B34" t="str">
            <v>ITABO 1</v>
          </cell>
          <cell r="C34">
            <v>120</v>
          </cell>
          <cell r="D34">
            <v>120</v>
          </cell>
          <cell r="E34">
            <v>120</v>
          </cell>
          <cell r="F34">
            <v>120</v>
          </cell>
          <cell r="G34">
            <v>120</v>
          </cell>
          <cell r="H34">
            <v>120</v>
          </cell>
          <cell r="I34">
            <v>120</v>
          </cell>
          <cell r="J34">
            <v>120</v>
          </cell>
          <cell r="K34">
            <v>120</v>
          </cell>
          <cell r="L34">
            <v>120</v>
          </cell>
          <cell r="M34">
            <v>120</v>
          </cell>
          <cell r="N34">
            <v>120</v>
          </cell>
          <cell r="O34">
            <v>120</v>
          </cell>
          <cell r="P34">
            <v>120</v>
          </cell>
          <cell r="Q34">
            <v>120</v>
          </cell>
          <cell r="R34">
            <v>120</v>
          </cell>
          <cell r="S34">
            <v>120</v>
          </cell>
          <cell r="T34">
            <v>120</v>
          </cell>
          <cell r="U34">
            <v>120</v>
          </cell>
          <cell r="V34">
            <v>120</v>
          </cell>
          <cell r="W34">
            <v>120</v>
          </cell>
          <cell r="X34">
            <v>120</v>
          </cell>
          <cell r="Y34">
            <v>120</v>
          </cell>
          <cell r="Z34">
            <v>120</v>
          </cell>
          <cell r="AA34">
            <v>120</v>
          </cell>
          <cell r="AB34">
            <v>120</v>
          </cell>
          <cell r="AC34">
            <v>120</v>
          </cell>
          <cell r="AD34">
            <v>120</v>
          </cell>
          <cell r="AE34">
            <v>120</v>
          </cell>
          <cell r="AF34">
            <v>120</v>
          </cell>
          <cell r="AG34">
            <v>120</v>
          </cell>
          <cell r="AH34">
            <v>120</v>
          </cell>
          <cell r="AI34">
            <v>120</v>
          </cell>
          <cell r="AJ34">
            <v>120</v>
          </cell>
          <cell r="AK34">
            <v>120</v>
          </cell>
          <cell r="AL34">
            <v>120</v>
          </cell>
          <cell r="AM34">
            <v>120</v>
          </cell>
          <cell r="AN34">
            <v>120</v>
          </cell>
          <cell r="AO34">
            <v>120</v>
          </cell>
          <cell r="AP34">
            <v>120</v>
          </cell>
          <cell r="AQ34">
            <v>120</v>
          </cell>
          <cell r="AR34">
            <v>120</v>
          </cell>
          <cell r="AS34">
            <v>120</v>
          </cell>
          <cell r="AT34">
            <v>120</v>
          </cell>
          <cell r="AU34">
            <v>120</v>
          </cell>
          <cell r="AV34">
            <v>120</v>
          </cell>
          <cell r="AW34">
            <v>120</v>
          </cell>
          <cell r="AX34">
            <v>120</v>
          </cell>
          <cell r="AY34">
            <v>120</v>
          </cell>
          <cell r="AZ34">
            <v>120</v>
          </cell>
          <cell r="BA34">
            <v>120</v>
          </cell>
          <cell r="BB34">
            <v>120</v>
          </cell>
          <cell r="BC34">
            <v>120</v>
          </cell>
          <cell r="BD34">
            <v>120</v>
          </cell>
          <cell r="BE34">
            <v>120</v>
          </cell>
          <cell r="BF34">
            <v>120</v>
          </cell>
          <cell r="BG34">
            <v>120</v>
          </cell>
          <cell r="BH34">
            <v>120</v>
          </cell>
          <cell r="BI34">
            <v>120</v>
          </cell>
          <cell r="BJ34">
            <v>120</v>
          </cell>
          <cell r="BK34">
            <v>120</v>
          </cell>
          <cell r="BL34">
            <v>120</v>
          </cell>
          <cell r="BM34">
            <v>120</v>
          </cell>
          <cell r="BN34">
            <v>120</v>
          </cell>
          <cell r="BO34">
            <v>120</v>
          </cell>
          <cell r="BP34">
            <v>120</v>
          </cell>
          <cell r="BQ34">
            <v>120</v>
          </cell>
          <cell r="BR34">
            <v>120</v>
          </cell>
          <cell r="BS34">
            <v>120</v>
          </cell>
          <cell r="BT34">
            <v>120</v>
          </cell>
          <cell r="BU34">
            <v>120</v>
          </cell>
          <cell r="BV34">
            <v>120</v>
          </cell>
          <cell r="BW34">
            <v>120</v>
          </cell>
          <cell r="BX34">
            <v>120</v>
          </cell>
          <cell r="BY34">
            <v>120</v>
          </cell>
          <cell r="BZ34">
            <v>120</v>
          </cell>
          <cell r="CA34">
            <v>120</v>
          </cell>
          <cell r="CB34">
            <v>120</v>
          </cell>
          <cell r="CC34">
            <v>120</v>
          </cell>
          <cell r="CD34">
            <v>120</v>
          </cell>
          <cell r="CE34">
            <v>120</v>
          </cell>
          <cell r="CF34">
            <v>120</v>
          </cell>
          <cell r="CG34">
            <v>120</v>
          </cell>
          <cell r="CH34">
            <v>120</v>
          </cell>
          <cell r="CI34">
            <v>120</v>
          </cell>
          <cell r="CJ34">
            <v>120</v>
          </cell>
          <cell r="CK34">
            <v>120</v>
          </cell>
          <cell r="CL34">
            <v>120</v>
          </cell>
          <cell r="CM34">
            <v>120</v>
          </cell>
          <cell r="CN34">
            <v>120</v>
          </cell>
          <cell r="CO34">
            <v>120</v>
          </cell>
          <cell r="CP34">
            <v>120</v>
          </cell>
          <cell r="CQ34">
            <v>120</v>
          </cell>
          <cell r="CR34">
            <v>120</v>
          </cell>
          <cell r="CS34">
            <v>120</v>
          </cell>
          <cell r="CT34">
            <v>120</v>
          </cell>
          <cell r="CU34">
            <v>120</v>
          </cell>
          <cell r="CV34">
            <v>120</v>
          </cell>
          <cell r="CW34">
            <v>120</v>
          </cell>
          <cell r="CX34">
            <v>120</v>
          </cell>
          <cell r="CY34">
            <v>120</v>
          </cell>
          <cell r="CZ34">
            <v>120</v>
          </cell>
          <cell r="DA34">
            <v>120</v>
          </cell>
          <cell r="DB34">
            <v>120</v>
          </cell>
          <cell r="DC34">
            <v>120</v>
          </cell>
          <cell r="DD34">
            <v>120</v>
          </cell>
          <cell r="DE34">
            <v>120</v>
          </cell>
          <cell r="DF34">
            <v>120</v>
          </cell>
          <cell r="DG34">
            <v>120</v>
          </cell>
          <cell r="DH34">
            <v>120</v>
          </cell>
          <cell r="DI34">
            <v>120</v>
          </cell>
          <cell r="DJ34">
            <v>120</v>
          </cell>
          <cell r="DK34">
            <v>120</v>
          </cell>
          <cell r="DL34">
            <v>120</v>
          </cell>
          <cell r="DM34">
            <v>120</v>
          </cell>
          <cell r="DN34">
            <v>120</v>
          </cell>
          <cell r="DO34">
            <v>120</v>
          </cell>
          <cell r="DP34">
            <v>120</v>
          </cell>
          <cell r="DQ34">
            <v>120</v>
          </cell>
          <cell r="DR34">
            <v>120</v>
          </cell>
          <cell r="DS34">
            <v>120</v>
          </cell>
          <cell r="DT34">
            <v>120</v>
          </cell>
          <cell r="DU34">
            <v>120</v>
          </cell>
          <cell r="DV34">
            <v>120</v>
          </cell>
          <cell r="DW34">
            <v>120</v>
          </cell>
          <cell r="DX34">
            <v>120</v>
          </cell>
          <cell r="DY34">
            <v>120</v>
          </cell>
          <cell r="DZ34">
            <v>120</v>
          </cell>
          <cell r="EA34">
            <v>120</v>
          </cell>
          <cell r="EB34">
            <v>120</v>
          </cell>
          <cell r="EC34">
            <v>120</v>
          </cell>
          <cell r="ED34">
            <v>120</v>
          </cell>
          <cell r="EE34">
            <v>120</v>
          </cell>
          <cell r="EF34">
            <v>120</v>
          </cell>
          <cell r="EG34">
            <v>120</v>
          </cell>
          <cell r="EH34">
            <v>120</v>
          </cell>
          <cell r="EI34">
            <v>120</v>
          </cell>
          <cell r="EJ34">
            <v>120</v>
          </cell>
          <cell r="EK34">
            <v>120</v>
          </cell>
          <cell r="EL34">
            <v>120</v>
          </cell>
          <cell r="EM34">
            <v>120</v>
          </cell>
          <cell r="EN34">
            <v>120</v>
          </cell>
          <cell r="EO34">
            <v>120</v>
          </cell>
          <cell r="EP34">
            <v>120</v>
          </cell>
          <cell r="EQ34">
            <v>120</v>
          </cell>
          <cell r="ER34">
            <v>120</v>
          </cell>
          <cell r="ES34">
            <v>120</v>
          </cell>
          <cell r="ET34">
            <v>120</v>
          </cell>
          <cell r="EU34">
            <v>120</v>
          </cell>
          <cell r="EV34">
            <v>120</v>
          </cell>
          <cell r="EW34">
            <v>120</v>
          </cell>
          <cell r="EX34">
            <v>120</v>
          </cell>
          <cell r="EY34">
            <v>85</v>
          </cell>
          <cell r="EZ34">
            <v>85</v>
          </cell>
          <cell r="FA34">
            <v>120</v>
          </cell>
          <cell r="FB34">
            <v>120</v>
          </cell>
          <cell r="FC34">
            <v>120</v>
          </cell>
          <cell r="FD34">
            <v>120</v>
          </cell>
          <cell r="FE34">
            <v>120</v>
          </cell>
          <cell r="FF34">
            <v>120</v>
          </cell>
          <cell r="FG34">
            <v>120</v>
          </cell>
          <cell r="FH34">
            <v>120</v>
          </cell>
          <cell r="FI34">
            <v>120</v>
          </cell>
          <cell r="FJ34">
            <v>120</v>
          </cell>
          <cell r="FK34">
            <v>120</v>
          </cell>
          <cell r="FL34">
            <v>120</v>
          </cell>
          <cell r="FM34">
            <v>120</v>
          </cell>
          <cell r="FN34">
            <v>120</v>
          </cell>
        </row>
        <row r="35">
          <cell r="A35" t="str">
            <v>G3ITABO2</v>
          </cell>
          <cell r="B35" t="str">
            <v>ITABO 2</v>
          </cell>
          <cell r="C35">
            <v>120</v>
          </cell>
          <cell r="D35">
            <v>120</v>
          </cell>
          <cell r="E35">
            <v>120</v>
          </cell>
          <cell r="F35">
            <v>120</v>
          </cell>
          <cell r="G35">
            <v>120</v>
          </cell>
          <cell r="H35">
            <v>120</v>
          </cell>
          <cell r="I35">
            <v>120</v>
          </cell>
          <cell r="J35">
            <v>120</v>
          </cell>
          <cell r="K35">
            <v>120</v>
          </cell>
          <cell r="L35">
            <v>120</v>
          </cell>
          <cell r="M35">
            <v>120</v>
          </cell>
          <cell r="N35">
            <v>120</v>
          </cell>
          <cell r="O35">
            <v>120</v>
          </cell>
          <cell r="P35">
            <v>120</v>
          </cell>
          <cell r="Q35">
            <v>120</v>
          </cell>
          <cell r="R35">
            <v>120</v>
          </cell>
          <cell r="S35">
            <v>120</v>
          </cell>
          <cell r="T35">
            <v>120</v>
          </cell>
          <cell r="U35">
            <v>120</v>
          </cell>
          <cell r="V35">
            <v>120</v>
          </cell>
          <cell r="W35">
            <v>120</v>
          </cell>
          <cell r="X35">
            <v>120</v>
          </cell>
          <cell r="Y35">
            <v>120</v>
          </cell>
          <cell r="Z35">
            <v>120</v>
          </cell>
          <cell r="AA35">
            <v>120</v>
          </cell>
          <cell r="AB35">
            <v>120</v>
          </cell>
          <cell r="AC35">
            <v>120</v>
          </cell>
          <cell r="AD35">
            <v>120</v>
          </cell>
          <cell r="AE35">
            <v>120</v>
          </cell>
          <cell r="AF35">
            <v>120</v>
          </cell>
          <cell r="AG35">
            <v>120</v>
          </cell>
          <cell r="AH35">
            <v>120</v>
          </cell>
          <cell r="AI35">
            <v>120</v>
          </cell>
          <cell r="AJ35">
            <v>120</v>
          </cell>
          <cell r="AK35">
            <v>120</v>
          </cell>
          <cell r="AL35">
            <v>120</v>
          </cell>
          <cell r="AM35">
            <v>120</v>
          </cell>
          <cell r="AN35">
            <v>120</v>
          </cell>
          <cell r="AO35">
            <v>120</v>
          </cell>
          <cell r="AP35">
            <v>120</v>
          </cell>
          <cell r="AQ35">
            <v>120</v>
          </cell>
          <cell r="AR35">
            <v>120</v>
          </cell>
          <cell r="AS35">
            <v>120</v>
          </cell>
          <cell r="AT35">
            <v>120</v>
          </cell>
          <cell r="AU35">
            <v>120</v>
          </cell>
          <cell r="AV35">
            <v>120</v>
          </cell>
          <cell r="AW35">
            <v>120</v>
          </cell>
          <cell r="AX35">
            <v>120</v>
          </cell>
          <cell r="AY35">
            <v>120</v>
          </cell>
          <cell r="AZ35">
            <v>120</v>
          </cell>
          <cell r="BA35">
            <v>120</v>
          </cell>
          <cell r="BB35">
            <v>120</v>
          </cell>
          <cell r="BC35">
            <v>120</v>
          </cell>
          <cell r="BD35">
            <v>120</v>
          </cell>
          <cell r="BE35">
            <v>120</v>
          </cell>
          <cell r="BF35">
            <v>120</v>
          </cell>
          <cell r="BG35">
            <v>120</v>
          </cell>
          <cell r="BH35">
            <v>120</v>
          </cell>
          <cell r="BI35">
            <v>120</v>
          </cell>
          <cell r="BJ35">
            <v>120</v>
          </cell>
          <cell r="BK35">
            <v>120</v>
          </cell>
          <cell r="BL35">
            <v>120</v>
          </cell>
          <cell r="BM35">
            <v>120</v>
          </cell>
          <cell r="BN35">
            <v>120</v>
          </cell>
          <cell r="BO35">
            <v>120</v>
          </cell>
          <cell r="BP35">
            <v>120</v>
          </cell>
          <cell r="BQ35">
            <v>120</v>
          </cell>
          <cell r="BR35">
            <v>120</v>
          </cell>
          <cell r="BS35">
            <v>120</v>
          </cell>
          <cell r="BT35">
            <v>120</v>
          </cell>
          <cell r="BU35">
            <v>120</v>
          </cell>
          <cell r="BV35">
            <v>120</v>
          </cell>
          <cell r="BW35">
            <v>120</v>
          </cell>
          <cell r="BX35">
            <v>120</v>
          </cell>
          <cell r="BY35">
            <v>120</v>
          </cell>
          <cell r="BZ35">
            <v>120</v>
          </cell>
          <cell r="CA35">
            <v>120</v>
          </cell>
          <cell r="CB35">
            <v>120</v>
          </cell>
          <cell r="CC35">
            <v>120</v>
          </cell>
          <cell r="CD35">
            <v>120</v>
          </cell>
          <cell r="CE35">
            <v>120</v>
          </cell>
          <cell r="CF35">
            <v>120</v>
          </cell>
          <cell r="CG35">
            <v>120</v>
          </cell>
          <cell r="CH35">
            <v>120</v>
          </cell>
          <cell r="CI35">
            <v>120</v>
          </cell>
          <cell r="CJ35">
            <v>120</v>
          </cell>
          <cell r="CK35">
            <v>120</v>
          </cell>
          <cell r="CL35">
            <v>120</v>
          </cell>
          <cell r="CM35">
            <v>120</v>
          </cell>
          <cell r="CN35">
            <v>120</v>
          </cell>
          <cell r="CO35">
            <v>120</v>
          </cell>
          <cell r="CP35">
            <v>120</v>
          </cell>
          <cell r="CQ35">
            <v>120</v>
          </cell>
          <cell r="CR35">
            <v>120</v>
          </cell>
          <cell r="CS35">
            <v>120</v>
          </cell>
          <cell r="CT35">
            <v>120</v>
          </cell>
          <cell r="CU35">
            <v>120</v>
          </cell>
          <cell r="CV35">
            <v>120</v>
          </cell>
          <cell r="CW35">
            <v>120</v>
          </cell>
          <cell r="CX35">
            <v>120</v>
          </cell>
          <cell r="CY35">
            <v>120</v>
          </cell>
          <cell r="CZ35">
            <v>120</v>
          </cell>
          <cell r="DA35">
            <v>120</v>
          </cell>
          <cell r="DB35">
            <v>120</v>
          </cell>
          <cell r="DC35">
            <v>120</v>
          </cell>
          <cell r="DD35">
            <v>120</v>
          </cell>
          <cell r="DE35">
            <v>120</v>
          </cell>
          <cell r="DF35">
            <v>120</v>
          </cell>
          <cell r="DG35">
            <v>120</v>
          </cell>
          <cell r="DH35">
            <v>120</v>
          </cell>
          <cell r="DI35">
            <v>120</v>
          </cell>
          <cell r="DJ35">
            <v>120</v>
          </cell>
          <cell r="DK35">
            <v>120</v>
          </cell>
          <cell r="DL35">
            <v>120</v>
          </cell>
          <cell r="DM35">
            <v>120</v>
          </cell>
          <cell r="DN35">
            <v>120</v>
          </cell>
          <cell r="DO35">
            <v>120</v>
          </cell>
          <cell r="DP35">
            <v>120</v>
          </cell>
          <cell r="DQ35">
            <v>120</v>
          </cell>
          <cell r="DR35">
            <v>120</v>
          </cell>
          <cell r="DS35">
            <v>120</v>
          </cell>
          <cell r="DT35">
            <v>120</v>
          </cell>
          <cell r="DU35">
            <v>120</v>
          </cell>
          <cell r="DV35">
            <v>120</v>
          </cell>
          <cell r="DW35">
            <v>120</v>
          </cell>
          <cell r="DX35">
            <v>120</v>
          </cell>
          <cell r="DY35">
            <v>120</v>
          </cell>
          <cell r="DZ35">
            <v>120</v>
          </cell>
          <cell r="EA35">
            <v>120</v>
          </cell>
          <cell r="EB35">
            <v>120</v>
          </cell>
          <cell r="EC35">
            <v>120</v>
          </cell>
          <cell r="ED35">
            <v>120</v>
          </cell>
          <cell r="EE35">
            <v>120</v>
          </cell>
          <cell r="EF35">
            <v>120</v>
          </cell>
          <cell r="EG35">
            <v>120</v>
          </cell>
          <cell r="EH35">
            <v>120</v>
          </cell>
          <cell r="EI35">
            <v>120</v>
          </cell>
          <cell r="EJ35">
            <v>120</v>
          </cell>
          <cell r="EK35">
            <v>120</v>
          </cell>
          <cell r="EL35">
            <v>120</v>
          </cell>
          <cell r="EM35">
            <v>120</v>
          </cell>
          <cell r="EN35">
            <v>120</v>
          </cell>
          <cell r="EO35">
            <v>120</v>
          </cell>
          <cell r="EP35">
            <v>120</v>
          </cell>
          <cell r="EQ35">
            <v>120</v>
          </cell>
          <cell r="ER35">
            <v>120</v>
          </cell>
          <cell r="ES35">
            <v>120</v>
          </cell>
          <cell r="ET35">
            <v>120</v>
          </cell>
          <cell r="EU35">
            <v>120</v>
          </cell>
          <cell r="EV35">
            <v>120</v>
          </cell>
          <cell r="EW35">
            <v>120</v>
          </cell>
          <cell r="EX35">
            <v>120</v>
          </cell>
          <cell r="EY35">
            <v>120</v>
          </cell>
          <cell r="EZ35">
            <v>120</v>
          </cell>
          <cell r="FA35">
            <v>120</v>
          </cell>
          <cell r="FB35">
            <v>120</v>
          </cell>
          <cell r="FC35">
            <v>120</v>
          </cell>
          <cell r="FD35">
            <v>120</v>
          </cell>
          <cell r="FE35">
            <v>120</v>
          </cell>
          <cell r="FF35">
            <v>120</v>
          </cell>
          <cell r="FG35">
            <v>120</v>
          </cell>
          <cell r="FH35">
            <v>120</v>
          </cell>
          <cell r="FI35">
            <v>120</v>
          </cell>
          <cell r="FJ35">
            <v>120</v>
          </cell>
          <cell r="FK35">
            <v>120</v>
          </cell>
          <cell r="FL35">
            <v>120</v>
          </cell>
          <cell r="FM35">
            <v>120</v>
          </cell>
          <cell r="FN35">
            <v>120</v>
          </cell>
        </row>
        <row r="36">
          <cell r="A36" t="str">
            <v>G3JCOCO1</v>
          </cell>
          <cell r="B36" t="str">
            <v>JUANCHO LOS COCOS 1</v>
          </cell>
          <cell r="C36">
            <v>21</v>
          </cell>
          <cell r="D36">
            <v>21</v>
          </cell>
          <cell r="E36">
            <v>21</v>
          </cell>
          <cell r="F36">
            <v>21</v>
          </cell>
          <cell r="G36">
            <v>21</v>
          </cell>
          <cell r="H36">
            <v>21</v>
          </cell>
          <cell r="I36">
            <v>21</v>
          </cell>
          <cell r="J36">
            <v>21</v>
          </cell>
          <cell r="K36">
            <v>21</v>
          </cell>
          <cell r="L36">
            <v>21</v>
          </cell>
          <cell r="M36">
            <v>21</v>
          </cell>
          <cell r="N36">
            <v>21</v>
          </cell>
          <cell r="O36">
            <v>21</v>
          </cell>
          <cell r="P36">
            <v>21</v>
          </cell>
          <cell r="Q36">
            <v>21</v>
          </cell>
          <cell r="R36">
            <v>21</v>
          </cell>
          <cell r="S36">
            <v>21</v>
          </cell>
          <cell r="T36">
            <v>21</v>
          </cell>
          <cell r="U36">
            <v>21</v>
          </cell>
          <cell r="V36">
            <v>21</v>
          </cell>
          <cell r="W36">
            <v>21</v>
          </cell>
          <cell r="X36">
            <v>21</v>
          </cell>
          <cell r="Y36">
            <v>21</v>
          </cell>
          <cell r="Z36">
            <v>21</v>
          </cell>
          <cell r="AA36">
            <v>21</v>
          </cell>
          <cell r="AB36">
            <v>21</v>
          </cell>
          <cell r="AC36">
            <v>21</v>
          </cell>
          <cell r="AD36">
            <v>21</v>
          </cell>
          <cell r="AE36">
            <v>21</v>
          </cell>
          <cell r="AF36">
            <v>21</v>
          </cell>
          <cell r="AG36">
            <v>21</v>
          </cell>
          <cell r="AH36">
            <v>21</v>
          </cell>
          <cell r="AI36">
            <v>21</v>
          </cell>
          <cell r="AJ36">
            <v>21</v>
          </cell>
          <cell r="AK36">
            <v>21</v>
          </cell>
          <cell r="AL36">
            <v>21</v>
          </cell>
          <cell r="AM36">
            <v>21</v>
          </cell>
          <cell r="AN36">
            <v>21</v>
          </cell>
          <cell r="AO36">
            <v>21</v>
          </cell>
          <cell r="AP36">
            <v>21</v>
          </cell>
          <cell r="AQ36">
            <v>21</v>
          </cell>
          <cell r="AR36">
            <v>21</v>
          </cell>
          <cell r="AS36">
            <v>21</v>
          </cell>
          <cell r="AT36">
            <v>21</v>
          </cell>
          <cell r="AU36">
            <v>21</v>
          </cell>
          <cell r="AV36">
            <v>21</v>
          </cell>
          <cell r="AW36">
            <v>21</v>
          </cell>
          <cell r="AX36">
            <v>21</v>
          </cell>
          <cell r="AY36">
            <v>21</v>
          </cell>
          <cell r="AZ36">
            <v>21</v>
          </cell>
          <cell r="BA36">
            <v>21</v>
          </cell>
          <cell r="BB36">
            <v>21</v>
          </cell>
          <cell r="BC36">
            <v>21</v>
          </cell>
          <cell r="BD36">
            <v>21</v>
          </cell>
          <cell r="BE36">
            <v>21</v>
          </cell>
          <cell r="BF36">
            <v>21</v>
          </cell>
          <cell r="BG36">
            <v>21</v>
          </cell>
          <cell r="BH36">
            <v>21</v>
          </cell>
          <cell r="BI36">
            <v>21</v>
          </cell>
          <cell r="BJ36">
            <v>21</v>
          </cell>
          <cell r="BK36">
            <v>21</v>
          </cell>
          <cell r="BL36">
            <v>21</v>
          </cell>
          <cell r="BM36">
            <v>21</v>
          </cell>
          <cell r="BN36">
            <v>21</v>
          </cell>
          <cell r="BO36">
            <v>21</v>
          </cell>
          <cell r="BP36">
            <v>21</v>
          </cell>
          <cell r="BQ36">
            <v>21</v>
          </cell>
          <cell r="BR36">
            <v>21</v>
          </cell>
          <cell r="BS36">
            <v>21</v>
          </cell>
          <cell r="BT36">
            <v>21</v>
          </cell>
          <cell r="BU36">
            <v>21</v>
          </cell>
          <cell r="BV36">
            <v>21</v>
          </cell>
          <cell r="BW36">
            <v>21</v>
          </cell>
          <cell r="BX36">
            <v>21</v>
          </cell>
          <cell r="BY36">
            <v>21</v>
          </cell>
          <cell r="BZ36">
            <v>21</v>
          </cell>
          <cell r="CA36">
            <v>21</v>
          </cell>
          <cell r="CB36">
            <v>21</v>
          </cell>
          <cell r="CC36">
            <v>21</v>
          </cell>
          <cell r="CD36">
            <v>21</v>
          </cell>
          <cell r="CE36">
            <v>21</v>
          </cell>
          <cell r="CF36">
            <v>21</v>
          </cell>
          <cell r="CG36">
            <v>21</v>
          </cell>
          <cell r="CH36">
            <v>21</v>
          </cell>
          <cell r="CI36">
            <v>21</v>
          </cell>
          <cell r="CJ36">
            <v>21</v>
          </cell>
          <cell r="CK36">
            <v>21</v>
          </cell>
          <cell r="CL36">
            <v>21</v>
          </cell>
          <cell r="CM36">
            <v>21</v>
          </cell>
          <cell r="CN36">
            <v>21</v>
          </cell>
          <cell r="CO36">
            <v>21</v>
          </cell>
          <cell r="CP36">
            <v>21</v>
          </cell>
          <cell r="CQ36">
            <v>21</v>
          </cell>
          <cell r="CR36">
            <v>21</v>
          </cell>
          <cell r="CS36">
            <v>21</v>
          </cell>
          <cell r="CT36">
            <v>21</v>
          </cell>
          <cell r="CU36">
            <v>21</v>
          </cell>
          <cell r="CV36">
            <v>21</v>
          </cell>
          <cell r="CW36">
            <v>21</v>
          </cell>
          <cell r="CX36">
            <v>21</v>
          </cell>
          <cell r="CY36">
            <v>21</v>
          </cell>
          <cell r="CZ36">
            <v>21</v>
          </cell>
          <cell r="DA36">
            <v>21</v>
          </cell>
          <cell r="DB36">
            <v>21</v>
          </cell>
          <cell r="DC36">
            <v>21</v>
          </cell>
          <cell r="DD36">
            <v>21</v>
          </cell>
          <cell r="DE36">
            <v>21</v>
          </cell>
          <cell r="DF36">
            <v>21</v>
          </cell>
          <cell r="DG36">
            <v>21</v>
          </cell>
          <cell r="DH36">
            <v>21</v>
          </cell>
          <cell r="DI36">
            <v>21</v>
          </cell>
          <cell r="DJ36">
            <v>21</v>
          </cell>
          <cell r="DK36">
            <v>21</v>
          </cell>
          <cell r="DL36">
            <v>21</v>
          </cell>
          <cell r="DM36">
            <v>21</v>
          </cell>
          <cell r="DN36">
            <v>21</v>
          </cell>
          <cell r="DO36">
            <v>21</v>
          </cell>
          <cell r="DP36">
            <v>21</v>
          </cell>
          <cell r="DQ36">
            <v>21</v>
          </cell>
          <cell r="DR36">
            <v>21</v>
          </cell>
          <cell r="DS36">
            <v>21</v>
          </cell>
          <cell r="DT36">
            <v>21</v>
          </cell>
          <cell r="DU36">
            <v>21</v>
          </cell>
          <cell r="DV36">
            <v>21</v>
          </cell>
          <cell r="DW36">
            <v>21</v>
          </cell>
          <cell r="DX36">
            <v>21</v>
          </cell>
          <cell r="DY36">
            <v>21</v>
          </cell>
          <cell r="DZ36">
            <v>21</v>
          </cell>
          <cell r="EA36">
            <v>21</v>
          </cell>
          <cell r="EB36">
            <v>21</v>
          </cell>
          <cell r="EC36">
            <v>21</v>
          </cell>
          <cell r="ED36">
            <v>21</v>
          </cell>
          <cell r="EE36">
            <v>21</v>
          </cell>
          <cell r="EF36">
            <v>21</v>
          </cell>
          <cell r="EG36">
            <v>21</v>
          </cell>
          <cell r="EH36">
            <v>21</v>
          </cell>
          <cell r="EI36">
            <v>21</v>
          </cell>
          <cell r="EJ36">
            <v>21</v>
          </cell>
          <cell r="EK36">
            <v>21</v>
          </cell>
          <cell r="EL36">
            <v>21</v>
          </cell>
          <cell r="EM36">
            <v>21</v>
          </cell>
          <cell r="EN36">
            <v>21</v>
          </cell>
          <cell r="EO36">
            <v>21</v>
          </cell>
          <cell r="EP36">
            <v>21</v>
          </cell>
          <cell r="EQ36">
            <v>21</v>
          </cell>
          <cell r="ER36">
            <v>21</v>
          </cell>
          <cell r="ES36">
            <v>21</v>
          </cell>
          <cell r="ET36">
            <v>21</v>
          </cell>
          <cell r="EU36">
            <v>21</v>
          </cell>
          <cell r="EV36">
            <v>21</v>
          </cell>
          <cell r="EW36">
            <v>21</v>
          </cell>
          <cell r="EX36">
            <v>21</v>
          </cell>
          <cell r="EY36">
            <v>21</v>
          </cell>
          <cell r="EZ36">
            <v>21</v>
          </cell>
          <cell r="FA36">
            <v>21</v>
          </cell>
          <cell r="FB36">
            <v>21</v>
          </cell>
          <cell r="FC36">
            <v>21</v>
          </cell>
          <cell r="FD36">
            <v>21</v>
          </cell>
          <cell r="FE36">
            <v>21</v>
          </cell>
          <cell r="FF36">
            <v>21</v>
          </cell>
          <cell r="FG36">
            <v>21</v>
          </cell>
          <cell r="FH36">
            <v>21</v>
          </cell>
          <cell r="FI36">
            <v>21</v>
          </cell>
          <cell r="FJ36">
            <v>21</v>
          </cell>
          <cell r="FK36">
            <v>21</v>
          </cell>
          <cell r="FL36">
            <v>21</v>
          </cell>
          <cell r="FM36">
            <v>21</v>
          </cell>
          <cell r="FN36">
            <v>21</v>
          </cell>
        </row>
        <row r="37">
          <cell r="A37" t="str">
            <v>G3JIGUE1</v>
          </cell>
          <cell r="B37" t="str">
            <v>JIGUEY 1</v>
          </cell>
          <cell r="C37">
            <v>0</v>
          </cell>
          <cell r="D37">
            <v>0</v>
          </cell>
          <cell r="E37">
            <v>0</v>
          </cell>
          <cell r="F37">
            <v>0</v>
          </cell>
          <cell r="G37">
            <v>0</v>
          </cell>
          <cell r="H37">
            <v>0</v>
          </cell>
          <cell r="I37">
            <v>0</v>
          </cell>
          <cell r="J37">
            <v>0</v>
          </cell>
          <cell r="K37">
            <v>48</v>
          </cell>
          <cell r="L37">
            <v>48</v>
          </cell>
          <cell r="M37">
            <v>48</v>
          </cell>
          <cell r="N37">
            <v>48</v>
          </cell>
          <cell r="O37">
            <v>0</v>
          </cell>
          <cell r="P37">
            <v>0</v>
          </cell>
          <cell r="Q37">
            <v>0</v>
          </cell>
          <cell r="R37">
            <v>0</v>
          </cell>
          <cell r="S37">
            <v>0</v>
          </cell>
          <cell r="T37">
            <v>0</v>
          </cell>
          <cell r="U37">
            <v>48</v>
          </cell>
          <cell r="V37">
            <v>48</v>
          </cell>
          <cell r="W37">
            <v>48</v>
          </cell>
          <cell r="X37">
            <v>48</v>
          </cell>
          <cell r="Y37">
            <v>48</v>
          </cell>
          <cell r="Z37">
            <v>48</v>
          </cell>
          <cell r="AA37">
            <v>0</v>
          </cell>
          <cell r="AB37">
            <v>0</v>
          </cell>
          <cell r="AC37">
            <v>0</v>
          </cell>
          <cell r="AD37">
            <v>0</v>
          </cell>
          <cell r="AE37">
            <v>0</v>
          </cell>
          <cell r="AF37">
            <v>0</v>
          </cell>
          <cell r="AG37">
            <v>0</v>
          </cell>
          <cell r="AH37">
            <v>0</v>
          </cell>
          <cell r="AI37">
            <v>48</v>
          </cell>
          <cell r="AJ37">
            <v>48</v>
          </cell>
          <cell r="AK37">
            <v>48</v>
          </cell>
          <cell r="AL37">
            <v>48</v>
          </cell>
          <cell r="AM37">
            <v>0</v>
          </cell>
          <cell r="AN37">
            <v>0</v>
          </cell>
          <cell r="AO37">
            <v>0</v>
          </cell>
          <cell r="AP37">
            <v>0</v>
          </cell>
          <cell r="AQ37">
            <v>0</v>
          </cell>
          <cell r="AR37">
            <v>0</v>
          </cell>
          <cell r="AS37">
            <v>48</v>
          </cell>
          <cell r="AT37">
            <v>48</v>
          </cell>
          <cell r="AU37">
            <v>48</v>
          </cell>
          <cell r="AV37">
            <v>48</v>
          </cell>
          <cell r="AW37">
            <v>48</v>
          </cell>
          <cell r="AX37">
            <v>48</v>
          </cell>
          <cell r="AY37">
            <v>0</v>
          </cell>
          <cell r="AZ37">
            <v>0</v>
          </cell>
          <cell r="BA37">
            <v>0</v>
          </cell>
          <cell r="BB37">
            <v>0</v>
          </cell>
          <cell r="BC37">
            <v>0</v>
          </cell>
          <cell r="BD37">
            <v>0</v>
          </cell>
          <cell r="BE37">
            <v>0</v>
          </cell>
          <cell r="BF37">
            <v>0</v>
          </cell>
          <cell r="BG37">
            <v>48</v>
          </cell>
          <cell r="BH37">
            <v>48</v>
          </cell>
          <cell r="BI37">
            <v>48</v>
          </cell>
          <cell r="BJ37">
            <v>48</v>
          </cell>
          <cell r="BK37">
            <v>0</v>
          </cell>
          <cell r="BL37">
            <v>0</v>
          </cell>
          <cell r="BM37">
            <v>0</v>
          </cell>
          <cell r="BN37">
            <v>0</v>
          </cell>
          <cell r="BO37">
            <v>0</v>
          </cell>
          <cell r="BP37">
            <v>0</v>
          </cell>
          <cell r="BQ37">
            <v>48</v>
          </cell>
          <cell r="BR37">
            <v>48</v>
          </cell>
          <cell r="BS37">
            <v>48</v>
          </cell>
          <cell r="BT37">
            <v>48</v>
          </cell>
          <cell r="BU37">
            <v>48</v>
          </cell>
          <cell r="BV37">
            <v>48</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48</v>
          </cell>
          <cell r="DD37">
            <v>48</v>
          </cell>
          <cell r="DE37">
            <v>48</v>
          </cell>
          <cell r="DF37">
            <v>48</v>
          </cell>
          <cell r="DG37">
            <v>0</v>
          </cell>
          <cell r="DH37">
            <v>0</v>
          </cell>
          <cell r="DI37">
            <v>0</v>
          </cell>
          <cell r="DJ37">
            <v>0</v>
          </cell>
          <cell r="DK37">
            <v>0</v>
          </cell>
          <cell r="DL37">
            <v>0</v>
          </cell>
          <cell r="DM37">
            <v>48</v>
          </cell>
          <cell r="DN37">
            <v>48</v>
          </cell>
          <cell r="DO37">
            <v>48</v>
          </cell>
          <cell r="DP37">
            <v>48</v>
          </cell>
          <cell r="DQ37">
            <v>48</v>
          </cell>
          <cell r="DR37">
            <v>48</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48</v>
          </cell>
          <cell r="EZ37">
            <v>48</v>
          </cell>
          <cell r="FA37">
            <v>48</v>
          </cell>
          <cell r="FB37">
            <v>48</v>
          </cell>
          <cell r="FC37">
            <v>0</v>
          </cell>
          <cell r="FD37">
            <v>0</v>
          </cell>
          <cell r="FE37">
            <v>0</v>
          </cell>
          <cell r="FF37">
            <v>0</v>
          </cell>
          <cell r="FG37">
            <v>0</v>
          </cell>
          <cell r="FH37">
            <v>0</v>
          </cell>
          <cell r="FI37">
            <v>48</v>
          </cell>
          <cell r="FJ37">
            <v>48</v>
          </cell>
          <cell r="FK37">
            <v>48</v>
          </cell>
          <cell r="FL37">
            <v>48</v>
          </cell>
          <cell r="FM37">
            <v>48</v>
          </cell>
          <cell r="FN37">
            <v>48</v>
          </cell>
        </row>
        <row r="38">
          <cell r="A38" t="str">
            <v>G3JIGUE2</v>
          </cell>
          <cell r="B38" t="str">
            <v>JIGUEY 2</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45</v>
          </cell>
          <cell r="CF38">
            <v>45</v>
          </cell>
          <cell r="CG38">
            <v>45</v>
          </cell>
          <cell r="CH38">
            <v>45</v>
          </cell>
          <cell r="CI38">
            <v>0</v>
          </cell>
          <cell r="CJ38">
            <v>0</v>
          </cell>
          <cell r="CK38">
            <v>0</v>
          </cell>
          <cell r="CL38">
            <v>0</v>
          </cell>
          <cell r="CM38">
            <v>0</v>
          </cell>
          <cell r="CN38">
            <v>0</v>
          </cell>
          <cell r="CO38">
            <v>45</v>
          </cell>
          <cell r="CP38">
            <v>45</v>
          </cell>
          <cell r="CQ38">
            <v>45</v>
          </cell>
          <cell r="CR38">
            <v>45</v>
          </cell>
          <cell r="CS38">
            <v>45</v>
          </cell>
          <cell r="CT38">
            <v>45</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48</v>
          </cell>
          <cell r="EB38">
            <v>48</v>
          </cell>
          <cell r="EC38">
            <v>48</v>
          </cell>
          <cell r="ED38">
            <v>48</v>
          </cell>
          <cell r="EE38">
            <v>0</v>
          </cell>
          <cell r="EF38">
            <v>0</v>
          </cell>
          <cell r="EG38">
            <v>0</v>
          </cell>
          <cell r="EH38">
            <v>0</v>
          </cell>
          <cell r="EI38">
            <v>0</v>
          </cell>
          <cell r="EJ38">
            <v>0</v>
          </cell>
          <cell r="EK38">
            <v>48</v>
          </cell>
          <cell r="EL38">
            <v>48</v>
          </cell>
          <cell r="EM38">
            <v>48</v>
          </cell>
          <cell r="EN38">
            <v>48</v>
          </cell>
          <cell r="EO38">
            <v>48</v>
          </cell>
          <cell r="EP38">
            <v>48</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0</v>
          </cell>
          <cell r="FK38">
            <v>0</v>
          </cell>
          <cell r="FL38">
            <v>0</v>
          </cell>
          <cell r="FM38">
            <v>0</v>
          </cell>
          <cell r="FN38">
            <v>0</v>
          </cell>
        </row>
        <row r="39">
          <cell r="A39" t="str">
            <v>G3JIMENO</v>
          </cell>
          <cell r="B39" t="str">
            <v>JIMENOA</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row>
        <row r="40">
          <cell r="A40" t="str">
            <v>G3LANGOS</v>
          </cell>
          <cell r="B40" t="str">
            <v>LOPEZ ANGOSTURA</v>
          </cell>
          <cell r="C40">
            <v>3</v>
          </cell>
          <cell r="D40">
            <v>3</v>
          </cell>
          <cell r="E40">
            <v>3</v>
          </cell>
          <cell r="F40">
            <v>3</v>
          </cell>
          <cell r="G40">
            <v>3</v>
          </cell>
          <cell r="H40">
            <v>3</v>
          </cell>
          <cell r="I40">
            <v>3</v>
          </cell>
          <cell r="J40">
            <v>3</v>
          </cell>
          <cell r="K40">
            <v>3</v>
          </cell>
          <cell r="L40">
            <v>3</v>
          </cell>
          <cell r="M40">
            <v>3</v>
          </cell>
          <cell r="N40">
            <v>3</v>
          </cell>
          <cell r="O40">
            <v>3</v>
          </cell>
          <cell r="P40">
            <v>3</v>
          </cell>
          <cell r="Q40">
            <v>3</v>
          </cell>
          <cell r="R40">
            <v>3</v>
          </cell>
          <cell r="S40">
            <v>3</v>
          </cell>
          <cell r="T40">
            <v>3</v>
          </cell>
          <cell r="U40">
            <v>3</v>
          </cell>
          <cell r="V40">
            <v>3</v>
          </cell>
          <cell r="W40">
            <v>3</v>
          </cell>
          <cell r="X40">
            <v>3</v>
          </cell>
          <cell r="Y40">
            <v>3</v>
          </cell>
          <cell r="Z40">
            <v>3</v>
          </cell>
          <cell r="AA40">
            <v>3</v>
          </cell>
          <cell r="AB40">
            <v>3</v>
          </cell>
          <cell r="AC40">
            <v>3</v>
          </cell>
          <cell r="AD40">
            <v>3</v>
          </cell>
          <cell r="AE40">
            <v>3</v>
          </cell>
          <cell r="AF40">
            <v>3</v>
          </cell>
          <cell r="AG40">
            <v>3</v>
          </cell>
          <cell r="AH40">
            <v>3</v>
          </cell>
          <cell r="AI40">
            <v>3</v>
          </cell>
          <cell r="AJ40">
            <v>3</v>
          </cell>
          <cell r="AK40">
            <v>3</v>
          </cell>
          <cell r="AL40">
            <v>3</v>
          </cell>
          <cell r="AM40">
            <v>3</v>
          </cell>
          <cell r="AN40">
            <v>3</v>
          </cell>
          <cell r="AO40">
            <v>3</v>
          </cell>
          <cell r="AP40">
            <v>3</v>
          </cell>
          <cell r="AQ40">
            <v>3</v>
          </cell>
          <cell r="AR40">
            <v>3</v>
          </cell>
          <cell r="AS40">
            <v>3</v>
          </cell>
          <cell r="AT40">
            <v>3</v>
          </cell>
          <cell r="AU40">
            <v>3</v>
          </cell>
          <cell r="AV40">
            <v>3</v>
          </cell>
          <cell r="AW40">
            <v>3</v>
          </cell>
          <cell r="AX40">
            <v>3</v>
          </cell>
          <cell r="AY40">
            <v>3</v>
          </cell>
          <cell r="AZ40">
            <v>3</v>
          </cell>
          <cell r="BA40">
            <v>3</v>
          </cell>
          <cell r="BB40">
            <v>3</v>
          </cell>
          <cell r="BC40">
            <v>3</v>
          </cell>
          <cell r="BD40">
            <v>3</v>
          </cell>
          <cell r="BE40">
            <v>3</v>
          </cell>
          <cell r="BF40">
            <v>3</v>
          </cell>
          <cell r="BG40">
            <v>3</v>
          </cell>
          <cell r="BH40">
            <v>3</v>
          </cell>
          <cell r="BI40">
            <v>3</v>
          </cell>
          <cell r="BJ40">
            <v>3</v>
          </cell>
          <cell r="BK40">
            <v>3</v>
          </cell>
          <cell r="BL40">
            <v>3</v>
          </cell>
          <cell r="BM40">
            <v>3</v>
          </cell>
          <cell r="BN40">
            <v>3</v>
          </cell>
          <cell r="BO40">
            <v>3</v>
          </cell>
          <cell r="BP40">
            <v>3</v>
          </cell>
          <cell r="BQ40">
            <v>3</v>
          </cell>
          <cell r="BR40">
            <v>3</v>
          </cell>
          <cell r="BS40">
            <v>3</v>
          </cell>
          <cell r="BT40">
            <v>3</v>
          </cell>
          <cell r="BU40">
            <v>3</v>
          </cell>
          <cell r="BV40">
            <v>3</v>
          </cell>
          <cell r="BW40">
            <v>3</v>
          </cell>
          <cell r="BX40">
            <v>3</v>
          </cell>
          <cell r="BY40">
            <v>3</v>
          </cell>
          <cell r="BZ40">
            <v>3</v>
          </cell>
          <cell r="CA40">
            <v>3</v>
          </cell>
          <cell r="CB40">
            <v>3</v>
          </cell>
          <cell r="CC40">
            <v>3</v>
          </cell>
          <cell r="CD40">
            <v>3</v>
          </cell>
          <cell r="CE40">
            <v>3</v>
          </cell>
          <cell r="CF40">
            <v>3</v>
          </cell>
          <cell r="CG40">
            <v>3</v>
          </cell>
          <cell r="CH40">
            <v>3</v>
          </cell>
          <cell r="CI40">
            <v>3</v>
          </cell>
          <cell r="CJ40">
            <v>3</v>
          </cell>
          <cell r="CK40">
            <v>3</v>
          </cell>
          <cell r="CL40">
            <v>3</v>
          </cell>
          <cell r="CM40">
            <v>3</v>
          </cell>
          <cell r="CN40">
            <v>3</v>
          </cell>
          <cell r="CO40">
            <v>3</v>
          </cell>
          <cell r="CP40">
            <v>3</v>
          </cell>
          <cell r="CQ40">
            <v>3</v>
          </cell>
          <cell r="CR40">
            <v>3</v>
          </cell>
          <cell r="CS40">
            <v>3</v>
          </cell>
          <cell r="CT40">
            <v>3</v>
          </cell>
          <cell r="CU40">
            <v>3</v>
          </cell>
          <cell r="CV40">
            <v>3</v>
          </cell>
          <cell r="CW40">
            <v>3</v>
          </cell>
          <cell r="CX40">
            <v>3</v>
          </cell>
          <cell r="CY40">
            <v>3</v>
          </cell>
          <cell r="CZ40">
            <v>3</v>
          </cell>
          <cell r="DA40">
            <v>3</v>
          </cell>
          <cell r="DB40">
            <v>3</v>
          </cell>
          <cell r="DC40">
            <v>3</v>
          </cell>
          <cell r="DD40">
            <v>3</v>
          </cell>
          <cell r="DE40">
            <v>3</v>
          </cell>
          <cell r="DF40">
            <v>3</v>
          </cell>
          <cell r="DG40">
            <v>3</v>
          </cell>
          <cell r="DH40">
            <v>3</v>
          </cell>
          <cell r="DI40">
            <v>3</v>
          </cell>
          <cell r="DJ40">
            <v>3</v>
          </cell>
          <cell r="DK40">
            <v>3</v>
          </cell>
          <cell r="DL40">
            <v>3</v>
          </cell>
          <cell r="DM40">
            <v>3</v>
          </cell>
          <cell r="DN40">
            <v>3</v>
          </cell>
          <cell r="DO40">
            <v>3</v>
          </cell>
          <cell r="DP40">
            <v>3</v>
          </cell>
          <cell r="DQ40">
            <v>3</v>
          </cell>
          <cell r="DR40">
            <v>3</v>
          </cell>
          <cell r="DS40">
            <v>3</v>
          </cell>
          <cell r="DT40">
            <v>3</v>
          </cell>
          <cell r="DU40">
            <v>3</v>
          </cell>
          <cell r="DV40">
            <v>3</v>
          </cell>
          <cell r="DW40">
            <v>3</v>
          </cell>
          <cell r="DX40">
            <v>3</v>
          </cell>
          <cell r="DY40">
            <v>3</v>
          </cell>
          <cell r="DZ40">
            <v>3</v>
          </cell>
          <cell r="EA40">
            <v>3</v>
          </cell>
          <cell r="EB40">
            <v>3</v>
          </cell>
          <cell r="EC40">
            <v>3</v>
          </cell>
          <cell r="ED40">
            <v>3</v>
          </cell>
          <cell r="EE40">
            <v>3</v>
          </cell>
          <cell r="EF40">
            <v>3</v>
          </cell>
          <cell r="EG40">
            <v>3</v>
          </cell>
          <cell r="EH40">
            <v>3</v>
          </cell>
          <cell r="EI40">
            <v>3</v>
          </cell>
          <cell r="EJ40">
            <v>3</v>
          </cell>
          <cell r="EK40">
            <v>3</v>
          </cell>
          <cell r="EL40">
            <v>3</v>
          </cell>
          <cell r="EM40">
            <v>3</v>
          </cell>
          <cell r="EN40">
            <v>3</v>
          </cell>
          <cell r="EO40">
            <v>3</v>
          </cell>
          <cell r="EP40">
            <v>3</v>
          </cell>
          <cell r="EQ40">
            <v>3</v>
          </cell>
          <cell r="ER40">
            <v>3</v>
          </cell>
          <cell r="ES40">
            <v>3</v>
          </cell>
          <cell r="ET40">
            <v>3</v>
          </cell>
          <cell r="EU40">
            <v>3</v>
          </cell>
          <cell r="EV40">
            <v>3</v>
          </cell>
          <cell r="EW40">
            <v>3</v>
          </cell>
          <cell r="EX40">
            <v>3</v>
          </cell>
          <cell r="EY40">
            <v>3</v>
          </cell>
          <cell r="EZ40">
            <v>3</v>
          </cell>
          <cell r="FA40">
            <v>3</v>
          </cell>
          <cell r="FB40">
            <v>3</v>
          </cell>
          <cell r="FC40">
            <v>3</v>
          </cell>
          <cell r="FD40">
            <v>3</v>
          </cell>
          <cell r="FE40">
            <v>3</v>
          </cell>
          <cell r="FF40">
            <v>3</v>
          </cell>
          <cell r="FG40">
            <v>3</v>
          </cell>
          <cell r="FH40">
            <v>3</v>
          </cell>
          <cell r="FI40">
            <v>3</v>
          </cell>
          <cell r="FJ40">
            <v>3</v>
          </cell>
          <cell r="FK40">
            <v>3</v>
          </cell>
          <cell r="FL40">
            <v>3</v>
          </cell>
          <cell r="FM40">
            <v>3</v>
          </cell>
          <cell r="FN40">
            <v>3</v>
          </cell>
        </row>
        <row r="41">
          <cell r="A41" t="str">
            <v>G3LANONE</v>
          </cell>
          <cell r="B41" t="str">
            <v>LOS ANONES</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row>
        <row r="42">
          <cell r="A42" t="str">
            <v>G3LBARIA</v>
          </cell>
          <cell r="B42" t="str">
            <v>LAS BARIAS</v>
          </cell>
          <cell r="C42">
            <v>0.5</v>
          </cell>
          <cell r="D42">
            <v>0.5</v>
          </cell>
          <cell r="E42">
            <v>0.5</v>
          </cell>
          <cell r="F42">
            <v>0.5</v>
          </cell>
          <cell r="G42">
            <v>0.5</v>
          </cell>
          <cell r="H42">
            <v>0.5</v>
          </cell>
          <cell r="I42">
            <v>0.5</v>
          </cell>
          <cell r="J42">
            <v>0.5</v>
          </cell>
          <cell r="K42">
            <v>0.5</v>
          </cell>
          <cell r="L42">
            <v>0.5</v>
          </cell>
          <cell r="M42">
            <v>0.5</v>
          </cell>
          <cell r="N42">
            <v>0.5</v>
          </cell>
          <cell r="O42">
            <v>0.5</v>
          </cell>
          <cell r="P42">
            <v>0.5</v>
          </cell>
          <cell r="Q42">
            <v>0.5</v>
          </cell>
          <cell r="R42">
            <v>0.5</v>
          </cell>
          <cell r="S42">
            <v>0.5</v>
          </cell>
          <cell r="T42">
            <v>0.5</v>
          </cell>
          <cell r="U42">
            <v>0.5</v>
          </cell>
          <cell r="V42">
            <v>0.5</v>
          </cell>
          <cell r="W42">
            <v>0.5</v>
          </cell>
          <cell r="X42">
            <v>0.5</v>
          </cell>
          <cell r="Y42">
            <v>0.5</v>
          </cell>
          <cell r="Z42">
            <v>0.5</v>
          </cell>
          <cell r="AA42">
            <v>0.5</v>
          </cell>
          <cell r="AB42">
            <v>0.5</v>
          </cell>
          <cell r="AC42">
            <v>0.5</v>
          </cell>
          <cell r="AD42">
            <v>0.5</v>
          </cell>
          <cell r="AE42">
            <v>0.5</v>
          </cell>
          <cell r="AF42">
            <v>0.5</v>
          </cell>
          <cell r="AG42">
            <v>0.5</v>
          </cell>
          <cell r="AH42">
            <v>0.5</v>
          </cell>
          <cell r="AI42">
            <v>0.5</v>
          </cell>
          <cell r="AJ42">
            <v>0.5</v>
          </cell>
          <cell r="AK42">
            <v>0.5</v>
          </cell>
          <cell r="AL42">
            <v>0.5</v>
          </cell>
          <cell r="AM42">
            <v>0.5</v>
          </cell>
          <cell r="AN42">
            <v>0.5</v>
          </cell>
          <cell r="AO42">
            <v>0.5</v>
          </cell>
          <cell r="AP42">
            <v>0.5</v>
          </cell>
          <cell r="AQ42">
            <v>0.5</v>
          </cell>
          <cell r="AR42">
            <v>0.5</v>
          </cell>
          <cell r="AS42">
            <v>0.5</v>
          </cell>
          <cell r="AT42">
            <v>0.5</v>
          </cell>
          <cell r="AU42">
            <v>0.5</v>
          </cell>
          <cell r="AV42">
            <v>0.5</v>
          </cell>
          <cell r="AW42">
            <v>0.5</v>
          </cell>
          <cell r="AX42">
            <v>0.5</v>
          </cell>
          <cell r="AY42">
            <v>0.5</v>
          </cell>
          <cell r="AZ42">
            <v>0.5</v>
          </cell>
          <cell r="BA42">
            <v>0.5</v>
          </cell>
          <cell r="BB42">
            <v>0.5</v>
          </cell>
          <cell r="BC42">
            <v>0.5</v>
          </cell>
          <cell r="BD42">
            <v>0.5</v>
          </cell>
          <cell r="BE42">
            <v>0.5</v>
          </cell>
          <cell r="BF42">
            <v>0.5</v>
          </cell>
          <cell r="BG42">
            <v>0.5</v>
          </cell>
          <cell r="BH42">
            <v>0.5</v>
          </cell>
          <cell r="BI42">
            <v>0.5</v>
          </cell>
          <cell r="BJ42">
            <v>0.5</v>
          </cell>
          <cell r="BK42">
            <v>0.5</v>
          </cell>
          <cell r="BL42">
            <v>0.5</v>
          </cell>
          <cell r="BM42">
            <v>0.5</v>
          </cell>
          <cell r="BN42">
            <v>0.5</v>
          </cell>
          <cell r="BO42">
            <v>0.5</v>
          </cell>
          <cell r="BP42">
            <v>0.5</v>
          </cell>
          <cell r="BQ42">
            <v>0.5</v>
          </cell>
          <cell r="BR42">
            <v>0.5</v>
          </cell>
          <cell r="BS42">
            <v>0.5</v>
          </cell>
          <cell r="BT42">
            <v>0.5</v>
          </cell>
          <cell r="BU42">
            <v>0.5</v>
          </cell>
          <cell r="BV42">
            <v>0.5</v>
          </cell>
          <cell r="BW42">
            <v>0.5</v>
          </cell>
          <cell r="BX42">
            <v>0.5</v>
          </cell>
          <cell r="BY42">
            <v>0.5</v>
          </cell>
          <cell r="BZ42">
            <v>0.5</v>
          </cell>
          <cell r="CA42">
            <v>0.5</v>
          </cell>
          <cell r="CB42">
            <v>0.5</v>
          </cell>
          <cell r="CC42">
            <v>0.5</v>
          </cell>
          <cell r="CD42">
            <v>0.5</v>
          </cell>
          <cell r="CE42">
            <v>0.5</v>
          </cell>
          <cell r="CF42">
            <v>0.5</v>
          </cell>
          <cell r="CG42">
            <v>0.5</v>
          </cell>
          <cell r="CH42">
            <v>0.5</v>
          </cell>
          <cell r="CI42">
            <v>0.5</v>
          </cell>
          <cell r="CJ42">
            <v>0.5</v>
          </cell>
          <cell r="CK42">
            <v>0.5</v>
          </cell>
          <cell r="CL42">
            <v>0.5</v>
          </cell>
          <cell r="CM42">
            <v>0.5</v>
          </cell>
          <cell r="CN42">
            <v>0.5</v>
          </cell>
          <cell r="CO42">
            <v>0.5</v>
          </cell>
          <cell r="CP42">
            <v>0.5</v>
          </cell>
          <cell r="CQ42">
            <v>0.5</v>
          </cell>
          <cell r="CR42">
            <v>0.5</v>
          </cell>
          <cell r="CS42">
            <v>0.5</v>
          </cell>
          <cell r="CT42">
            <v>0.5</v>
          </cell>
          <cell r="CU42">
            <v>0.5</v>
          </cell>
          <cell r="CV42">
            <v>0.5</v>
          </cell>
          <cell r="CW42">
            <v>0.5</v>
          </cell>
          <cell r="CX42">
            <v>0.5</v>
          </cell>
          <cell r="CY42">
            <v>0.5</v>
          </cell>
          <cell r="CZ42">
            <v>0.5</v>
          </cell>
          <cell r="DA42">
            <v>0.5</v>
          </cell>
          <cell r="DB42">
            <v>0.5</v>
          </cell>
          <cell r="DC42">
            <v>0.5</v>
          </cell>
          <cell r="DD42">
            <v>0.5</v>
          </cell>
          <cell r="DE42">
            <v>0.5</v>
          </cell>
          <cell r="DF42">
            <v>0.5</v>
          </cell>
          <cell r="DG42">
            <v>0.5</v>
          </cell>
          <cell r="DH42">
            <v>0.5</v>
          </cell>
          <cell r="DI42">
            <v>0.5</v>
          </cell>
          <cell r="DJ42">
            <v>0.5</v>
          </cell>
          <cell r="DK42">
            <v>0.5</v>
          </cell>
          <cell r="DL42">
            <v>0.5</v>
          </cell>
          <cell r="DM42">
            <v>0.5</v>
          </cell>
          <cell r="DN42">
            <v>0.5</v>
          </cell>
          <cell r="DO42">
            <v>0.5</v>
          </cell>
          <cell r="DP42">
            <v>0.5</v>
          </cell>
          <cell r="DQ42">
            <v>0.5</v>
          </cell>
          <cell r="DR42">
            <v>0.5</v>
          </cell>
          <cell r="DS42">
            <v>0.5</v>
          </cell>
          <cell r="DT42">
            <v>0.5</v>
          </cell>
          <cell r="DU42">
            <v>0.5</v>
          </cell>
          <cell r="DV42">
            <v>0.5</v>
          </cell>
          <cell r="DW42">
            <v>0.5</v>
          </cell>
          <cell r="DX42">
            <v>0.5</v>
          </cell>
          <cell r="DY42">
            <v>0.5</v>
          </cell>
          <cell r="DZ42">
            <v>0.5</v>
          </cell>
          <cell r="EA42">
            <v>0.5</v>
          </cell>
          <cell r="EB42">
            <v>0.5</v>
          </cell>
          <cell r="EC42">
            <v>0.5</v>
          </cell>
          <cell r="ED42">
            <v>0.5</v>
          </cell>
          <cell r="EE42">
            <v>0.5</v>
          </cell>
          <cell r="EF42">
            <v>0.5</v>
          </cell>
          <cell r="EG42">
            <v>0.5</v>
          </cell>
          <cell r="EH42">
            <v>0.5</v>
          </cell>
          <cell r="EI42">
            <v>0.5</v>
          </cell>
          <cell r="EJ42">
            <v>0.5</v>
          </cell>
          <cell r="EK42">
            <v>0.5</v>
          </cell>
          <cell r="EL42">
            <v>0.5</v>
          </cell>
          <cell r="EM42">
            <v>0.5</v>
          </cell>
          <cell r="EN42">
            <v>0.5</v>
          </cell>
          <cell r="EO42">
            <v>0.5</v>
          </cell>
          <cell r="EP42">
            <v>0.5</v>
          </cell>
          <cell r="EQ42">
            <v>0.5</v>
          </cell>
          <cell r="ER42">
            <v>0.5</v>
          </cell>
          <cell r="ES42">
            <v>0.5</v>
          </cell>
          <cell r="ET42">
            <v>0.5</v>
          </cell>
          <cell r="EU42">
            <v>0.5</v>
          </cell>
          <cell r="EV42">
            <v>0.5</v>
          </cell>
          <cell r="EW42">
            <v>0.5</v>
          </cell>
          <cell r="EX42">
            <v>0.5</v>
          </cell>
          <cell r="EY42">
            <v>0.5</v>
          </cell>
          <cell r="EZ42">
            <v>0</v>
          </cell>
          <cell r="FA42">
            <v>0</v>
          </cell>
          <cell r="FB42">
            <v>0</v>
          </cell>
          <cell r="FC42">
            <v>0.5</v>
          </cell>
          <cell r="FD42">
            <v>0.5</v>
          </cell>
          <cell r="FE42">
            <v>0.5</v>
          </cell>
          <cell r="FF42">
            <v>0.5</v>
          </cell>
          <cell r="FG42">
            <v>0.5</v>
          </cell>
          <cell r="FH42">
            <v>0.5</v>
          </cell>
          <cell r="FI42">
            <v>0.5</v>
          </cell>
          <cell r="FJ42">
            <v>0.5</v>
          </cell>
          <cell r="FK42">
            <v>0.5</v>
          </cell>
          <cell r="FL42">
            <v>0.5</v>
          </cell>
          <cell r="FM42">
            <v>0.5</v>
          </cell>
          <cell r="FN42">
            <v>0.5</v>
          </cell>
        </row>
        <row r="43">
          <cell r="A43" t="str">
            <v>G3LCOCO2</v>
          </cell>
          <cell r="B43" t="str">
            <v>LOS COCOS 2</v>
          </cell>
          <cell r="C43">
            <v>50</v>
          </cell>
          <cell r="D43">
            <v>50</v>
          </cell>
          <cell r="E43">
            <v>50</v>
          </cell>
          <cell r="F43">
            <v>50</v>
          </cell>
          <cell r="G43">
            <v>50</v>
          </cell>
          <cell r="H43">
            <v>50</v>
          </cell>
          <cell r="I43">
            <v>50</v>
          </cell>
          <cell r="J43">
            <v>50</v>
          </cell>
          <cell r="K43">
            <v>50</v>
          </cell>
          <cell r="L43">
            <v>50</v>
          </cell>
          <cell r="M43">
            <v>50</v>
          </cell>
          <cell r="N43">
            <v>50</v>
          </cell>
          <cell r="O43">
            <v>50</v>
          </cell>
          <cell r="P43">
            <v>50</v>
          </cell>
          <cell r="Q43">
            <v>50</v>
          </cell>
          <cell r="R43">
            <v>50</v>
          </cell>
          <cell r="S43">
            <v>50</v>
          </cell>
          <cell r="T43">
            <v>50</v>
          </cell>
          <cell r="U43">
            <v>50</v>
          </cell>
          <cell r="V43">
            <v>50</v>
          </cell>
          <cell r="W43">
            <v>50</v>
          </cell>
          <cell r="X43">
            <v>50</v>
          </cell>
          <cell r="Y43">
            <v>50</v>
          </cell>
          <cell r="Z43">
            <v>50</v>
          </cell>
          <cell r="AA43">
            <v>50</v>
          </cell>
          <cell r="AB43">
            <v>50</v>
          </cell>
          <cell r="AC43">
            <v>50</v>
          </cell>
          <cell r="AD43">
            <v>50</v>
          </cell>
          <cell r="AE43">
            <v>50</v>
          </cell>
          <cell r="AF43">
            <v>50</v>
          </cell>
          <cell r="AG43">
            <v>50</v>
          </cell>
          <cell r="AH43">
            <v>50</v>
          </cell>
          <cell r="AI43">
            <v>50</v>
          </cell>
          <cell r="AJ43">
            <v>50</v>
          </cell>
          <cell r="AK43">
            <v>50</v>
          </cell>
          <cell r="AL43">
            <v>50</v>
          </cell>
          <cell r="AM43">
            <v>50</v>
          </cell>
          <cell r="AN43">
            <v>50</v>
          </cell>
          <cell r="AO43">
            <v>50</v>
          </cell>
          <cell r="AP43">
            <v>50</v>
          </cell>
          <cell r="AQ43">
            <v>50</v>
          </cell>
          <cell r="AR43">
            <v>50</v>
          </cell>
          <cell r="AS43">
            <v>50</v>
          </cell>
          <cell r="AT43">
            <v>50</v>
          </cell>
          <cell r="AU43">
            <v>50</v>
          </cell>
          <cell r="AV43">
            <v>50</v>
          </cell>
          <cell r="AW43">
            <v>50</v>
          </cell>
          <cell r="AX43">
            <v>50</v>
          </cell>
          <cell r="AY43">
            <v>50</v>
          </cell>
          <cell r="AZ43">
            <v>50</v>
          </cell>
          <cell r="BA43">
            <v>50</v>
          </cell>
          <cell r="BB43">
            <v>50</v>
          </cell>
          <cell r="BC43">
            <v>50</v>
          </cell>
          <cell r="BD43">
            <v>50</v>
          </cell>
          <cell r="BE43">
            <v>50</v>
          </cell>
          <cell r="BF43">
            <v>50</v>
          </cell>
          <cell r="BG43">
            <v>50</v>
          </cell>
          <cell r="BH43">
            <v>50</v>
          </cell>
          <cell r="BI43">
            <v>50</v>
          </cell>
          <cell r="BJ43">
            <v>50</v>
          </cell>
          <cell r="BK43">
            <v>50</v>
          </cell>
          <cell r="BL43">
            <v>50</v>
          </cell>
          <cell r="BM43">
            <v>50</v>
          </cell>
          <cell r="BN43">
            <v>50</v>
          </cell>
          <cell r="BO43">
            <v>50</v>
          </cell>
          <cell r="BP43">
            <v>50</v>
          </cell>
          <cell r="BQ43">
            <v>50</v>
          </cell>
          <cell r="BR43">
            <v>50</v>
          </cell>
          <cell r="BS43">
            <v>50</v>
          </cell>
          <cell r="BT43">
            <v>50</v>
          </cell>
          <cell r="BU43">
            <v>50</v>
          </cell>
          <cell r="BV43">
            <v>50</v>
          </cell>
          <cell r="BW43">
            <v>50</v>
          </cell>
          <cell r="BX43">
            <v>50</v>
          </cell>
          <cell r="BY43">
            <v>50</v>
          </cell>
          <cell r="BZ43">
            <v>50</v>
          </cell>
          <cell r="CA43">
            <v>50</v>
          </cell>
          <cell r="CB43">
            <v>50</v>
          </cell>
          <cell r="CC43">
            <v>50</v>
          </cell>
          <cell r="CD43">
            <v>50</v>
          </cell>
          <cell r="CE43">
            <v>50</v>
          </cell>
          <cell r="CF43">
            <v>50</v>
          </cell>
          <cell r="CG43">
            <v>50</v>
          </cell>
          <cell r="CH43">
            <v>50</v>
          </cell>
          <cell r="CI43">
            <v>50</v>
          </cell>
          <cell r="CJ43">
            <v>50</v>
          </cell>
          <cell r="CK43">
            <v>50</v>
          </cell>
          <cell r="CL43">
            <v>50</v>
          </cell>
          <cell r="CM43">
            <v>50</v>
          </cell>
          <cell r="CN43">
            <v>50</v>
          </cell>
          <cell r="CO43">
            <v>50</v>
          </cell>
          <cell r="CP43">
            <v>50</v>
          </cell>
          <cell r="CQ43">
            <v>50</v>
          </cell>
          <cell r="CR43">
            <v>50</v>
          </cell>
          <cell r="CS43">
            <v>50</v>
          </cell>
          <cell r="CT43">
            <v>50</v>
          </cell>
          <cell r="CU43">
            <v>50</v>
          </cell>
          <cell r="CV43">
            <v>50</v>
          </cell>
          <cell r="CW43">
            <v>50</v>
          </cell>
          <cell r="CX43">
            <v>50</v>
          </cell>
          <cell r="CY43">
            <v>50</v>
          </cell>
          <cell r="CZ43">
            <v>50</v>
          </cell>
          <cell r="DA43">
            <v>50</v>
          </cell>
          <cell r="DB43">
            <v>50</v>
          </cell>
          <cell r="DC43">
            <v>50</v>
          </cell>
          <cell r="DD43">
            <v>50</v>
          </cell>
          <cell r="DE43">
            <v>50</v>
          </cell>
          <cell r="DF43">
            <v>50</v>
          </cell>
          <cell r="DG43">
            <v>50</v>
          </cell>
          <cell r="DH43">
            <v>50</v>
          </cell>
          <cell r="DI43">
            <v>50</v>
          </cell>
          <cell r="DJ43">
            <v>50</v>
          </cell>
          <cell r="DK43">
            <v>50</v>
          </cell>
          <cell r="DL43">
            <v>50</v>
          </cell>
          <cell r="DM43">
            <v>50</v>
          </cell>
          <cell r="DN43">
            <v>50</v>
          </cell>
          <cell r="DO43">
            <v>50</v>
          </cell>
          <cell r="DP43">
            <v>50</v>
          </cell>
          <cell r="DQ43">
            <v>50</v>
          </cell>
          <cell r="DR43">
            <v>50</v>
          </cell>
          <cell r="DS43">
            <v>50</v>
          </cell>
          <cell r="DT43">
            <v>50</v>
          </cell>
          <cell r="DU43">
            <v>50</v>
          </cell>
          <cell r="DV43">
            <v>50</v>
          </cell>
          <cell r="DW43">
            <v>50</v>
          </cell>
          <cell r="DX43">
            <v>50</v>
          </cell>
          <cell r="DY43">
            <v>52</v>
          </cell>
          <cell r="DZ43">
            <v>50</v>
          </cell>
          <cell r="EA43">
            <v>50</v>
          </cell>
          <cell r="EB43">
            <v>50</v>
          </cell>
          <cell r="EC43">
            <v>50</v>
          </cell>
          <cell r="ED43">
            <v>50</v>
          </cell>
          <cell r="EE43">
            <v>50</v>
          </cell>
          <cell r="EF43">
            <v>50</v>
          </cell>
          <cell r="EG43">
            <v>50</v>
          </cell>
          <cell r="EH43">
            <v>50</v>
          </cell>
          <cell r="EI43">
            <v>50</v>
          </cell>
          <cell r="EJ43">
            <v>50</v>
          </cell>
          <cell r="EK43">
            <v>50</v>
          </cell>
          <cell r="EL43">
            <v>50</v>
          </cell>
          <cell r="EM43">
            <v>50</v>
          </cell>
          <cell r="EN43">
            <v>50</v>
          </cell>
          <cell r="EO43">
            <v>50</v>
          </cell>
          <cell r="EP43">
            <v>50</v>
          </cell>
          <cell r="EQ43">
            <v>50</v>
          </cell>
          <cell r="ER43">
            <v>50</v>
          </cell>
          <cell r="ES43">
            <v>50</v>
          </cell>
          <cell r="ET43">
            <v>50</v>
          </cell>
          <cell r="EU43">
            <v>50</v>
          </cell>
          <cell r="EV43">
            <v>50</v>
          </cell>
          <cell r="EW43">
            <v>50</v>
          </cell>
          <cell r="EX43">
            <v>50</v>
          </cell>
          <cell r="EY43">
            <v>50</v>
          </cell>
          <cell r="EZ43">
            <v>50</v>
          </cell>
          <cell r="FA43">
            <v>50</v>
          </cell>
          <cell r="FB43">
            <v>50</v>
          </cell>
          <cell r="FC43">
            <v>50</v>
          </cell>
          <cell r="FD43">
            <v>50</v>
          </cell>
          <cell r="FE43">
            <v>50</v>
          </cell>
          <cell r="FF43">
            <v>50</v>
          </cell>
          <cell r="FG43">
            <v>50</v>
          </cell>
          <cell r="FH43">
            <v>50</v>
          </cell>
          <cell r="FI43">
            <v>50</v>
          </cell>
          <cell r="FJ43">
            <v>50</v>
          </cell>
          <cell r="FK43">
            <v>50</v>
          </cell>
          <cell r="FL43">
            <v>50</v>
          </cell>
          <cell r="FM43">
            <v>50</v>
          </cell>
          <cell r="FN43">
            <v>50</v>
          </cell>
        </row>
        <row r="44">
          <cell r="A44" t="str">
            <v>G3LDAMAS</v>
          </cell>
          <cell r="B44" t="str">
            <v>LAS DAMAS</v>
          </cell>
          <cell r="C44">
            <v>1.5</v>
          </cell>
          <cell r="D44">
            <v>1.5</v>
          </cell>
          <cell r="E44">
            <v>1.5</v>
          </cell>
          <cell r="F44">
            <v>1.5</v>
          </cell>
          <cell r="G44">
            <v>1.5</v>
          </cell>
          <cell r="H44">
            <v>1.5</v>
          </cell>
          <cell r="I44">
            <v>1.5</v>
          </cell>
          <cell r="J44">
            <v>1.5</v>
          </cell>
          <cell r="K44">
            <v>1.5</v>
          </cell>
          <cell r="L44">
            <v>1.5</v>
          </cell>
          <cell r="M44">
            <v>1.5</v>
          </cell>
          <cell r="N44">
            <v>1.5</v>
          </cell>
          <cell r="O44">
            <v>1.5</v>
          </cell>
          <cell r="P44">
            <v>1.5</v>
          </cell>
          <cell r="Q44">
            <v>1.5</v>
          </cell>
          <cell r="R44">
            <v>1.5</v>
          </cell>
          <cell r="S44">
            <v>1.5</v>
          </cell>
          <cell r="T44">
            <v>1.5</v>
          </cell>
          <cell r="U44">
            <v>1.5</v>
          </cell>
          <cell r="V44">
            <v>1.5</v>
          </cell>
          <cell r="W44">
            <v>1.5</v>
          </cell>
          <cell r="X44">
            <v>1.5</v>
          </cell>
          <cell r="Y44">
            <v>1.5</v>
          </cell>
          <cell r="Z44">
            <v>1.5</v>
          </cell>
          <cell r="AA44">
            <v>1.5</v>
          </cell>
          <cell r="AB44">
            <v>1.5</v>
          </cell>
          <cell r="AC44">
            <v>1.5</v>
          </cell>
          <cell r="AD44">
            <v>1.5</v>
          </cell>
          <cell r="AE44">
            <v>1.5</v>
          </cell>
          <cell r="AF44">
            <v>1.5</v>
          </cell>
          <cell r="AG44">
            <v>1.5</v>
          </cell>
          <cell r="AH44">
            <v>1.5</v>
          </cell>
          <cell r="AI44">
            <v>1.5</v>
          </cell>
          <cell r="AJ44">
            <v>1.5</v>
          </cell>
          <cell r="AK44">
            <v>1.5</v>
          </cell>
          <cell r="AL44">
            <v>1.5</v>
          </cell>
          <cell r="AM44">
            <v>1.5</v>
          </cell>
          <cell r="AN44">
            <v>1.5</v>
          </cell>
          <cell r="AO44">
            <v>1.5</v>
          </cell>
          <cell r="AP44">
            <v>1.5</v>
          </cell>
          <cell r="AQ44">
            <v>1.5</v>
          </cell>
          <cell r="AR44">
            <v>1.5</v>
          </cell>
          <cell r="AS44">
            <v>1.5</v>
          </cell>
          <cell r="AT44">
            <v>1.5</v>
          </cell>
          <cell r="AU44">
            <v>1.5</v>
          </cell>
          <cell r="AV44">
            <v>1.5</v>
          </cell>
          <cell r="AW44">
            <v>1.5</v>
          </cell>
          <cell r="AX44">
            <v>1.5</v>
          </cell>
          <cell r="AY44">
            <v>1.5</v>
          </cell>
          <cell r="AZ44">
            <v>1.5</v>
          </cell>
          <cell r="BA44">
            <v>1.5</v>
          </cell>
          <cell r="BB44">
            <v>1.5</v>
          </cell>
          <cell r="BC44">
            <v>1.5</v>
          </cell>
          <cell r="BD44">
            <v>1.5</v>
          </cell>
          <cell r="BE44">
            <v>1.5</v>
          </cell>
          <cell r="BF44">
            <v>1.5</v>
          </cell>
          <cell r="BG44">
            <v>1.5</v>
          </cell>
          <cell r="BH44">
            <v>1.5</v>
          </cell>
          <cell r="BI44">
            <v>1.5</v>
          </cell>
          <cell r="BJ44">
            <v>1.5</v>
          </cell>
          <cell r="BK44">
            <v>1.5</v>
          </cell>
          <cell r="BL44">
            <v>1.5</v>
          </cell>
          <cell r="BM44">
            <v>1.5</v>
          </cell>
          <cell r="BN44">
            <v>1.5</v>
          </cell>
          <cell r="BO44">
            <v>1.5</v>
          </cell>
          <cell r="BP44">
            <v>1.5</v>
          </cell>
          <cell r="BQ44">
            <v>1.5</v>
          </cell>
          <cell r="BR44">
            <v>1.5</v>
          </cell>
          <cell r="BS44">
            <v>1.5</v>
          </cell>
          <cell r="BT44">
            <v>1.5</v>
          </cell>
          <cell r="BU44">
            <v>1.5</v>
          </cell>
          <cell r="BV44">
            <v>1.5</v>
          </cell>
          <cell r="BW44">
            <v>1.5</v>
          </cell>
          <cell r="BX44">
            <v>1.5</v>
          </cell>
          <cell r="BY44">
            <v>1.5</v>
          </cell>
          <cell r="BZ44">
            <v>1.5</v>
          </cell>
          <cell r="CA44">
            <v>1.5</v>
          </cell>
          <cell r="CB44">
            <v>1.5</v>
          </cell>
          <cell r="CC44">
            <v>1.5</v>
          </cell>
          <cell r="CD44">
            <v>1.5</v>
          </cell>
          <cell r="CE44">
            <v>1.5</v>
          </cell>
          <cell r="CF44">
            <v>1.5</v>
          </cell>
          <cell r="CG44">
            <v>1.5</v>
          </cell>
          <cell r="CH44">
            <v>1.5</v>
          </cell>
          <cell r="CI44">
            <v>1.5</v>
          </cell>
          <cell r="CJ44">
            <v>1.5</v>
          </cell>
          <cell r="CK44">
            <v>1.5</v>
          </cell>
          <cell r="CL44">
            <v>1.5</v>
          </cell>
          <cell r="CM44">
            <v>1.5</v>
          </cell>
          <cell r="CN44">
            <v>1.5</v>
          </cell>
          <cell r="CO44">
            <v>1.5</v>
          </cell>
          <cell r="CP44">
            <v>1.5</v>
          </cell>
          <cell r="CQ44">
            <v>1.5</v>
          </cell>
          <cell r="CR44">
            <v>1.5</v>
          </cell>
          <cell r="CS44">
            <v>1.5</v>
          </cell>
          <cell r="CT44">
            <v>1.5</v>
          </cell>
          <cell r="CU44">
            <v>1.5</v>
          </cell>
          <cell r="CV44">
            <v>1.5</v>
          </cell>
          <cell r="CW44">
            <v>1.5</v>
          </cell>
          <cell r="CX44">
            <v>1.5</v>
          </cell>
          <cell r="CY44">
            <v>1.5</v>
          </cell>
          <cell r="CZ44">
            <v>1.5</v>
          </cell>
          <cell r="DA44">
            <v>1.5</v>
          </cell>
          <cell r="DB44">
            <v>1.5</v>
          </cell>
          <cell r="DC44">
            <v>1.5</v>
          </cell>
          <cell r="DD44">
            <v>1.5</v>
          </cell>
          <cell r="DE44">
            <v>1.5</v>
          </cell>
          <cell r="DF44">
            <v>1.5</v>
          </cell>
          <cell r="DG44">
            <v>1.5</v>
          </cell>
          <cell r="DH44">
            <v>1.5</v>
          </cell>
          <cell r="DI44">
            <v>1.5</v>
          </cell>
          <cell r="DJ44">
            <v>1.5</v>
          </cell>
          <cell r="DK44">
            <v>1.5</v>
          </cell>
          <cell r="DL44">
            <v>1.5</v>
          </cell>
          <cell r="DM44">
            <v>1.5</v>
          </cell>
          <cell r="DN44">
            <v>1.5</v>
          </cell>
          <cell r="DO44">
            <v>1.5</v>
          </cell>
          <cell r="DP44">
            <v>1.5</v>
          </cell>
          <cell r="DQ44">
            <v>1.5</v>
          </cell>
          <cell r="DR44">
            <v>1.5</v>
          </cell>
          <cell r="DS44">
            <v>1.5</v>
          </cell>
          <cell r="DT44">
            <v>1.5</v>
          </cell>
          <cell r="DU44">
            <v>1.5</v>
          </cell>
          <cell r="DV44">
            <v>1.5</v>
          </cell>
          <cell r="DW44">
            <v>1.5</v>
          </cell>
          <cell r="DX44">
            <v>1.5</v>
          </cell>
          <cell r="DY44">
            <v>1.5</v>
          </cell>
          <cell r="DZ44">
            <v>1.5</v>
          </cell>
          <cell r="EA44">
            <v>1.5</v>
          </cell>
          <cell r="EB44">
            <v>1.5</v>
          </cell>
          <cell r="EC44">
            <v>1.5</v>
          </cell>
          <cell r="ED44">
            <v>1.5</v>
          </cell>
          <cell r="EE44">
            <v>1.5</v>
          </cell>
          <cell r="EF44">
            <v>1.5</v>
          </cell>
          <cell r="EG44">
            <v>1.5</v>
          </cell>
          <cell r="EH44">
            <v>1.5</v>
          </cell>
          <cell r="EI44">
            <v>1.5</v>
          </cell>
          <cell r="EJ44">
            <v>1.5</v>
          </cell>
          <cell r="EK44">
            <v>1.5</v>
          </cell>
          <cell r="EL44">
            <v>1.5</v>
          </cell>
          <cell r="EM44">
            <v>1.5</v>
          </cell>
          <cell r="EN44">
            <v>1.5</v>
          </cell>
          <cell r="EO44">
            <v>1.5</v>
          </cell>
          <cell r="EP44">
            <v>1.5</v>
          </cell>
          <cell r="EQ44">
            <v>1.5</v>
          </cell>
          <cell r="ER44">
            <v>1.5</v>
          </cell>
          <cell r="ES44">
            <v>1.5</v>
          </cell>
          <cell r="ET44">
            <v>1.5</v>
          </cell>
          <cell r="EU44">
            <v>1.5</v>
          </cell>
          <cell r="EV44">
            <v>1.5</v>
          </cell>
          <cell r="EW44">
            <v>1.5</v>
          </cell>
          <cell r="EX44">
            <v>1.5</v>
          </cell>
          <cell r="EY44">
            <v>1.5</v>
          </cell>
          <cell r="EZ44">
            <v>1.5</v>
          </cell>
          <cell r="FA44">
            <v>1.5</v>
          </cell>
          <cell r="FB44">
            <v>1.5</v>
          </cell>
          <cell r="FC44">
            <v>1.5</v>
          </cell>
          <cell r="FD44">
            <v>1.5</v>
          </cell>
          <cell r="FE44">
            <v>1.5</v>
          </cell>
          <cell r="FF44">
            <v>1.5</v>
          </cell>
          <cell r="FG44">
            <v>1.5</v>
          </cell>
          <cell r="FH44">
            <v>1.5</v>
          </cell>
          <cell r="FI44">
            <v>1.5</v>
          </cell>
          <cell r="FJ44">
            <v>1.5</v>
          </cell>
          <cell r="FK44">
            <v>1.5</v>
          </cell>
          <cell r="FL44">
            <v>1.5</v>
          </cell>
          <cell r="FM44">
            <v>1.5</v>
          </cell>
          <cell r="FN44">
            <v>1.5</v>
          </cell>
        </row>
        <row r="45">
          <cell r="A45" t="str">
            <v>G3LMINA5</v>
          </cell>
          <cell r="B45" t="str">
            <v>LOS MINA 5</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cell r="FD45">
            <v>0</v>
          </cell>
          <cell r="FE45">
            <v>0</v>
          </cell>
          <cell r="FF45">
            <v>0</v>
          </cell>
          <cell r="FG45">
            <v>0</v>
          </cell>
          <cell r="FH45">
            <v>0</v>
          </cell>
          <cell r="FI45">
            <v>0</v>
          </cell>
          <cell r="FJ45">
            <v>0</v>
          </cell>
          <cell r="FK45">
            <v>0</v>
          </cell>
          <cell r="FL45">
            <v>0</v>
          </cell>
          <cell r="FM45">
            <v>0</v>
          </cell>
          <cell r="FN45">
            <v>0</v>
          </cell>
        </row>
        <row r="46">
          <cell r="A46" t="str">
            <v>G3LMINA6</v>
          </cell>
          <cell r="B46" t="str">
            <v>LOS MINA 6</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0</v>
          </cell>
          <cell r="EF46">
            <v>0</v>
          </cell>
          <cell r="EG46">
            <v>0</v>
          </cell>
          <cell r="EH46">
            <v>0</v>
          </cell>
          <cell r="EI46">
            <v>0</v>
          </cell>
          <cell r="EJ46">
            <v>0</v>
          </cell>
          <cell r="EK46">
            <v>0</v>
          </cell>
          <cell r="EL46">
            <v>0</v>
          </cell>
          <cell r="EM46">
            <v>0</v>
          </cell>
          <cell r="EN46">
            <v>0</v>
          </cell>
          <cell r="EO46">
            <v>0</v>
          </cell>
          <cell r="EP46">
            <v>0</v>
          </cell>
          <cell r="EQ46">
            <v>0</v>
          </cell>
          <cell r="ER46">
            <v>0</v>
          </cell>
          <cell r="ES46">
            <v>0</v>
          </cell>
          <cell r="ET46">
            <v>0</v>
          </cell>
          <cell r="EU46">
            <v>0</v>
          </cell>
          <cell r="EV46">
            <v>0</v>
          </cell>
          <cell r="EW46">
            <v>0</v>
          </cell>
          <cell r="EX46">
            <v>0</v>
          </cell>
          <cell r="EY46">
            <v>0</v>
          </cell>
          <cell r="EZ46">
            <v>0</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row>
        <row r="47">
          <cell r="A47" t="str">
            <v>G3LOPPFO</v>
          </cell>
          <cell r="B47" t="str">
            <v>LOS ORÍGENES POWER PLANT FUEL OIL</v>
          </cell>
          <cell r="C47">
            <v>33.6</v>
          </cell>
          <cell r="D47">
            <v>33.6</v>
          </cell>
          <cell r="E47">
            <v>33.6</v>
          </cell>
          <cell r="F47">
            <v>33.6</v>
          </cell>
          <cell r="G47">
            <v>33.6</v>
          </cell>
          <cell r="H47">
            <v>33.6</v>
          </cell>
          <cell r="I47">
            <v>33.6</v>
          </cell>
          <cell r="J47">
            <v>33.6</v>
          </cell>
          <cell r="K47">
            <v>33.6</v>
          </cell>
          <cell r="L47">
            <v>33.6</v>
          </cell>
          <cell r="M47">
            <v>33.6</v>
          </cell>
          <cell r="N47">
            <v>33.6</v>
          </cell>
          <cell r="O47">
            <v>33.6</v>
          </cell>
          <cell r="P47">
            <v>33.6</v>
          </cell>
          <cell r="Q47">
            <v>33.6</v>
          </cell>
          <cell r="R47">
            <v>33.6</v>
          </cell>
          <cell r="S47">
            <v>33.6</v>
          </cell>
          <cell r="T47">
            <v>33.6</v>
          </cell>
          <cell r="U47">
            <v>33.6</v>
          </cell>
          <cell r="V47">
            <v>33.6</v>
          </cell>
          <cell r="W47">
            <v>33.6</v>
          </cell>
          <cell r="X47">
            <v>33.6</v>
          </cell>
          <cell r="Y47">
            <v>33.6</v>
          </cell>
          <cell r="Z47">
            <v>33.6</v>
          </cell>
          <cell r="AA47">
            <v>33.6</v>
          </cell>
          <cell r="AB47">
            <v>33.6</v>
          </cell>
          <cell r="AC47">
            <v>33.6</v>
          </cell>
          <cell r="AD47">
            <v>33.6</v>
          </cell>
          <cell r="AE47">
            <v>33.6</v>
          </cell>
          <cell r="AF47">
            <v>33.6</v>
          </cell>
          <cell r="AG47">
            <v>33.6</v>
          </cell>
          <cell r="AH47">
            <v>33.6</v>
          </cell>
          <cell r="AI47">
            <v>33.6</v>
          </cell>
          <cell r="AJ47">
            <v>33.6</v>
          </cell>
          <cell r="AK47">
            <v>33.6</v>
          </cell>
          <cell r="AL47">
            <v>33.6</v>
          </cell>
          <cell r="AM47">
            <v>33.6</v>
          </cell>
          <cell r="AN47">
            <v>33.6</v>
          </cell>
          <cell r="AO47">
            <v>33.6</v>
          </cell>
          <cell r="AP47">
            <v>33.6</v>
          </cell>
          <cell r="AQ47">
            <v>33.6</v>
          </cell>
          <cell r="AR47">
            <v>33.6</v>
          </cell>
          <cell r="AS47">
            <v>33.6</v>
          </cell>
          <cell r="AT47">
            <v>33.6</v>
          </cell>
          <cell r="AU47">
            <v>33.6</v>
          </cell>
          <cell r="AV47">
            <v>33.6</v>
          </cell>
          <cell r="AW47">
            <v>33.6</v>
          </cell>
          <cell r="AX47">
            <v>33.6</v>
          </cell>
          <cell r="AY47">
            <v>33.6</v>
          </cell>
          <cell r="AZ47">
            <v>33.6</v>
          </cell>
          <cell r="BA47">
            <v>33.6</v>
          </cell>
          <cell r="BB47">
            <v>33.6</v>
          </cell>
          <cell r="BC47">
            <v>33.6</v>
          </cell>
          <cell r="BD47">
            <v>33.6</v>
          </cell>
          <cell r="BE47">
            <v>33.6</v>
          </cell>
          <cell r="BF47">
            <v>33.6</v>
          </cell>
          <cell r="BG47">
            <v>33.6</v>
          </cell>
          <cell r="BH47">
            <v>33.6</v>
          </cell>
          <cell r="BI47">
            <v>33.6</v>
          </cell>
          <cell r="BJ47">
            <v>33.6</v>
          </cell>
          <cell r="BK47">
            <v>33.6</v>
          </cell>
          <cell r="BL47">
            <v>33.6</v>
          </cell>
          <cell r="BM47">
            <v>33.6</v>
          </cell>
          <cell r="BN47">
            <v>33.6</v>
          </cell>
          <cell r="BO47">
            <v>33.6</v>
          </cell>
          <cell r="BP47">
            <v>33.6</v>
          </cell>
          <cell r="BQ47">
            <v>33.6</v>
          </cell>
          <cell r="BR47">
            <v>33.6</v>
          </cell>
          <cell r="BS47">
            <v>33.6</v>
          </cell>
          <cell r="BT47">
            <v>33.6</v>
          </cell>
          <cell r="BU47">
            <v>33.6</v>
          </cell>
          <cell r="BV47">
            <v>33.6</v>
          </cell>
          <cell r="BW47">
            <v>33.6</v>
          </cell>
          <cell r="BX47">
            <v>33.6</v>
          </cell>
          <cell r="BY47">
            <v>33.6</v>
          </cell>
          <cell r="BZ47">
            <v>33.6</v>
          </cell>
          <cell r="CA47">
            <v>33.6</v>
          </cell>
          <cell r="CB47">
            <v>33.6</v>
          </cell>
          <cell r="CC47">
            <v>33.6</v>
          </cell>
          <cell r="CD47">
            <v>33.6</v>
          </cell>
          <cell r="CE47">
            <v>33.6</v>
          </cell>
          <cell r="CF47">
            <v>33.6</v>
          </cell>
          <cell r="CG47">
            <v>33.6</v>
          </cell>
          <cell r="CH47">
            <v>33.6</v>
          </cell>
          <cell r="CI47">
            <v>33.6</v>
          </cell>
          <cell r="CJ47">
            <v>33.6</v>
          </cell>
          <cell r="CK47">
            <v>33.6</v>
          </cell>
          <cell r="CL47">
            <v>33.6</v>
          </cell>
          <cell r="CM47">
            <v>33.6</v>
          </cell>
          <cell r="CN47">
            <v>33.6</v>
          </cell>
          <cell r="CO47">
            <v>33.6</v>
          </cell>
          <cell r="CP47">
            <v>33.6</v>
          </cell>
          <cell r="CQ47">
            <v>33.6</v>
          </cell>
          <cell r="CR47">
            <v>33.6</v>
          </cell>
          <cell r="CS47">
            <v>33.6</v>
          </cell>
          <cell r="CT47">
            <v>33.6</v>
          </cell>
          <cell r="CU47">
            <v>33.6</v>
          </cell>
          <cell r="CV47">
            <v>33.6</v>
          </cell>
          <cell r="CW47">
            <v>33.6</v>
          </cell>
          <cell r="CX47">
            <v>33.6</v>
          </cell>
          <cell r="CY47">
            <v>33.6</v>
          </cell>
          <cell r="CZ47">
            <v>33.6</v>
          </cell>
          <cell r="DA47">
            <v>33.6</v>
          </cell>
          <cell r="DB47">
            <v>33.6</v>
          </cell>
          <cell r="DC47">
            <v>33.6</v>
          </cell>
          <cell r="DD47">
            <v>33.6</v>
          </cell>
          <cell r="DE47">
            <v>33.6</v>
          </cell>
          <cell r="DF47">
            <v>33.6</v>
          </cell>
          <cell r="DG47">
            <v>33.6</v>
          </cell>
          <cell r="DH47">
            <v>33.6</v>
          </cell>
          <cell r="DI47">
            <v>33.6</v>
          </cell>
          <cell r="DJ47">
            <v>33.6</v>
          </cell>
          <cell r="DK47">
            <v>33.6</v>
          </cell>
          <cell r="DL47">
            <v>33.6</v>
          </cell>
          <cell r="DM47">
            <v>33.6</v>
          </cell>
          <cell r="DN47">
            <v>33.6</v>
          </cell>
          <cell r="DO47">
            <v>33.6</v>
          </cell>
          <cell r="DP47">
            <v>33.6</v>
          </cell>
          <cell r="DQ47">
            <v>33.6</v>
          </cell>
          <cell r="DR47">
            <v>33.6</v>
          </cell>
          <cell r="DS47">
            <v>33.6</v>
          </cell>
          <cell r="DT47">
            <v>33.6</v>
          </cell>
          <cell r="DU47">
            <v>33.6</v>
          </cell>
          <cell r="DV47">
            <v>33.6</v>
          </cell>
          <cell r="DW47">
            <v>33.6</v>
          </cell>
          <cell r="DX47">
            <v>33.6</v>
          </cell>
          <cell r="DY47">
            <v>33.6</v>
          </cell>
          <cell r="DZ47">
            <v>33.6</v>
          </cell>
          <cell r="EA47">
            <v>33.6</v>
          </cell>
          <cell r="EB47">
            <v>33.6</v>
          </cell>
          <cell r="EC47">
            <v>33.6</v>
          </cell>
          <cell r="ED47">
            <v>33.6</v>
          </cell>
          <cell r="EE47">
            <v>33.6</v>
          </cell>
          <cell r="EF47">
            <v>33.6</v>
          </cell>
          <cell r="EG47">
            <v>33.6</v>
          </cell>
          <cell r="EH47">
            <v>33.6</v>
          </cell>
          <cell r="EI47">
            <v>33.6</v>
          </cell>
          <cell r="EJ47">
            <v>33.6</v>
          </cell>
          <cell r="EK47">
            <v>33.6</v>
          </cell>
          <cell r="EL47">
            <v>33.6</v>
          </cell>
          <cell r="EM47">
            <v>33.6</v>
          </cell>
          <cell r="EN47">
            <v>33.6</v>
          </cell>
          <cell r="EO47">
            <v>33.6</v>
          </cell>
          <cell r="EP47">
            <v>33.6</v>
          </cell>
          <cell r="EQ47">
            <v>33.6</v>
          </cell>
          <cell r="ER47">
            <v>33.6</v>
          </cell>
          <cell r="ES47">
            <v>33.6</v>
          </cell>
          <cell r="ET47">
            <v>33.6</v>
          </cell>
          <cell r="EU47">
            <v>33.6</v>
          </cell>
          <cell r="EV47">
            <v>33.6</v>
          </cell>
          <cell r="EW47">
            <v>33.6</v>
          </cell>
          <cell r="EX47">
            <v>33.6</v>
          </cell>
          <cell r="EY47">
            <v>33.6</v>
          </cell>
          <cell r="EZ47">
            <v>33.6</v>
          </cell>
          <cell r="FA47">
            <v>33.6</v>
          </cell>
          <cell r="FB47">
            <v>33.6</v>
          </cell>
          <cell r="FC47">
            <v>33.6</v>
          </cell>
          <cell r="FD47">
            <v>33.6</v>
          </cell>
          <cell r="FE47">
            <v>33.6</v>
          </cell>
          <cell r="FF47">
            <v>33.6</v>
          </cell>
          <cell r="FG47">
            <v>33.6</v>
          </cell>
          <cell r="FH47">
            <v>33.6</v>
          </cell>
          <cell r="FI47">
            <v>33.6</v>
          </cell>
          <cell r="FJ47">
            <v>33.6</v>
          </cell>
          <cell r="FK47">
            <v>33.6</v>
          </cell>
          <cell r="FL47">
            <v>33.6</v>
          </cell>
          <cell r="FM47">
            <v>33.6</v>
          </cell>
          <cell r="FN47">
            <v>33.6</v>
          </cell>
        </row>
        <row r="48">
          <cell r="A48" t="str">
            <v>G3LOPPGN</v>
          </cell>
          <cell r="B48" t="str">
            <v>LOS ORÍGENES POWER PLANT GAS NATURAL</v>
          </cell>
          <cell r="C48">
            <v>25.3</v>
          </cell>
          <cell r="D48">
            <v>25.3</v>
          </cell>
          <cell r="E48">
            <v>25.3</v>
          </cell>
          <cell r="F48">
            <v>25.3</v>
          </cell>
          <cell r="G48">
            <v>25.3</v>
          </cell>
          <cell r="H48">
            <v>25.3</v>
          </cell>
          <cell r="I48">
            <v>25.3</v>
          </cell>
          <cell r="J48">
            <v>25.3</v>
          </cell>
          <cell r="K48">
            <v>25.3</v>
          </cell>
          <cell r="L48">
            <v>25.3</v>
          </cell>
          <cell r="M48">
            <v>25.3</v>
          </cell>
          <cell r="N48">
            <v>25.3</v>
          </cell>
          <cell r="O48">
            <v>25.3</v>
          </cell>
          <cell r="P48">
            <v>25.3</v>
          </cell>
          <cell r="Q48">
            <v>25.3</v>
          </cell>
          <cell r="R48">
            <v>25.3</v>
          </cell>
          <cell r="S48">
            <v>25.3</v>
          </cell>
          <cell r="T48">
            <v>25.3</v>
          </cell>
          <cell r="U48">
            <v>25.3</v>
          </cell>
          <cell r="V48">
            <v>25.3</v>
          </cell>
          <cell r="W48">
            <v>25.3</v>
          </cell>
          <cell r="X48">
            <v>25.3</v>
          </cell>
          <cell r="Y48">
            <v>25.3</v>
          </cell>
          <cell r="Z48">
            <v>25.3</v>
          </cell>
          <cell r="AA48">
            <v>25.3</v>
          </cell>
          <cell r="AB48">
            <v>25.3</v>
          </cell>
          <cell r="AC48">
            <v>25.3</v>
          </cell>
          <cell r="AD48">
            <v>25.3</v>
          </cell>
          <cell r="AE48">
            <v>25.3</v>
          </cell>
          <cell r="AF48">
            <v>25.3</v>
          </cell>
          <cell r="AG48">
            <v>25.3</v>
          </cell>
          <cell r="AH48">
            <v>25.3</v>
          </cell>
          <cell r="AI48">
            <v>25.3</v>
          </cell>
          <cell r="AJ48">
            <v>25.3</v>
          </cell>
          <cell r="AK48">
            <v>25.3</v>
          </cell>
          <cell r="AL48">
            <v>25.3</v>
          </cell>
          <cell r="AM48">
            <v>25.3</v>
          </cell>
          <cell r="AN48">
            <v>25.3</v>
          </cell>
          <cell r="AO48">
            <v>25.3</v>
          </cell>
          <cell r="AP48">
            <v>25.3</v>
          </cell>
          <cell r="AQ48">
            <v>25.3</v>
          </cell>
          <cell r="AR48">
            <v>25.3</v>
          </cell>
          <cell r="AS48">
            <v>25.3</v>
          </cell>
          <cell r="AT48">
            <v>25.3</v>
          </cell>
          <cell r="AU48">
            <v>25.3</v>
          </cell>
          <cell r="AV48">
            <v>25.3</v>
          </cell>
          <cell r="AW48">
            <v>25.3</v>
          </cell>
          <cell r="AX48">
            <v>25.3</v>
          </cell>
          <cell r="AY48">
            <v>25.3</v>
          </cell>
          <cell r="AZ48">
            <v>25.3</v>
          </cell>
          <cell r="BA48">
            <v>25.3</v>
          </cell>
          <cell r="BB48">
            <v>25.3</v>
          </cell>
          <cell r="BC48">
            <v>25.3</v>
          </cell>
          <cell r="BD48">
            <v>25.3</v>
          </cell>
          <cell r="BE48">
            <v>25.3</v>
          </cell>
          <cell r="BF48">
            <v>25.3</v>
          </cell>
          <cell r="BG48">
            <v>25.3</v>
          </cell>
          <cell r="BH48">
            <v>25.3</v>
          </cell>
          <cell r="BI48">
            <v>25.3</v>
          </cell>
          <cell r="BJ48">
            <v>25.3</v>
          </cell>
          <cell r="BK48">
            <v>25.3</v>
          </cell>
          <cell r="BL48">
            <v>25.3</v>
          </cell>
          <cell r="BM48">
            <v>25.3</v>
          </cell>
          <cell r="BN48">
            <v>25.3</v>
          </cell>
          <cell r="BO48">
            <v>25.3</v>
          </cell>
          <cell r="BP48">
            <v>25.3</v>
          </cell>
          <cell r="BQ48">
            <v>25.3</v>
          </cell>
          <cell r="BR48">
            <v>25.3</v>
          </cell>
          <cell r="BS48">
            <v>25.3</v>
          </cell>
          <cell r="BT48">
            <v>25.3</v>
          </cell>
          <cell r="BU48">
            <v>25.3</v>
          </cell>
          <cell r="BV48">
            <v>25.3</v>
          </cell>
          <cell r="BW48">
            <v>25.3</v>
          </cell>
          <cell r="BX48">
            <v>25.3</v>
          </cell>
          <cell r="BY48">
            <v>25.3</v>
          </cell>
          <cell r="BZ48">
            <v>25.3</v>
          </cell>
          <cell r="CA48">
            <v>25.3</v>
          </cell>
          <cell r="CB48">
            <v>25.3</v>
          </cell>
          <cell r="CC48">
            <v>25.3</v>
          </cell>
          <cell r="CD48">
            <v>25.3</v>
          </cell>
          <cell r="CE48">
            <v>25.3</v>
          </cell>
          <cell r="CF48">
            <v>25.3</v>
          </cell>
          <cell r="CG48">
            <v>25.3</v>
          </cell>
          <cell r="CH48">
            <v>25.3</v>
          </cell>
          <cell r="CI48">
            <v>25.3</v>
          </cell>
          <cell r="CJ48">
            <v>25.3</v>
          </cell>
          <cell r="CK48">
            <v>25.3</v>
          </cell>
          <cell r="CL48">
            <v>25.3</v>
          </cell>
          <cell r="CM48">
            <v>25.3</v>
          </cell>
          <cell r="CN48">
            <v>25.3</v>
          </cell>
          <cell r="CO48">
            <v>25.3</v>
          </cell>
          <cell r="CP48">
            <v>25.3</v>
          </cell>
          <cell r="CQ48">
            <v>25.3</v>
          </cell>
          <cell r="CR48">
            <v>25.3</v>
          </cell>
          <cell r="CS48">
            <v>25.3</v>
          </cell>
          <cell r="CT48">
            <v>25.3</v>
          </cell>
          <cell r="CU48">
            <v>25.3</v>
          </cell>
          <cell r="CV48">
            <v>25.3</v>
          </cell>
          <cell r="CW48">
            <v>25.3</v>
          </cell>
          <cell r="CX48">
            <v>25.3</v>
          </cell>
          <cell r="CY48">
            <v>25.3</v>
          </cell>
          <cell r="CZ48">
            <v>25.3</v>
          </cell>
          <cell r="DA48">
            <v>25.3</v>
          </cell>
          <cell r="DB48">
            <v>25.3</v>
          </cell>
          <cell r="DC48">
            <v>25.3</v>
          </cell>
          <cell r="DD48">
            <v>25.3</v>
          </cell>
          <cell r="DE48">
            <v>25.3</v>
          </cell>
          <cell r="DF48">
            <v>25.3</v>
          </cell>
          <cell r="DG48">
            <v>25.3</v>
          </cell>
          <cell r="DH48">
            <v>25.3</v>
          </cell>
          <cell r="DI48">
            <v>25.3</v>
          </cell>
          <cell r="DJ48">
            <v>25.3</v>
          </cell>
          <cell r="DK48">
            <v>25.3</v>
          </cell>
          <cell r="DL48">
            <v>25.3</v>
          </cell>
          <cell r="DM48">
            <v>25.3</v>
          </cell>
          <cell r="DN48">
            <v>25.3</v>
          </cell>
          <cell r="DO48">
            <v>25.3</v>
          </cell>
          <cell r="DP48">
            <v>25.3</v>
          </cell>
          <cell r="DQ48">
            <v>25.3</v>
          </cell>
          <cell r="DR48">
            <v>25.3</v>
          </cell>
          <cell r="DS48">
            <v>25.3</v>
          </cell>
          <cell r="DT48">
            <v>25.3</v>
          </cell>
          <cell r="DU48">
            <v>25.3</v>
          </cell>
          <cell r="DV48">
            <v>25.3</v>
          </cell>
          <cell r="DW48">
            <v>25.3</v>
          </cell>
          <cell r="DX48">
            <v>25.3</v>
          </cell>
          <cell r="DY48">
            <v>25.3</v>
          </cell>
          <cell r="DZ48">
            <v>25.3</v>
          </cell>
          <cell r="EA48">
            <v>25.3</v>
          </cell>
          <cell r="EB48">
            <v>25.3</v>
          </cell>
          <cell r="EC48">
            <v>25.3</v>
          </cell>
          <cell r="ED48">
            <v>25.3</v>
          </cell>
          <cell r="EE48">
            <v>25.3</v>
          </cell>
          <cell r="EF48">
            <v>25.3</v>
          </cell>
          <cell r="EG48">
            <v>25.3</v>
          </cell>
          <cell r="EH48">
            <v>25.3</v>
          </cell>
          <cell r="EI48">
            <v>25.3</v>
          </cell>
          <cell r="EJ48">
            <v>25.3</v>
          </cell>
          <cell r="EK48">
            <v>25.3</v>
          </cell>
          <cell r="EL48">
            <v>25.3</v>
          </cell>
          <cell r="EM48">
            <v>25.3</v>
          </cell>
          <cell r="EN48">
            <v>25.3</v>
          </cell>
          <cell r="EO48">
            <v>25.3</v>
          </cell>
          <cell r="EP48">
            <v>25.3</v>
          </cell>
          <cell r="EQ48">
            <v>25.3</v>
          </cell>
          <cell r="ER48">
            <v>25.3</v>
          </cell>
          <cell r="ES48">
            <v>25.3</v>
          </cell>
          <cell r="ET48">
            <v>25.3</v>
          </cell>
          <cell r="EU48">
            <v>25.3</v>
          </cell>
          <cell r="EV48">
            <v>25.3</v>
          </cell>
          <cell r="EW48">
            <v>25.3</v>
          </cell>
          <cell r="EX48">
            <v>25.3</v>
          </cell>
          <cell r="EY48">
            <v>25.3</v>
          </cell>
          <cell r="EZ48">
            <v>25.3</v>
          </cell>
          <cell r="FA48">
            <v>25.3</v>
          </cell>
          <cell r="FB48">
            <v>25.3</v>
          </cell>
          <cell r="FC48">
            <v>25.3</v>
          </cell>
          <cell r="FD48">
            <v>25.3</v>
          </cell>
          <cell r="FE48">
            <v>25.3</v>
          </cell>
          <cell r="FF48">
            <v>25.3</v>
          </cell>
          <cell r="FG48">
            <v>25.3</v>
          </cell>
          <cell r="FH48">
            <v>25.3</v>
          </cell>
          <cell r="FI48">
            <v>25.3</v>
          </cell>
          <cell r="FJ48">
            <v>25.3</v>
          </cell>
          <cell r="FK48">
            <v>25.3</v>
          </cell>
          <cell r="FL48">
            <v>25.3</v>
          </cell>
          <cell r="FM48">
            <v>25.3</v>
          </cell>
          <cell r="FN48">
            <v>25.3</v>
          </cell>
        </row>
        <row r="49">
          <cell r="A49" t="str">
            <v>G3LTORO1</v>
          </cell>
          <cell r="B49" t="str">
            <v>LOS TOROS 1</v>
          </cell>
          <cell r="C49">
            <v>3.2</v>
          </cell>
          <cell r="D49">
            <v>3.2</v>
          </cell>
          <cell r="E49">
            <v>3.2</v>
          </cell>
          <cell r="F49">
            <v>3.2</v>
          </cell>
          <cell r="G49">
            <v>3.2</v>
          </cell>
          <cell r="H49">
            <v>3.2</v>
          </cell>
          <cell r="I49">
            <v>3.2</v>
          </cell>
          <cell r="J49">
            <v>3.2</v>
          </cell>
          <cell r="K49">
            <v>3.2</v>
          </cell>
          <cell r="L49">
            <v>3.2</v>
          </cell>
          <cell r="M49">
            <v>3.2</v>
          </cell>
          <cell r="N49">
            <v>3.2</v>
          </cell>
          <cell r="O49">
            <v>3.2</v>
          </cell>
          <cell r="P49">
            <v>3.2</v>
          </cell>
          <cell r="Q49">
            <v>3.2</v>
          </cell>
          <cell r="R49">
            <v>3.2</v>
          </cell>
          <cell r="S49">
            <v>3.2</v>
          </cell>
          <cell r="T49">
            <v>3.2</v>
          </cell>
          <cell r="U49">
            <v>3.2</v>
          </cell>
          <cell r="V49">
            <v>3.2</v>
          </cell>
          <cell r="W49">
            <v>3.2</v>
          </cell>
          <cell r="X49">
            <v>3.2</v>
          </cell>
          <cell r="Y49">
            <v>3.2</v>
          </cell>
          <cell r="Z49">
            <v>3.2</v>
          </cell>
          <cell r="AA49">
            <v>3.2</v>
          </cell>
          <cell r="AB49">
            <v>3.2</v>
          </cell>
          <cell r="AC49">
            <v>3.2</v>
          </cell>
          <cell r="AD49">
            <v>3.2</v>
          </cell>
          <cell r="AE49">
            <v>3.2</v>
          </cell>
          <cell r="AF49">
            <v>3.2</v>
          </cell>
          <cell r="AG49">
            <v>3.2</v>
          </cell>
          <cell r="AH49">
            <v>3.2</v>
          </cell>
          <cell r="AI49">
            <v>3.2</v>
          </cell>
          <cell r="AJ49">
            <v>3.2</v>
          </cell>
          <cell r="AK49">
            <v>3.2</v>
          </cell>
          <cell r="AL49">
            <v>3.2</v>
          </cell>
          <cell r="AM49">
            <v>3.2</v>
          </cell>
          <cell r="AN49">
            <v>3.2</v>
          </cell>
          <cell r="AO49">
            <v>3.2</v>
          </cell>
          <cell r="AP49">
            <v>3.2</v>
          </cell>
          <cell r="AQ49">
            <v>3.2</v>
          </cell>
          <cell r="AR49">
            <v>3.2</v>
          </cell>
          <cell r="AS49">
            <v>3.2</v>
          </cell>
          <cell r="AT49">
            <v>3.2</v>
          </cell>
          <cell r="AU49">
            <v>3.2</v>
          </cell>
          <cell r="AV49">
            <v>3.2</v>
          </cell>
          <cell r="AW49">
            <v>3.2</v>
          </cell>
          <cell r="AX49">
            <v>3.2</v>
          </cell>
          <cell r="AY49">
            <v>3.2</v>
          </cell>
          <cell r="AZ49">
            <v>3.2</v>
          </cell>
          <cell r="BA49">
            <v>3.2</v>
          </cell>
          <cell r="BB49">
            <v>3.2</v>
          </cell>
          <cell r="BC49">
            <v>3.2</v>
          </cell>
          <cell r="BD49">
            <v>3.2</v>
          </cell>
          <cell r="BE49">
            <v>3.2</v>
          </cell>
          <cell r="BF49">
            <v>3.2</v>
          </cell>
          <cell r="BG49">
            <v>3.2</v>
          </cell>
          <cell r="BH49">
            <v>3.2</v>
          </cell>
          <cell r="BI49">
            <v>3.2</v>
          </cell>
          <cell r="BJ49">
            <v>3.2</v>
          </cell>
          <cell r="BK49">
            <v>3.2</v>
          </cell>
          <cell r="BL49">
            <v>3.2</v>
          </cell>
          <cell r="BM49">
            <v>3.2</v>
          </cell>
          <cell r="BN49">
            <v>3.2</v>
          </cell>
          <cell r="BO49">
            <v>3.2</v>
          </cell>
          <cell r="BP49">
            <v>3.2</v>
          </cell>
          <cell r="BQ49">
            <v>3.2</v>
          </cell>
          <cell r="BR49">
            <v>3.2</v>
          </cell>
          <cell r="BS49">
            <v>3.2</v>
          </cell>
          <cell r="BT49">
            <v>3.2</v>
          </cell>
          <cell r="BU49">
            <v>3.2</v>
          </cell>
          <cell r="BV49">
            <v>3.2</v>
          </cell>
          <cell r="BW49">
            <v>3.2</v>
          </cell>
          <cell r="BX49">
            <v>3.2</v>
          </cell>
          <cell r="BY49">
            <v>3.2</v>
          </cell>
          <cell r="BZ49">
            <v>3.2</v>
          </cell>
          <cell r="CA49">
            <v>3.2</v>
          </cell>
          <cell r="CB49">
            <v>3.2</v>
          </cell>
          <cell r="CC49">
            <v>3.2</v>
          </cell>
          <cell r="CD49">
            <v>3.2</v>
          </cell>
          <cell r="CE49">
            <v>3.2</v>
          </cell>
          <cell r="CF49">
            <v>3.2</v>
          </cell>
          <cell r="CG49">
            <v>3.2</v>
          </cell>
          <cell r="CH49">
            <v>3.2</v>
          </cell>
          <cell r="CI49">
            <v>3.2</v>
          </cell>
          <cell r="CJ49">
            <v>3.2</v>
          </cell>
          <cell r="CK49">
            <v>3.2</v>
          </cell>
          <cell r="CL49">
            <v>3.2</v>
          </cell>
          <cell r="CM49">
            <v>3.2</v>
          </cell>
          <cell r="CN49">
            <v>3.2</v>
          </cell>
          <cell r="CO49">
            <v>3.2</v>
          </cell>
          <cell r="CP49">
            <v>3.2</v>
          </cell>
          <cell r="CQ49">
            <v>3.2</v>
          </cell>
          <cell r="CR49">
            <v>3.2</v>
          </cell>
          <cell r="CS49">
            <v>3.2</v>
          </cell>
          <cell r="CT49">
            <v>3.2</v>
          </cell>
          <cell r="CU49">
            <v>3.2</v>
          </cell>
          <cell r="CV49">
            <v>3.2</v>
          </cell>
          <cell r="CW49">
            <v>3.2</v>
          </cell>
          <cell r="CX49">
            <v>3.2</v>
          </cell>
          <cell r="CY49">
            <v>3.2</v>
          </cell>
          <cell r="CZ49">
            <v>3.2</v>
          </cell>
          <cell r="DA49">
            <v>3.2</v>
          </cell>
          <cell r="DB49">
            <v>3.2</v>
          </cell>
          <cell r="DC49">
            <v>3.2</v>
          </cell>
          <cell r="DD49">
            <v>3.2</v>
          </cell>
          <cell r="DE49">
            <v>3.2</v>
          </cell>
          <cell r="DF49">
            <v>3.2</v>
          </cell>
          <cell r="DG49">
            <v>3.2</v>
          </cell>
          <cell r="DH49">
            <v>3.2</v>
          </cell>
          <cell r="DI49">
            <v>3.2</v>
          </cell>
          <cell r="DJ49">
            <v>3.2</v>
          </cell>
          <cell r="DK49">
            <v>3.2</v>
          </cell>
          <cell r="DL49">
            <v>3.2</v>
          </cell>
          <cell r="DM49">
            <v>3.2</v>
          </cell>
          <cell r="DN49">
            <v>3.2</v>
          </cell>
          <cell r="DO49">
            <v>3.2</v>
          </cell>
          <cell r="DP49">
            <v>3.2</v>
          </cell>
          <cell r="DQ49">
            <v>3.2</v>
          </cell>
          <cell r="DR49">
            <v>3.2</v>
          </cell>
          <cell r="DS49">
            <v>3.2</v>
          </cell>
          <cell r="DT49">
            <v>3.2</v>
          </cell>
          <cell r="DU49">
            <v>3.2</v>
          </cell>
          <cell r="DV49">
            <v>3.2</v>
          </cell>
          <cell r="DW49">
            <v>3.2</v>
          </cell>
          <cell r="DX49">
            <v>3.2</v>
          </cell>
          <cell r="DY49">
            <v>3.2</v>
          </cell>
          <cell r="DZ49">
            <v>3.2</v>
          </cell>
          <cell r="EA49">
            <v>3.2</v>
          </cell>
          <cell r="EB49">
            <v>3.2</v>
          </cell>
          <cell r="EC49">
            <v>3.2</v>
          </cell>
          <cell r="ED49">
            <v>3.2</v>
          </cell>
          <cell r="EE49">
            <v>3.2</v>
          </cell>
          <cell r="EF49">
            <v>3.2</v>
          </cell>
          <cell r="EG49">
            <v>3.2</v>
          </cell>
          <cell r="EH49">
            <v>3.2</v>
          </cell>
          <cell r="EI49">
            <v>3.2</v>
          </cell>
          <cell r="EJ49">
            <v>3.2</v>
          </cell>
          <cell r="EK49">
            <v>3.2</v>
          </cell>
          <cell r="EL49">
            <v>3.2</v>
          </cell>
          <cell r="EM49">
            <v>3.2</v>
          </cell>
          <cell r="EN49">
            <v>3.2</v>
          </cell>
          <cell r="EO49">
            <v>3.2</v>
          </cell>
          <cell r="EP49">
            <v>3.2</v>
          </cell>
          <cell r="EQ49">
            <v>3.2</v>
          </cell>
          <cell r="ER49">
            <v>3.2</v>
          </cell>
          <cell r="ES49">
            <v>3.2</v>
          </cell>
          <cell r="ET49">
            <v>3.2</v>
          </cell>
          <cell r="EU49">
            <v>3.2</v>
          </cell>
          <cell r="EV49">
            <v>3.2</v>
          </cell>
          <cell r="EW49">
            <v>3.2</v>
          </cell>
          <cell r="EX49">
            <v>3.2</v>
          </cell>
          <cell r="EY49">
            <v>3.2</v>
          </cell>
          <cell r="EZ49">
            <v>3.2</v>
          </cell>
          <cell r="FA49">
            <v>3.2</v>
          </cell>
          <cell r="FB49">
            <v>3.2</v>
          </cell>
          <cell r="FC49">
            <v>3.2</v>
          </cell>
          <cell r="FD49">
            <v>3.2</v>
          </cell>
          <cell r="FE49">
            <v>3.2</v>
          </cell>
          <cell r="FF49">
            <v>3.2</v>
          </cell>
          <cell r="FG49">
            <v>3.2</v>
          </cell>
          <cell r="FH49">
            <v>3.2</v>
          </cell>
          <cell r="FI49">
            <v>3.2</v>
          </cell>
          <cell r="FJ49">
            <v>3.2</v>
          </cell>
          <cell r="FK49">
            <v>3.2</v>
          </cell>
          <cell r="FL49">
            <v>3.2</v>
          </cell>
          <cell r="FM49">
            <v>3.2</v>
          </cell>
          <cell r="FN49">
            <v>3.2</v>
          </cell>
        </row>
        <row r="50">
          <cell r="A50" t="str">
            <v>G3LTORO2</v>
          </cell>
          <cell r="B50" t="str">
            <v>LOS TOROS 2</v>
          </cell>
          <cell r="C50">
            <v>2.2000000000000002</v>
          </cell>
          <cell r="D50">
            <v>2.2000000000000002</v>
          </cell>
          <cell r="E50">
            <v>2.2000000000000002</v>
          </cell>
          <cell r="F50">
            <v>2.2000000000000002</v>
          </cell>
          <cell r="G50">
            <v>2.2000000000000002</v>
          </cell>
          <cell r="H50">
            <v>2.2000000000000002</v>
          </cell>
          <cell r="I50">
            <v>2.2000000000000002</v>
          </cell>
          <cell r="J50">
            <v>2.2000000000000002</v>
          </cell>
          <cell r="K50">
            <v>2.2000000000000002</v>
          </cell>
          <cell r="L50">
            <v>2.2000000000000002</v>
          </cell>
          <cell r="M50">
            <v>2.2000000000000002</v>
          </cell>
          <cell r="N50">
            <v>2.2000000000000002</v>
          </cell>
          <cell r="O50">
            <v>2.2000000000000002</v>
          </cell>
          <cell r="P50">
            <v>2.2000000000000002</v>
          </cell>
          <cell r="Q50">
            <v>2.2000000000000002</v>
          </cell>
          <cell r="R50">
            <v>2.2000000000000002</v>
          </cell>
          <cell r="S50">
            <v>2.2000000000000002</v>
          </cell>
          <cell r="T50">
            <v>2.2000000000000002</v>
          </cell>
          <cell r="U50">
            <v>2.2000000000000002</v>
          </cell>
          <cell r="V50">
            <v>2.2000000000000002</v>
          </cell>
          <cell r="W50">
            <v>2.2000000000000002</v>
          </cell>
          <cell r="X50">
            <v>2.2000000000000002</v>
          </cell>
          <cell r="Y50">
            <v>2.2000000000000002</v>
          </cell>
          <cell r="Z50">
            <v>2.2000000000000002</v>
          </cell>
          <cell r="AA50">
            <v>2.2000000000000002</v>
          </cell>
          <cell r="AB50">
            <v>2.2000000000000002</v>
          </cell>
          <cell r="AC50">
            <v>2.2000000000000002</v>
          </cell>
          <cell r="AD50">
            <v>2.2000000000000002</v>
          </cell>
          <cell r="AE50">
            <v>2.2000000000000002</v>
          </cell>
          <cell r="AF50">
            <v>2.2000000000000002</v>
          </cell>
          <cell r="AG50">
            <v>2.2000000000000002</v>
          </cell>
          <cell r="AH50">
            <v>2.2000000000000002</v>
          </cell>
          <cell r="AI50">
            <v>2.2000000000000002</v>
          </cell>
          <cell r="AJ50">
            <v>2.2000000000000002</v>
          </cell>
          <cell r="AK50">
            <v>2.2000000000000002</v>
          </cell>
          <cell r="AL50">
            <v>2.2000000000000002</v>
          </cell>
          <cell r="AM50">
            <v>2.2000000000000002</v>
          </cell>
          <cell r="AN50">
            <v>2.2000000000000002</v>
          </cell>
          <cell r="AO50">
            <v>2.2000000000000002</v>
          </cell>
          <cell r="AP50">
            <v>2.2000000000000002</v>
          </cell>
          <cell r="AQ50">
            <v>2.2000000000000002</v>
          </cell>
          <cell r="AR50">
            <v>2.2000000000000002</v>
          </cell>
          <cell r="AS50">
            <v>2.2000000000000002</v>
          </cell>
          <cell r="AT50">
            <v>2.2000000000000002</v>
          </cell>
          <cell r="AU50">
            <v>2.2000000000000002</v>
          </cell>
          <cell r="AV50">
            <v>2.2000000000000002</v>
          </cell>
          <cell r="AW50">
            <v>2.2000000000000002</v>
          </cell>
          <cell r="AX50">
            <v>2.2000000000000002</v>
          </cell>
          <cell r="AY50">
            <v>2.2000000000000002</v>
          </cell>
          <cell r="AZ50">
            <v>2.2000000000000002</v>
          </cell>
          <cell r="BA50">
            <v>2.2000000000000002</v>
          </cell>
          <cell r="BB50">
            <v>2.2000000000000002</v>
          </cell>
          <cell r="BC50">
            <v>2.2000000000000002</v>
          </cell>
          <cell r="BD50">
            <v>2.2000000000000002</v>
          </cell>
          <cell r="BE50">
            <v>2.2000000000000002</v>
          </cell>
          <cell r="BF50">
            <v>2.2000000000000002</v>
          </cell>
          <cell r="BG50">
            <v>2.2000000000000002</v>
          </cell>
          <cell r="BH50">
            <v>2.2000000000000002</v>
          </cell>
          <cell r="BI50">
            <v>2.2000000000000002</v>
          </cell>
          <cell r="BJ50">
            <v>2.2000000000000002</v>
          </cell>
          <cell r="BK50">
            <v>2.2000000000000002</v>
          </cell>
          <cell r="BL50">
            <v>2.2000000000000002</v>
          </cell>
          <cell r="BM50">
            <v>2.2000000000000002</v>
          </cell>
          <cell r="BN50">
            <v>2.2000000000000002</v>
          </cell>
          <cell r="BO50">
            <v>2.2000000000000002</v>
          </cell>
          <cell r="BP50">
            <v>2.2000000000000002</v>
          </cell>
          <cell r="BQ50">
            <v>2.2000000000000002</v>
          </cell>
          <cell r="BR50">
            <v>2.2000000000000002</v>
          </cell>
          <cell r="BS50">
            <v>2.2000000000000002</v>
          </cell>
          <cell r="BT50">
            <v>2.2000000000000002</v>
          </cell>
          <cell r="BU50">
            <v>2.2000000000000002</v>
          </cell>
          <cell r="BV50">
            <v>2.2000000000000002</v>
          </cell>
          <cell r="BW50">
            <v>2.2000000000000002</v>
          </cell>
          <cell r="BX50">
            <v>2.2000000000000002</v>
          </cell>
          <cell r="BY50">
            <v>2.2000000000000002</v>
          </cell>
          <cell r="BZ50">
            <v>2.2000000000000002</v>
          </cell>
          <cell r="CA50">
            <v>2.2000000000000002</v>
          </cell>
          <cell r="CB50">
            <v>2.2000000000000002</v>
          </cell>
          <cell r="CC50">
            <v>2.2000000000000002</v>
          </cell>
          <cell r="CD50">
            <v>2.2000000000000002</v>
          </cell>
          <cell r="CE50">
            <v>2.2000000000000002</v>
          </cell>
          <cell r="CF50">
            <v>2.2000000000000002</v>
          </cell>
          <cell r="CG50">
            <v>2.2000000000000002</v>
          </cell>
          <cell r="CH50">
            <v>2.2000000000000002</v>
          </cell>
          <cell r="CI50">
            <v>2.2000000000000002</v>
          </cell>
          <cell r="CJ50">
            <v>2.2000000000000002</v>
          </cell>
          <cell r="CK50">
            <v>2.2000000000000002</v>
          </cell>
          <cell r="CL50">
            <v>2.2000000000000002</v>
          </cell>
          <cell r="CM50">
            <v>2.2000000000000002</v>
          </cell>
          <cell r="CN50">
            <v>2.2000000000000002</v>
          </cell>
          <cell r="CO50">
            <v>2.2000000000000002</v>
          </cell>
          <cell r="CP50">
            <v>2.2000000000000002</v>
          </cell>
          <cell r="CQ50">
            <v>2.2000000000000002</v>
          </cell>
          <cell r="CR50">
            <v>2.2000000000000002</v>
          </cell>
          <cell r="CS50">
            <v>2.2000000000000002</v>
          </cell>
          <cell r="CT50">
            <v>2.2000000000000002</v>
          </cell>
          <cell r="CU50">
            <v>2.2000000000000002</v>
          </cell>
          <cell r="CV50">
            <v>2.2000000000000002</v>
          </cell>
          <cell r="CW50">
            <v>2.2000000000000002</v>
          </cell>
          <cell r="CX50">
            <v>2.2000000000000002</v>
          </cell>
          <cell r="CY50">
            <v>2.2000000000000002</v>
          </cell>
          <cell r="CZ50">
            <v>2.2000000000000002</v>
          </cell>
          <cell r="DA50">
            <v>2.2000000000000002</v>
          </cell>
          <cell r="DB50">
            <v>2.2000000000000002</v>
          </cell>
          <cell r="DC50">
            <v>2.2000000000000002</v>
          </cell>
          <cell r="DD50">
            <v>2.2000000000000002</v>
          </cell>
          <cell r="DE50">
            <v>2.2000000000000002</v>
          </cell>
          <cell r="DF50">
            <v>2.2000000000000002</v>
          </cell>
          <cell r="DG50">
            <v>2.2000000000000002</v>
          </cell>
          <cell r="DH50">
            <v>2.2000000000000002</v>
          </cell>
          <cell r="DI50">
            <v>2.2000000000000002</v>
          </cell>
          <cell r="DJ50">
            <v>2.2000000000000002</v>
          </cell>
          <cell r="DK50">
            <v>2.2000000000000002</v>
          </cell>
          <cell r="DL50">
            <v>2.2000000000000002</v>
          </cell>
          <cell r="DM50">
            <v>2.2000000000000002</v>
          </cell>
          <cell r="DN50">
            <v>2.2000000000000002</v>
          </cell>
          <cell r="DO50">
            <v>2.2000000000000002</v>
          </cell>
          <cell r="DP50">
            <v>2.2000000000000002</v>
          </cell>
          <cell r="DQ50">
            <v>2.2000000000000002</v>
          </cell>
          <cell r="DR50">
            <v>2.2000000000000002</v>
          </cell>
          <cell r="DS50">
            <v>2.2000000000000002</v>
          </cell>
          <cell r="DT50">
            <v>2.2000000000000002</v>
          </cell>
          <cell r="DU50">
            <v>2.2000000000000002</v>
          </cell>
          <cell r="DV50">
            <v>2.2000000000000002</v>
          </cell>
          <cell r="DW50">
            <v>2.2000000000000002</v>
          </cell>
          <cell r="DX50">
            <v>2.2000000000000002</v>
          </cell>
          <cell r="DY50">
            <v>2.2000000000000002</v>
          </cell>
          <cell r="DZ50">
            <v>2.2000000000000002</v>
          </cell>
          <cell r="EA50">
            <v>2.2000000000000002</v>
          </cell>
          <cell r="EB50">
            <v>2.2000000000000002</v>
          </cell>
          <cell r="EC50">
            <v>2.2000000000000002</v>
          </cell>
          <cell r="ED50">
            <v>2.2000000000000002</v>
          </cell>
          <cell r="EE50">
            <v>2.2000000000000002</v>
          </cell>
          <cell r="EF50">
            <v>2.2000000000000002</v>
          </cell>
          <cell r="EG50">
            <v>2.2000000000000002</v>
          </cell>
          <cell r="EH50">
            <v>2.2000000000000002</v>
          </cell>
          <cell r="EI50">
            <v>2.2000000000000002</v>
          </cell>
          <cell r="EJ50">
            <v>2.2000000000000002</v>
          </cell>
          <cell r="EK50">
            <v>2.2000000000000002</v>
          </cell>
          <cell r="EL50">
            <v>2.2000000000000002</v>
          </cell>
          <cell r="EM50">
            <v>2.2000000000000002</v>
          </cell>
          <cell r="EN50">
            <v>2.2000000000000002</v>
          </cell>
          <cell r="EO50">
            <v>2.2000000000000002</v>
          </cell>
          <cell r="EP50">
            <v>2.2000000000000002</v>
          </cell>
          <cell r="EQ50">
            <v>2.2000000000000002</v>
          </cell>
          <cell r="ER50">
            <v>2.2000000000000002</v>
          </cell>
          <cell r="ES50">
            <v>2.2000000000000002</v>
          </cell>
          <cell r="ET50">
            <v>2.2000000000000002</v>
          </cell>
          <cell r="EU50">
            <v>2.2000000000000002</v>
          </cell>
          <cell r="EV50">
            <v>2.2000000000000002</v>
          </cell>
          <cell r="EW50">
            <v>2.2000000000000002</v>
          </cell>
          <cell r="EX50">
            <v>2.2000000000000002</v>
          </cell>
          <cell r="EY50">
            <v>2.2000000000000002</v>
          </cell>
          <cell r="EZ50">
            <v>2.2000000000000002</v>
          </cell>
          <cell r="FA50">
            <v>2.2000000000000002</v>
          </cell>
          <cell r="FB50">
            <v>2.2000000000000002</v>
          </cell>
          <cell r="FC50">
            <v>2.2000000000000002</v>
          </cell>
          <cell r="FD50">
            <v>2.2000000000000002</v>
          </cell>
          <cell r="FE50">
            <v>2.2000000000000002</v>
          </cell>
          <cell r="FF50">
            <v>2.2000000000000002</v>
          </cell>
          <cell r="FG50">
            <v>2.2000000000000002</v>
          </cell>
          <cell r="FH50">
            <v>2.2000000000000002</v>
          </cell>
          <cell r="FI50">
            <v>2.2000000000000002</v>
          </cell>
          <cell r="FJ50">
            <v>2.2000000000000002</v>
          </cell>
          <cell r="FK50">
            <v>2.2000000000000002</v>
          </cell>
          <cell r="FL50">
            <v>2.2000000000000002</v>
          </cell>
          <cell r="FM50">
            <v>2.2000000000000002</v>
          </cell>
          <cell r="FN50">
            <v>2.2000000000000002</v>
          </cell>
        </row>
        <row r="51">
          <cell r="A51" t="str">
            <v>G3LVEGA</v>
          </cell>
          <cell r="B51" t="str">
            <v>LA VEGA</v>
          </cell>
          <cell r="C51">
            <v>84</v>
          </cell>
          <cell r="D51">
            <v>84</v>
          </cell>
          <cell r="E51">
            <v>84</v>
          </cell>
          <cell r="F51">
            <v>84</v>
          </cell>
          <cell r="G51">
            <v>84</v>
          </cell>
          <cell r="H51">
            <v>84</v>
          </cell>
          <cell r="I51">
            <v>84</v>
          </cell>
          <cell r="J51">
            <v>84</v>
          </cell>
          <cell r="K51">
            <v>84</v>
          </cell>
          <cell r="L51">
            <v>84</v>
          </cell>
          <cell r="M51">
            <v>84</v>
          </cell>
          <cell r="N51">
            <v>84</v>
          </cell>
          <cell r="O51">
            <v>84</v>
          </cell>
          <cell r="P51">
            <v>84</v>
          </cell>
          <cell r="Q51">
            <v>84</v>
          </cell>
          <cell r="R51">
            <v>84</v>
          </cell>
          <cell r="S51">
            <v>84</v>
          </cell>
          <cell r="T51">
            <v>84</v>
          </cell>
          <cell r="U51">
            <v>84</v>
          </cell>
          <cell r="V51">
            <v>84</v>
          </cell>
          <cell r="W51">
            <v>84</v>
          </cell>
          <cell r="X51">
            <v>84</v>
          </cell>
          <cell r="Y51">
            <v>84</v>
          </cell>
          <cell r="Z51">
            <v>84</v>
          </cell>
          <cell r="AA51">
            <v>84</v>
          </cell>
          <cell r="AB51">
            <v>84</v>
          </cell>
          <cell r="AC51">
            <v>84</v>
          </cell>
          <cell r="AD51">
            <v>84</v>
          </cell>
          <cell r="AE51">
            <v>84</v>
          </cell>
          <cell r="AF51">
            <v>84</v>
          </cell>
          <cell r="AG51">
            <v>84</v>
          </cell>
          <cell r="AH51">
            <v>84</v>
          </cell>
          <cell r="AI51">
            <v>84</v>
          </cell>
          <cell r="AJ51">
            <v>84</v>
          </cell>
          <cell r="AK51">
            <v>84</v>
          </cell>
          <cell r="AL51">
            <v>84</v>
          </cell>
          <cell r="AM51">
            <v>84</v>
          </cell>
          <cell r="AN51">
            <v>84</v>
          </cell>
          <cell r="AO51">
            <v>84</v>
          </cell>
          <cell r="AP51">
            <v>84</v>
          </cell>
          <cell r="AQ51">
            <v>84</v>
          </cell>
          <cell r="AR51">
            <v>84</v>
          </cell>
          <cell r="AS51">
            <v>84</v>
          </cell>
          <cell r="AT51">
            <v>84</v>
          </cell>
          <cell r="AU51">
            <v>84</v>
          </cell>
          <cell r="AV51">
            <v>84</v>
          </cell>
          <cell r="AW51">
            <v>84</v>
          </cell>
          <cell r="AX51">
            <v>84</v>
          </cell>
          <cell r="AY51">
            <v>84</v>
          </cell>
          <cell r="AZ51">
            <v>84</v>
          </cell>
          <cell r="BA51">
            <v>84</v>
          </cell>
          <cell r="BB51">
            <v>84</v>
          </cell>
          <cell r="BC51">
            <v>84</v>
          </cell>
          <cell r="BD51">
            <v>84</v>
          </cell>
          <cell r="BE51">
            <v>84</v>
          </cell>
          <cell r="BF51">
            <v>84</v>
          </cell>
          <cell r="BG51">
            <v>84</v>
          </cell>
          <cell r="BH51">
            <v>84</v>
          </cell>
          <cell r="BI51">
            <v>84</v>
          </cell>
          <cell r="BJ51">
            <v>84</v>
          </cell>
          <cell r="BK51">
            <v>84</v>
          </cell>
          <cell r="BL51">
            <v>84</v>
          </cell>
          <cell r="BM51">
            <v>84</v>
          </cell>
          <cell r="BN51">
            <v>84</v>
          </cell>
          <cell r="BO51">
            <v>84</v>
          </cell>
          <cell r="BP51">
            <v>84</v>
          </cell>
          <cell r="BQ51">
            <v>84</v>
          </cell>
          <cell r="BR51">
            <v>84</v>
          </cell>
          <cell r="BS51">
            <v>84</v>
          </cell>
          <cell r="BT51">
            <v>84</v>
          </cell>
          <cell r="BU51">
            <v>84</v>
          </cell>
          <cell r="BV51">
            <v>84</v>
          </cell>
          <cell r="BW51">
            <v>84</v>
          </cell>
          <cell r="BX51">
            <v>84</v>
          </cell>
          <cell r="BY51">
            <v>84</v>
          </cell>
          <cell r="BZ51">
            <v>84</v>
          </cell>
          <cell r="CA51">
            <v>84</v>
          </cell>
          <cell r="CB51">
            <v>84</v>
          </cell>
          <cell r="CC51">
            <v>84</v>
          </cell>
          <cell r="CD51">
            <v>84</v>
          </cell>
          <cell r="CE51">
            <v>84</v>
          </cell>
          <cell r="CF51">
            <v>84</v>
          </cell>
          <cell r="CG51">
            <v>84</v>
          </cell>
          <cell r="CH51">
            <v>84</v>
          </cell>
          <cell r="CI51">
            <v>84</v>
          </cell>
          <cell r="CJ51">
            <v>84</v>
          </cell>
          <cell r="CK51">
            <v>84</v>
          </cell>
          <cell r="CL51">
            <v>84</v>
          </cell>
          <cell r="CM51">
            <v>84</v>
          </cell>
          <cell r="CN51">
            <v>84</v>
          </cell>
          <cell r="CO51">
            <v>84</v>
          </cell>
          <cell r="CP51">
            <v>84</v>
          </cell>
          <cell r="CQ51">
            <v>84</v>
          </cell>
          <cell r="CR51">
            <v>84</v>
          </cell>
          <cell r="CS51">
            <v>84</v>
          </cell>
          <cell r="CT51">
            <v>84</v>
          </cell>
          <cell r="CU51">
            <v>84</v>
          </cell>
          <cell r="CV51">
            <v>84</v>
          </cell>
          <cell r="CW51">
            <v>84</v>
          </cell>
          <cell r="CX51">
            <v>84</v>
          </cell>
          <cell r="CY51">
            <v>84</v>
          </cell>
          <cell r="CZ51">
            <v>84</v>
          </cell>
          <cell r="DA51">
            <v>84</v>
          </cell>
          <cell r="DB51">
            <v>84</v>
          </cell>
          <cell r="DC51">
            <v>84</v>
          </cell>
          <cell r="DD51">
            <v>84</v>
          </cell>
          <cell r="DE51">
            <v>84</v>
          </cell>
          <cell r="DF51">
            <v>84</v>
          </cell>
          <cell r="DG51">
            <v>84</v>
          </cell>
          <cell r="DH51">
            <v>84</v>
          </cell>
          <cell r="DI51">
            <v>84</v>
          </cell>
          <cell r="DJ51">
            <v>84</v>
          </cell>
          <cell r="DK51">
            <v>84</v>
          </cell>
          <cell r="DL51">
            <v>84</v>
          </cell>
          <cell r="DM51">
            <v>84</v>
          </cell>
          <cell r="DN51">
            <v>84</v>
          </cell>
          <cell r="DO51">
            <v>84</v>
          </cell>
          <cell r="DP51">
            <v>84</v>
          </cell>
          <cell r="DQ51">
            <v>84</v>
          </cell>
          <cell r="DR51">
            <v>84</v>
          </cell>
          <cell r="DS51">
            <v>84</v>
          </cell>
          <cell r="DT51">
            <v>84</v>
          </cell>
          <cell r="DU51">
            <v>84</v>
          </cell>
          <cell r="DV51">
            <v>84</v>
          </cell>
          <cell r="DW51">
            <v>84</v>
          </cell>
          <cell r="DX51">
            <v>84</v>
          </cell>
          <cell r="DY51">
            <v>84</v>
          </cell>
          <cell r="DZ51">
            <v>84</v>
          </cell>
          <cell r="EA51">
            <v>84</v>
          </cell>
          <cell r="EB51">
            <v>84</v>
          </cell>
          <cell r="EC51">
            <v>84</v>
          </cell>
          <cell r="ED51">
            <v>84</v>
          </cell>
          <cell r="EE51">
            <v>84</v>
          </cell>
          <cell r="EF51">
            <v>84</v>
          </cell>
          <cell r="EG51">
            <v>84</v>
          </cell>
          <cell r="EH51">
            <v>84</v>
          </cell>
          <cell r="EI51">
            <v>84</v>
          </cell>
          <cell r="EJ51">
            <v>84</v>
          </cell>
          <cell r="EK51">
            <v>84</v>
          </cell>
          <cell r="EL51">
            <v>84</v>
          </cell>
          <cell r="EM51">
            <v>84</v>
          </cell>
          <cell r="EN51">
            <v>84</v>
          </cell>
          <cell r="EO51">
            <v>84</v>
          </cell>
          <cell r="EP51">
            <v>84</v>
          </cell>
          <cell r="EQ51">
            <v>84</v>
          </cell>
          <cell r="ER51">
            <v>84</v>
          </cell>
          <cell r="ES51">
            <v>84</v>
          </cell>
          <cell r="ET51">
            <v>84</v>
          </cell>
          <cell r="EU51">
            <v>84</v>
          </cell>
          <cell r="EV51">
            <v>84</v>
          </cell>
          <cell r="EW51">
            <v>84</v>
          </cell>
          <cell r="EX51">
            <v>84</v>
          </cell>
          <cell r="EY51">
            <v>84</v>
          </cell>
          <cell r="EZ51">
            <v>84</v>
          </cell>
          <cell r="FA51">
            <v>84</v>
          </cell>
          <cell r="FB51">
            <v>84</v>
          </cell>
          <cell r="FC51">
            <v>84</v>
          </cell>
          <cell r="FD51">
            <v>84</v>
          </cell>
          <cell r="FE51">
            <v>84</v>
          </cell>
          <cell r="FF51">
            <v>84</v>
          </cell>
          <cell r="FG51">
            <v>84</v>
          </cell>
          <cell r="FH51">
            <v>84</v>
          </cell>
          <cell r="FI51">
            <v>84</v>
          </cell>
          <cell r="FJ51">
            <v>84</v>
          </cell>
          <cell r="FK51">
            <v>84</v>
          </cell>
          <cell r="FL51">
            <v>84</v>
          </cell>
          <cell r="FM51">
            <v>84</v>
          </cell>
          <cell r="FN51">
            <v>84</v>
          </cell>
        </row>
        <row r="52">
          <cell r="A52" t="str">
            <v>G3MAGUE1</v>
          </cell>
          <cell r="B52" t="str">
            <v>MAGUEYAL 1</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1.2</v>
          </cell>
          <cell r="BQ52">
            <v>1.2</v>
          </cell>
          <cell r="BR52">
            <v>1.2</v>
          </cell>
          <cell r="BS52">
            <v>1.2</v>
          </cell>
          <cell r="BT52">
            <v>1.2</v>
          </cell>
          <cell r="BU52">
            <v>1.2</v>
          </cell>
          <cell r="BV52">
            <v>1.2</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1.2</v>
          </cell>
          <cell r="CO52">
            <v>1.2</v>
          </cell>
          <cell r="CP52">
            <v>1.2</v>
          </cell>
          <cell r="CQ52">
            <v>1.2</v>
          </cell>
          <cell r="CR52">
            <v>1.2</v>
          </cell>
          <cell r="CS52">
            <v>1.2</v>
          </cell>
          <cell r="CT52">
            <v>1.2</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1.2</v>
          </cell>
          <cell r="DM52">
            <v>1.2</v>
          </cell>
          <cell r="DN52">
            <v>1.2</v>
          </cell>
          <cell r="DO52">
            <v>1.2</v>
          </cell>
          <cell r="DP52">
            <v>1.2</v>
          </cell>
          <cell r="DQ52">
            <v>1.2</v>
          </cell>
          <cell r="DR52">
            <v>1.2</v>
          </cell>
          <cell r="DS52">
            <v>0</v>
          </cell>
          <cell r="DT52">
            <v>0</v>
          </cell>
          <cell r="DU52">
            <v>0</v>
          </cell>
          <cell r="DV52">
            <v>0</v>
          </cell>
          <cell r="DW52">
            <v>0</v>
          </cell>
          <cell r="DX52">
            <v>0</v>
          </cell>
          <cell r="DY52">
            <v>0</v>
          </cell>
          <cell r="DZ52">
            <v>0</v>
          </cell>
          <cell r="EA52">
            <v>0</v>
          </cell>
          <cell r="EB52">
            <v>0</v>
          </cell>
          <cell r="EC52">
            <v>0</v>
          </cell>
          <cell r="ED52">
            <v>0</v>
          </cell>
          <cell r="EE52">
            <v>0</v>
          </cell>
          <cell r="EF52">
            <v>0</v>
          </cell>
          <cell r="EG52">
            <v>0</v>
          </cell>
          <cell r="EH52">
            <v>0</v>
          </cell>
          <cell r="EI52">
            <v>0</v>
          </cell>
          <cell r="EJ52">
            <v>1.2</v>
          </cell>
          <cell r="EK52">
            <v>1.2</v>
          </cell>
          <cell r="EL52">
            <v>1.2</v>
          </cell>
          <cell r="EM52">
            <v>1.2</v>
          </cell>
          <cell r="EN52">
            <v>1.2</v>
          </cell>
          <cell r="EO52">
            <v>1.2</v>
          </cell>
          <cell r="EP52">
            <v>1.2</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1.2</v>
          </cell>
          <cell r="FI52">
            <v>1.2</v>
          </cell>
          <cell r="FJ52">
            <v>1.2</v>
          </cell>
          <cell r="FK52">
            <v>1.2</v>
          </cell>
          <cell r="FL52">
            <v>1.2</v>
          </cell>
          <cell r="FM52">
            <v>1.2</v>
          </cell>
          <cell r="FN52">
            <v>1.2</v>
          </cell>
        </row>
        <row r="53">
          <cell r="A53" t="str">
            <v>G3MAGUE2</v>
          </cell>
          <cell r="B53" t="str">
            <v>MAGUEYAL 2</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1.2</v>
          </cell>
          <cell r="U53">
            <v>1.2</v>
          </cell>
          <cell r="V53">
            <v>1.2</v>
          </cell>
          <cell r="W53">
            <v>1.2</v>
          </cell>
          <cell r="X53">
            <v>1.2</v>
          </cell>
          <cell r="Y53">
            <v>1.2</v>
          </cell>
          <cell r="Z53">
            <v>1.2</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1.2</v>
          </cell>
          <cell r="AS53">
            <v>1.2</v>
          </cell>
          <cell r="AT53">
            <v>1.2</v>
          </cell>
          <cell r="AU53">
            <v>1.2</v>
          </cell>
          <cell r="AV53">
            <v>1.2</v>
          </cell>
          <cell r="AW53">
            <v>1.2</v>
          </cell>
          <cell r="AX53">
            <v>1.2</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row>
        <row r="54">
          <cell r="A54" t="str">
            <v>G3METALD</v>
          </cell>
          <cell r="B54" t="str">
            <v>METALDOM</v>
          </cell>
          <cell r="C54">
            <v>40</v>
          </cell>
          <cell r="D54">
            <v>40</v>
          </cell>
          <cell r="E54">
            <v>40</v>
          </cell>
          <cell r="F54">
            <v>40</v>
          </cell>
          <cell r="G54">
            <v>40</v>
          </cell>
          <cell r="H54">
            <v>40</v>
          </cell>
          <cell r="I54">
            <v>40</v>
          </cell>
          <cell r="J54">
            <v>40</v>
          </cell>
          <cell r="K54">
            <v>40</v>
          </cell>
          <cell r="L54">
            <v>40</v>
          </cell>
          <cell r="M54">
            <v>40</v>
          </cell>
          <cell r="N54">
            <v>40</v>
          </cell>
          <cell r="O54">
            <v>40</v>
          </cell>
          <cell r="P54">
            <v>40</v>
          </cell>
          <cell r="Q54">
            <v>40</v>
          </cell>
          <cell r="R54">
            <v>40</v>
          </cell>
          <cell r="S54">
            <v>40</v>
          </cell>
          <cell r="T54">
            <v>40</v>
          </cell>
          <cell r="U54">
            <v>40</v>
          </cell>
          <cell r="V54">
            <v>40</v>
          </cell>
          <cell r="W54">
            <v>40</v>
          </cell>
          <cell r="X54">
            <v>40</v>
          </cell>
          <cell r="Y54">
            <v>40</v>
          </cell>
          <cell r="Z54">
            <v>40</v>
          </cell>
          <cell r="AA54">
            <v>40</v>
          </cell>
          <cell r="AB54">
            <v>40</v>
          </cell>
          <cell r="AC54">
            <v>40</v>
          </cell>
          <cell r="AD54">
            <v>40</v>
          </cell>
          <cell r="AE54">
            <v>40</v>
          </cell>
          <cell r="AF54">
            <v>40</v>
          </cell>
          <cell r="AG54">
            <v>40</v>
          </cell>
          <cell r="AH54">
            <v>40</v>
          </cell>
          <cell r="AI54">
            <v>40</v>
          </cell>
          <cell r="AJ54">
            <v>40</v>
          </cell>
          <cell r="AK54">
            <v>40</v>
          </cell>
          <cell r="AL54">
            <v>40</v>
          </cell>
          <cell r="AM54">
            <v>40</v>
          </cell>
          <cell r="AN54">
            <v>40</v>
          </cell>
          <cell r="AO54">
            <v>40</v>
          </cell>
          <cell r="AP54">
            <v>40</v>
          </cell>
          <cell r="AQ54">
            <v>40</v>
          </cell>
          <cell r="AR54">
            <v>40</v>
          </cell>
          <cell r="AS54">
            <v>40</v>
          </cell>
          <cell r="AT54">
            <v>40</v>
          </cell>
          <cell r="AU54">
            <v>40</v>
          </cell>
          <cell r="AV54">
            <v>40</v>
          </cell>
          <cell r="AW54">
            <v>40</v>
          </cell>
          <cell r="AX54">
            <v>40</v>
          </cell>
          <cell r="AY54">
            <v>40</v>
          </cell>
          <cell r="AZ54">
            <v>40</v>
          </cell>
          <cell r="BA54">
            <v>40</v>
          </cell>
          <cell r="BB54">
            <v>40</v>
          </cell>
          <cell r="BC54">
            <v>40</v>
          </cell>
          <cell r="BD54">
            <v>40</v>
          </cell>
          <cell r="BE54">
            <v>40</v>
          </cell>
          <cell r="BF54">
            <v>40</v>
          </cell>
          <cell r="BG54">
            <v>40</v>
          </cell>
          <cell r="BH54">
            <v>40</v>
          </cell>
          <cell r="BI54">
            <v>40</v>
          </cell>
          <cell r="BJ54">
            <v>40</v>
          </cell>
          <cell r="BK54">
            <v>40</v>
          </cell>
          <cell r="BL54">
            <v>40</v>
          </cell>
          <cell r="BM54">
            <v>40</v>
          </cell>
          <cell r="BN54">
            <v>40</v>
          </cell>
          <cell r="BO54">
            <v>40</v>
          </cell>
          <cell r="BP54">
            <v>40</v>
          </cell>
          <cell r="BQ54">
            <v>40</v>
          </cell>
          <cell r="BR54">
            <v>40</v>
          </cell>
          <cell r="BS54">
            <v>40</v>
          </cell>
          <cell r="BT54">
            <v>40</v>
          </cell>
          <cell r="BU54">
            <v>40</v>
          </cell>
          <cell r="BV54">
            <v>40</v>
          </cell>
          <cell r="BW54">
            <v>40</v>
          </cell>
          <cell r="BX54">
            <v>40</v>
          </cell>
          <cell r="BY54">
            <v>40</v>
          </cell>
          <cell r="BZ54">
            <v>40</v>
          </cell>
          <cell r="CA54">
            <v>40</v>
          </cell>
          <cell r="CB54">
            <v>40</v>
          </cell>
          <cell r="CC54">
            <v>40</v>
          </cell>
          <cell r="CD54">
            <v>40</v>
          </cell>
          <cell r="CE54">
            <v>40</v>
          </cell>
          <cell r="CF54">
            <v>40</v>
          </cell>
          <cell r="CG54">
            <v>40</v>
          </cell>
          <cell r="CH54">
            <v>40</v>
          </cell>
          <cell r="CI54">
            <v>40</v>
          </cell>
          <cell r="CJ54">
            <v>40</v>
          </cell>
          <cell r="CK54">
            <v>40</v>
          </cell>
          <cell r="CL54">
            <v>40</v>
          </cell>
          <cell r="CM54">
            <v>40</v>
          </cell>
          <cell r="CN54">
            <v>40</v>
          </cell>
          <cell r="CO54">
            <v>40</v>
          </cell>
          <cell r="CP54">
            <v>40</v>
          </cell>
          <cell r="CQ54">
            <v>40</v>
          </cell>
          <cell r="CR54">
            <v>40</v>
          </cell>
          <cell r="CS54">
            <v>40</v>
          </cell>
          <cell r="CT54">
            <v>40</v>
          </cell>
          <cell r="CU54">
            <v>40</v>
          </cell>
          <cell r="CV54">
            <v>40</v>
          </cell>
          <cell r="CW54">
            <v>40</v>
          </cell>
          <cell r="CX54">
            <v>40</v>
          </cell>
          <cell r="CY54">
            <v>40</v>
          </cell>
          <cell r="CZ54">
            <v>40</v>
          </cell>
          <cell r="DA54">
            <v>40</v>
          </cell>
          <cell r="DB54">
            <v>40</v>
          </cell>
          <cell r="DC54">
            <v>40</v>
          </cell>
          <cell r="DD54">
            <v>40</v>
          </cell>
          <cell r="DE54">
            <v>40</v>
          </cell>
          <cell r="DF54">
            <v>40</v>
          </cell>
          <cell r="DG54">
            <v>40</v>
          </cell>
          <cell r="DH54">
            <v>40</v>
          </cell>
          <cell r="DI54">
            <v>40</v>
          </cell>
          <cell r="DJ54">
            <v>40</v>
          </cell>
          <cell r="DK54">
            <v>40</v>
          </cell>
          <cell r="DL54">
            <v>40</v>
          </cell>
          <cell r="DM54">
            <v>40</v>
          </cell>
          <cell r="DN54">
            <v>40</v>
          </cell>
          <cell r="DO54">
            <v>40</v>
          </cell>
          <cell r="DP54">
            <v>40</v>
          </cell>
          <cell r="DQ54">
            <v>40</v>
          </cell>
          <cell r="DR54">
            <v>40</v>
          </cell>
          <cell r="DS54">
            <v>40</v>
          </cell>
          <cell r="DT54">
            <v>40</v>
          </cell>
          <cell r="DU54">
            <v>40</v>
          </cell>
          <cell r="DV54">
            <v>40</v>
          </cell>
          <cell r="DW54">
            <v>40</v>
          </cell>
          <cell r="DX54">
            <v>40</v>
          </cell>
          <cell r="DY54">
            <v>40</v>
          </cell>
          <cell r="DZ54">
            <v>40</v>
          </cell>
          <cell r="EA54">
            <v>40</v>
          </cell>
          <cell r="EB54">
            <v>40</v>
          </cell>
          <cell r="EC54">
            <v>40</v>
          </cell>
          <cell r="ED54">
            <v>40</v>
          </cell>
          <cell r="EE54">
            <v>40</v>
          </cell>
          <cell r="EF54">
            <v>40</v>
          </cell>
          <cell r="EG54">
            <v>40</v>
          </cell>
          <cell r="EH54">
            <v>40</v>
          </cell>
          <cell r="EI54">
            <v>40</v>
          </cell>
          <cell r="EJ54">
            <v>40</v>
          </cell>
          <cell r="EK54">
            <v>40</v>
          </cell>
          <cell r="EL54">
            <v>40</v>
          </cell>
          <cell r="EM54">
            <v>40</v>
          </cell>
          <cell r="EN54">
            <v>40</v>
          </cell>
          <cell r="EO54">
            <v>40</v>
          </cell>
          <cell r="EP54">
            <v>40</v>
          </cell>
          <cell r="EQ54">
            <v>40</v>
          </cell>
          <cell r="ER54">
            <v>40</v>
          </cell>
          <cell r="ES54">
            <v>40</v>
          </cell>
          <cell r="ET54">
            <v>40</v>
          </cell>
          <cell r="EU54">
            <v>40</v>
          </cell>
          <cell r="EV54">
            <v>40</v>
          </cell>
          <cell r="EW54">
            <v>40</v>
          </cell>
          <cell r="EX54">
            <v>40</v>
          </cell>
          <cell r="EY54">
            <v>40</v>
          </cell>
          <cell r="EZ54">
            <v>40</v>
          </cell>
          <cell r="FA54">
            <v>40</v>
          </cell>
          <cell r="FB54">
            <v>40</v>
          </cell>
          <cell r="FC54">
            <v>40</v>
          </cell>
          <cell r="FD54">
            <v>40</v>
          </cell>
          <cell r="FE54">
            <v>40</v>
          </cell>
          <cell r="FF54">
            <v>40</v>
          </cell>
          <cell r="FG54">
            <v>40</v>
          </cell>
          <cell r="FH54">
            <v>40</v>
          </cell>
          <cell r="FI54">
            <v>40</v>
          </cell>
          <cell r="FJ54">
            <v>40</v>
          </cell>
          <cell r="FK54">
            <v>40</v>
          </cell>
          <cell r="FL54">
            <v>40</v>
          </cell>
          <cell r="FM54">
            <v>40</v>
          </cell>
          <cell r="FN54">
            <v>40</v>
          </cell>
        </row>
        <row r="55">
          <cell r="A55" t="str">
            <v>G3MONCI1</v>
          </cell>
          <cell r="B55" t="str">
            <v>MONCION 1</v>
          </cell>
          <cell r="C55">
            <v>0</v>
          </cell>
          <cell r="D55">
            <v>0</v>
          </cell>
          <cell r="E55">
            <v>0</v>
          </cell>
          <cell r="F55">
            <v>0</v>
          </cell>
          <cell r="G55">
            <v>0</v>
          </cell>
          <cell r="H55">
            <v>0</v>
          </cell>
          <cell r="I55">
            <v>0</v>
          </cell>
          <cell r="J55">
            <v>0</v>
          </cell>
          <cell r="K55">
            <v>22</v>
          </cell>
          <cell r="L55">
            <v>22</v>
          </cell>
          <cell r="M55">
            <v>22</v>
          </cell>
          <cell r="N55">
            <v>22</v>
          </cell>
          <cell r="O55">
            <v>22</v>
          </cell>
          <cell r="P55">
            <v>22</v>
          </cell>
          <cell r="Q55">
            <v>22</v>
          </cell>
          <cell r="R55">
            <v>22</v>
          </cell>
          <cell r="S55">
            <v>22</v>
          </cell>
          <cell r="T55">
            <v>22</v>
          </cell>
          <cell r="U55">
            <v>22</v>
          </cell>
          <cell r="V55">
            <v>22</v>
          </cell>
          <cell r="W55">
            <v>22</v>
          </cell>
          <cell r="X55">
            <v>22</v>
          </cell>
          <cell r="Y55">
            <v>22</v>
          </cell>
          <cell r="Z55">
            <v>22</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22</v>
          </cell>
          <cell r="BH55">
            <v>22</v>
          </cell>
          <cell r="BI55">
            <v>22</v>
          </cell>
          <cell r="BJ55">
            <v>22</v>
          </cell>
          <cell r="BK55">
            <v>22</v>
          </cell>
          <cell r="BL55">
            <v>22</v>
          </cell>
          <cell r="BM55">
            <v>22</v>
          </cell>
          <cell r="BN55">
            <v>22</v>
          </cell>
          <cell r="BO55">
            <v>22</v>
          </cell>
          <cell r="BP55">
            <v>22</v>
          </cell>
          <cell r="BQ55">
            <v>22</v>
          </cell>
          <cell r="BR55">
            <v>22</v>
          </cell>
          <cell r="BS55">
            <v>22</v>
          </cell>
          <cell r="BT55">
            <v>22</v>
          </cell>
          <cell r="BU55">
            <v>22</v>
          </cell>
          <cell r="BV55">
            <v>22</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22</v>
          </cell>
          <cell r="DD55">
            <v>22</v>
          </cell>
          <cell r="DE55">
            <v>22</v>
          </cell>
          <cell r="DF55">
            <v>22</v>
          </cell>
          <cell r="DG55">
            <v>22</v>
          </cell>
          <cell r="DH55">
            <v>22</v>
          </cell>
          <cell r="DI55">
            <v>22</v>
          </cell>
          <cell r="DJ55">
            <v>22</v>
          </cell>
          <cell r="DK55">
            <v>22</v>
          </cell>
          <cell r="DL55">
            <v>22</v>
          </cell>
          <cell r="DM55">
            <v>22</v>
          </cell>
          <cell r="DN55">
            <v>22</v>
          </cell>
          <cell r="DO55">
            <v>22</v>
          </cell>
          <cell r="DP55">
            <v>22</v>
          </cell>
          <cell r="DQ55">
            <v>22</v>
          </cell>
          <cell r="DR55">
            <v>22</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v>0</v>
          </cell>
          <cell r="EW55">
            <v>0</v>
          </cell>
          <cell r="EX55">
            <v>0</v>
          </cell>
          <cell r="EY55">
            <v>22</v>
          </cell>
          <cell r="EZ55">
            <v>22</v>
          </cell>
          <cell r="FA55">
            <v>22</v>
          </cell>
          <cell r="FB55">
            <v>22</v>
          </cell>
          <cell r="FC55">
            <v>22</v>
          </cell>
          <cell r="FD55">
            <v>22</v>
          </cell>
          <cell r="FE55">
            <v>22</v>
          </cell>
          <cell r="FF55">
            <v>22</v>
          </cell>
          <cell r="FG55">
            <v>22</v>
          </cell>
          <cell r="FH55">
            <v>22</v>
          </cell>
          <cell r="FI55">
            <v>22</v>
          </cell>
          <cell r="FJ55">
            <v>22</v>
          </cell>
          <cell r="FK55">
            <v>22</v>
          </cell>
          <cell r="FL55">
            <v>22</v>
          </cell>
          <cell r="FM55">
            <v>22</v>
          </cell>
          <cell r="FN55">
            <v>22</v>
          </cell>
        </row>
        <row r="56">
          <cell r="A56" t="str">
            <v>G3MONCI2</v>
          </cell>
          <cell r="B56" t="str">
            <v>MONCION 2</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22</v>
          </cell>
          <cell r="AJ56">
            <v>22</v>
          </cell>
          <cell r="AK56">
            <v>22</v>
          </cell>
          <cell r="AL56">
            <v>22</v>
          </cell>
          <cell r="AM56">
            <v>22</v>
          </cell>
          <cell r="AN56">
            <v>22</v>
          </cell>
          <cell r="AO56">
            <v>22</v>
          </cell>
          <cell r="AP56">
            <v>22</v>
          </cell>
          <cell r="AQ56">
            <v>22</v>
          </cell>
          <cell r="AR56">
            <v>22</v>
          </cell>
          <cell r="AS56">
            <v>22</v>
          </cell>
          <cell r="AT56">
            <v>22</v>
          </cell>
          <cell r="AU56">
            <v>22</v>
          </cell>
          <cell r="AV56">
            <v>22</v>
          </cell>
          <cell r="AW56">
            <v>22</v>
          </cell>
          <cell r="AX56">
            <v>22</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22</v>
          </cell>
          <cell r="CE56">
            <v>22</v>
          </cell>
          <cell r="CF56">
            <v>22</v>
          </cell>
          <cell r="CG56">
            <v>22</v>
          </cell>
          <cell r="CH56">
            <v>22</v>
          </cell>
          <cell r="CI56">
            <v>22</v>
          </cell>
          <cell r="CJ56">
            <v>22</v>
          </cell>
          <cell r="CK56">
            <v>22</v>
          </cell>
          <cell r="CL56">
            <v>22</v>
          </cell>
          <cell r="CM56">
            <v>22</v>
          </cell>
          <cell r="CN56">
            <v>22</v>
          </cell>
          <cell r="CO56">
            <v>22</v>
          </cell>
          <cell r="CP56">
            <v>22</v>
          </cell>
          <cell r="CQ56">
            <v>22</v>
          </cell>
          <cell r="CR56">
            <v>22</v>
          </cell>
          <cell r="CS56">
            <v>22</v>
          </cell>
          <cell r="CT56">
            <v>22</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22</v>
          </cell>
          <cell r="EA56">
            <v>22</v>
          </cell>
          <cell r="EB56">
            <v>22</v>
          </cell>
          <cell r="EC56">
            <v>22</v>
          </cell>
          <cell r="ED56">
            <v>22</v>
          </cell>
          <cell r="EE56">
            <v>22</v>
          </cell>
          <cell r="EF56">
            <v>22</v>
          </cell>
          <cell r="EG56">
            <v>22</v>
          </cell>
          <cell r="EH56">
            <v>22</v>
          </cell>
          <cell r="EI56">
            <v>22</v>
          </cell>
          <cell r="EJ56">
            <v>22</v>
          </cell>
          <cell r="EK56">
            <v>22</v>
          </cell>
          <cell r="EL56">
            <v>22</v>
          </cell>
          <cell r="EM56">
            <v>22</v>
          </cell>
          <cell r="EN56">
            <v>22</v>
          </cell>
          <cell r="EO56">
            <v>22</v>
          </cell>
          <cell r="EP56">
            <v>22</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0</v>
          </cell>
          <cell r="FH56">
            <v>0</v>
          </cell>
          <cell r="FI56">
            <v>0</v>
          </cell>
          <cell r="FJ56">
            <v>0</v>
          </cell>
          <cell r="FK56">
            <v>0</v>
          </cell>
          <cell r="FL56">
            <v>0</v>
          </cell>
          <cell r="FM56">
            <v>0</v>
          </cell>
          <cell r="FN56">
            <v>0</v>
          </cell>
        </row>
        <row r="57">
          <cell r="A57" t="str">
            <v>G3MPSOLA</v>
          </cell>
          <cell r="B57" t="str">
            <v>MONTE PLATA SOLAR</v>
          </cell>
          <cell r="C57">
            <v>30</v>
          </cell>
          <cell r="D57">
            <v>30</v>
          </cell>
          <cell r="E57">
            <v>30</v>
          </cell>
          <cell r="F57">
            <v>30</v>
          </cell>
          <cell r="G57">
            <v>30</v>
          </cell>
          <cell r="H57">
            <v>30</v>
          </cell>
          <cell r="I57">
            <v>30</v>
          </cell>
          <cell r="J57">
            <v>30</v>
          </cell>
          <cell r="K57">
            <v>30</v>
          </cell>
          <cell r="L57">
            <v>30</v>
          </cell>
          <cell r="M57">
            <v>30</v>
          </cell>
          <cell r="N57">
            <v>30</v>
          </cell>
          <cell r="O57">
            <v>30</v>
          </cell>
          <cell r="P57">
            <v>30</v>
          </cell>
          <cell r="Q57">
            <v>30</v>
          </cell>
          <cell r="R57">
            <v>30</v>
          </cell>
          <cell r="S57">
            <v>30</v>
          </cell>
          <cell r="T57">
            <v>30</v>
          </cell>
          <cell r="U57">
            <v>30</v>
          </cell>
          <cell r="V57">
            <v>30</v>
          </cell>
          <cell r="W57">
            <v>30</v>
          </cell>
          <cell r="X57">
            <v>30</v>
          </cell>
          <cell r="Y57">
            <v>30</v>
          </cell>
          <cell r="Z57">
            <v>30</v>
          </cell>
          <cell r="AA57">
            <v>30</v>
          </cell>
          <cell r="AB57">
            <v>30</v>
          </cell>
          <cell r="AC57">
            <v>30</v>
          </cell>
          <cell r="AD57">
            <v>30</v>
          </cell>
          <cell r="AE57">
            <v>30</v>
          </cell>
          <cell r="AF57">
            <v>30</v>
          </cell>
          <cell r="AG57">
            <v>30</v>
          </cell>
          <cell r="AH57">
            <v>30</v>
          </cell>
          <cell r="AI57">
            <v>30</v>
          </cell>
          <cell r="AJ57">
            <v>30</v>
          </cell>
          <cell r="AK57">
            <v>30</v>
          </cell>
          <cell r="AL57">
            <v>30</v>
          </cell>
          <cell r="AM57">
            <v>30</v>
          </cell>
          <cell r="AN57">
            <v>30</v>
          </cell>
          <cell r="AO57">
            <v>30</v>
          </cell>
          <cell r="AP57">
            <v>30</v>
          </cell>
          <cell r="AQ57">
            <v>30</v>
          </cell>
          <cell r="AR57">
            <v>30</v>
          </cell>
          <cell r="AS57">
            <v>30</v>
          </cell>
          <cell r="AT57">
            <v>30</v>
          </cell>
          <cell r="AU57">
            <v>30</v>
          </cell>
          <cell r="AV57">
            <v>30</v>
          </cell>
          <cell r="AW57">
            <v>30</v>
          </cell>
          <cell r="AX57">
            <v>30</v>
          </cell>
          <cell r="AY57">
            <v>30</v>
          </cell>
          <cell r="AZ57">
            <v>30</v>
          </cell>
          <cell r="BA57">
            <v>30</v>
          </cell>
          <cell r="BB57">
            <v>30</v>
          </cell>
          <cell r="BC57">
            <v>30</v>
          </cell>
          <cell r="BD57">
            <v>30</v>
          </cell>
          <cell r="BE57">
            <v>30</v>
          </cell>
          <cell r="BF57">
            <v>30</v>
          </cell>
          <cell r="BG57">
            <v>30</v>
          </cell>
          <cell r="BH57">
            <v>30</v>
          </cell>
          <cell r="BI57">
            <v>30</v>
          </cell>
          <cell r="BJ57">
            <v>30</v>
          </cell>
          <cell r="BK57">
            <v>30</v>
          </cell>
          <cell r="BL57">
            <v>30</v>
          </cell>
          <cell r="BM57">
            <v>30</v>
          </cell>
          <cell r="BN57">
            <v>30</v>
          </cell>
          <cell r="BO57">
            <v>30</v>
          </cell>
          <cell r="BP57">
            <v>30</v>
          </cell>
          <cell r="BQ57">
            <v>30</v>
          </cell>
          <cell r="BR57">
            <v>30</v>
          </cell>
          <cell r="BS57">
            <v>30</v>
          </cell>
          <cell r="BT57">
            <v>30</v>
          </cell>
          <cell r="BU57">
            <v>30</v>
          </cell>
          <cell r="BV57">
            <v>30</v>
          </cell>
          <cell r="BW57">
            <v>30</v>
          </cell>
          <cell r="BX57">
            <v>30</v>
          </cell>
          <cell r="BY57">
            <v>30</v>
          </cell>
          <cell r="BZ57">
            <v>30</v>
          </cell>
          <cell r="CA57">
            <v>30</v>
          </cell>
          <cell r="CB57">
            <v>30</v>
          </cell>
          <cell r="CC57">
            <v>30</v>
          </cell>
          <cell r="CD57">
            <v>30</v>
          </cell>
          <cell r="CE57">
            <v>30</v>
          </cell>
          <cell r="CF57">
            <v>30</v>
          </cell>
          <cell r="CG57">
            <v>30</v>
          </cell>
          <cell r="CH57">
            <v>30</v>
          </cell>
          <cell r="CI57">
            <v>30</v>
          </cell>
          <cell r="CJ57">
            <v>30</v>
          </cell>
          <cell r="CK57">
            <v>30</v>
          </cell>
          <cell r="CL57">
            <v>30</v>
          </cell>
          <cell r="CM57">
            <v>30</v>
          </cell>
          <cell r="CN57">
            <v>30</v>
          </cell>
          <cell r="CO57">
            <v>30</v>
          </cell>
          <cell r="CP57">
            <v>30</v>
          </cell>
          <cell r="CQ57">
            <v>30</v>
          </cell>
          <cell r="CR57">
            <v>30</v>
          </cell>
          <cell r="CS57">
            <v>30</v>
          </cell>
          <cell r="CT57">
            <v>30</v>
          </cell>
          <cell r="CU57">
            <v>30</v>
          </cell>
          <cell r="CV57">
            <v>30</v>
          </cell>
          <cell r="CW57">
            <v>30</v>
          </cell>
          <cell r="CX57">
            <v>30</v>
          </cell>
          <cell r="CY57">
            <v>30</v>
          </cell>
          <cell r="CZ57">
            <v>30</v>
          </cell>
          <cell r="DA57">
            <v>30</v>
          </cell>
          <cell r="DB57">
            <v>30</v>
          </cell>
          <cell r="DC57">
            <v>30</v>
          </cell>
          <cell r="DD57">
            <v>30</v>
          </cell>
          <cell r="DE57">
            <v>30</v>
          </cell>
          <cell r="DF57">
            <v>30</v>
          </cell>
          <cell r="DG57">
            <v>30</v>
          </cell>
          <cell r="DH57">
            <v>30</v>
          </cell>
          <cell r="DI57">
            <v>30</v>
          </cell>
          <cell r="DJ57">
            <v>30</v>
          </cell>
          <cell r="DK57">
            <v>30</v>
          </cell>
          <cell r="DL57">
            <v>30</v>
          </cell>
          <cell r="DM57">
            <v>30</v>
          </cell>
          <cell r="DN57">
            <v>30</v>
          </cell>
          <cell r="DO57">
            <v>30</v>
          </cell>
          <cell r="DP57">
            <v>30</v>
          </cell>
          <cell r="DQ57">
            <v>30</v>
          </cell>
          <cell r="DR57">
            <v>30</v>
          </cell>
          <cell r="DS57">
            <v>30</v>
          </cell>
          <cell r="DT57">
            <v>30</v>
          </cell>
          <cell r="DU57">
            <v>30</v>
          </cell>
          <cell r="DV57">
            <v>30</v>
          </cell>
          <cell r="DW57">
            <v>30</v>
          </cell>
          <cell r="DX57">
            <v>30</v>
          </cell>
          <cell r="DY57">
            <v>30</v>
          </cell>
          <cell r="DZ57">
            <v>30</v>
          </cell>
          <cell r="EA57">
            <v>30</v>
          </cell>
          <cell r="EB57">
            <v>30</v>
          </cell>
          <cell r="EC57">
            <v>30</v>
          </cell>
          <cell r="ED57">
            <v>30</v>
          </cell>
          <cell r="EE57">
            <v>30</v>
          </cell>
          <cell r="EF57">
            <v>30</v>
          </cell>
          <cell r="EG57">
            <v>30</v>
          </cell>
          <cell r="EH57">
            <v>30</v>
          </cell>
          <cell r="EI57">
            <v>30</v>
          </cell>
          <cell r="EJ57">
            <v>30</v>
          </cell>
          <cell r="EK57">
            <v>30</v>
          </cell>
          <cell r="EL57">
            <v>30</v>
          </cell>
          <cell r="EM57">
            <v>30</v>
          </cell>
          <cell r="EN57">
            <v>30</v>
          </cell>
          <cell r="EO57">
            <v>30</v>
          </cell>
          <cell r="EP57">
            <v>30</v>
          </cell>
          <cell r="EQ57">
            <v>30</v>
          </cell>
          <cell r="ER57">
            <v>30</v>
          </cell>
          <cell r="ES57">
            <v>30</v>
          </cell>
          <cell r="ET57">
            <v>30</v>
          </cell>
          <cell r="EU57">
            <v>30</v>
          </cell>
          <cell r="EV57">
            <v>30</v>
          </cell>
          <cell r="EW57">
            <v>30</v>
          </cell>
          <cell r="EX57">
            <v>30</v>
          </cell>
          <cell r="EY57">
            <v>30</v>
          </cell>
          <cell r="EZ57">
            <v>30</v>
          </cell>
          <cell r="FA57">
            <v>30</v>
          </cell>
          <cell r="FB57">
            <v>30</v>
          </cell>
          <cell r="FC57">
            <v>30</v>
          </cell>
          <cell r="FD57">
            <v>30</v>
          </cell>
          <cell r="FE57">
            <v>30</v>
          </cell>
          <cell r="FF57">
            <v>30</v>
          </cell>
          <cell r="FG57">
            <v>30</v>
          </cell>
          <cell r="FH57">
            <v>30</v>
          </cell>
          <cell r="FI57">
            <v>30</v>
          </cell>
          <cell r="FJ57">
            <v>30</v>
          </cell>
          <cell r="FK57">
            <v>30</v>
          </cell>
          <cell r="FL57">
            <v>30</v>
          </cell>
          <cell r="FM57">
            <v>30</v>
          </cell>
          <cell r="FN57">
            <v>30</v>
          </cell>
        </row>
        <row r="58">
          <cell r="A58" t="str">
            <v>G3MRIO</v>
          </cell>
          <cell r="B58" t="str">
            <v>MONTE RIO</v>
          </cell>
          <cell r="C58">
            <v>93.2</v>
          </cell>
          <cell r="D58">
            <v>93.2</v>
          </cell>
          <cell r="E58">
            <v>54.6</v>
          </cell>
          <cell r="F58">
            <v>54.6</v>
          </cell>
          <cell r="G58">
            <v>54.6</v>
          </cell>
          <cell r="H58">
            <v>54.6</v>
          </cell>
          <cell r="I58">
            <v>54.6</v>
          </cell>
          <cell r="J58">
            <v>54.6</v>
          </cell>
          <cell r="K58">
            <v>54.6</v>
          </cell>
          <cell r="L58">
            <v>54.6</v>
          </cell>
          <cell r="M58">
            <v>54.6</v>
          </cell>
          <cell r="N58">
            <v>78</v>
          </cell>
          <cell r="O58">
            <v>78</v>
          </cell>
          <cell r="P58">
            <v>78</v>
          </cell>
          <cell r="Q58">
            <v>78</v>
          </cell>
          <cell r="R58">
            <v>78</v>
          </cell>
          <cell r="S58">
            <v>78</v>
          </cell>
          <cell r="T58">
            <v>78</v>
          </cell>
          <cell r="U58">
            <v>93.2</v>
          </cell>
          <cell r="V58">
            <v>93.2</v>
          </cell>
          <cell r="W58">
            <v>93.2</v>
          </cell>
          <cell r="X58">
            <v>93.2</v>
          </cell>
          <cell r="Y58">
            <v>93.2</v>
          </cell>
          <cell r="Z58">
            <v>93.2</v>
          </cell>
          <cell r="AA58">
            <v>93.2</v>
          </cell>
          <cell r="AB58">
            <v>93.2</v>
          </cell>
          <cell r="AC58">
            <v>54.6</v>
          </cell>
          <cell r="AD58">
            <v>54.6</v>
          </cell>
          <cell r="AE58">
            <v>54.6</v>
          </cell>
          <cell r="AF58">
            <v>54.6</v>
          </cell>
          <cell r="AG58">
            <v>54.6</v>
          </cell>
          <cell r="AH58">
            <v>54.6</v>
          </cell>
          <cell r="AI58">
            <v>54.6</v>
          </cell>
          <cell r="AJ58">
            <v>54.6</v>
          </cell>
          <cell r="AK58">
            <v>54.6</v>
          </cell>
          <cell r="AL58">
            <v>78</v>
          </cell>
          <cell r="AM58">
            <v>78</v>
          </cell>
          <cell r="AN58">
            <v>78</v>
          </cell>
          <cell r="AO58">
            <v>78</v>
          </cell>
          <cell r="AP58">
            <v>78</v>
          </cell>
          <cell r="AQ58">
            <v>78</v>
          </cell>
          <cell r="AR58">
            <v>78</v>
          </cell>
          <cell r="AS58">
            <v>93.2</v>
          </cell>
          <cell r="AT58">
            <v>93.2</v>
          </cell>
          <cell r="AU58">
            <v>93.2</v>
          </cell>
          <cell r="AV58">
            <v>93.2</v>
          </cell>
          <cell r="AW58">
            <v>93.2</v>
          </cell>
          <cell r="AX58">
            <v>93.2</v>
          </cell>
          <cell r="AY58">
            <v>93.2</v>
          </cell>
          <cell r="AZ58">
            <v>93.2</v>
          </cell>
          <cell r="BA58">
            <v>54.6</v>
          </cell>
          <cell r="BB58">
            <v>54.6</v>
          </cell>
          <cell r="BC58">
            <v>54.6</v>
          </cell>
          <cell r="BD58">
            <v>54.6</v>
          </cell>
          <cell r="BE58">
            <v>54.6</v>
          </cell>
          <cell r="BF58">
            <v>54.6</v>
          </cell>
          <cell r="BG58">
            <v>54.6</v>
          </cell>
          <cell r="BH58">
            <v>54.6</v>
          </cell>
          <cell r="BI58">
            <v>54.6</v>
          </cell>
          <cell r="BJ58">
            <v>78</v>
          </cell>
          <cell r="BK58">
            <v>78</v>
          </cell>
          <cell r="BL58">
            <v>78</v>
          </cell>
          <cell r="BM58">
            <v>78</v>
          </cell>
          <cell r="BN58">
            <v>78</v>
          </cell>
          <cell r="BO58">
            <v>78</v>
          </cell>
          <cell r="BP58">
            <v>78</v>
          </cell>
          <cell r="BQ58">
            <v>85.2</v>
          </cell>
          <cell r="BR58">
            <v>85.2</v>
          </cell>
          <cell r="BS58">
            <v>85.2</v>
          </cell>
          <cell r="BT58">
            <v>85.2</v>
          </cell>
          <cell r="BU58">
            <v>85.2</v>
          </cell>
          <cell r="BV58">
            <v>85.2</v>
          </cell>
          <cell r="BW58">
            <v>85.2</v>
          </cell>
          <cell r="BX58">
            <v>85.2</v>
          </cell>
          <cell r="BY58">
            <v>54.6</v>
          </cell>
          <cell r="BZ58">
            <v>54.6</v>
          </cell>
          <cell r="CA58">
            <v>54.6</v>
          </cell>
          <cell r="CB58">
            <v>54.6</v>
          </cell>
          <cell r="CC58">
            <v>54.6</v>
          </cell>
          <cell r="CD58">
            <v>54.6</v>
          </cell>
          <cell r="CE58">
            <v>54.6</v>
          </cell>
          <cell r="CF58">
            <v>54.6</v>
          </cell>
          <cell r="CG58">
            <v>54.6</v>
          </cell>
          <cell r="CH58">
            <v>78</v>
          </cell>
          <cell r="CI58">
            <v>78</v>
          </cell>
          <cell r="CJ58">
            <v>78</v>
          </cell>
          <cell r="CK58">
            <v>78</v>
          </cell>
          <cell r="CL58">
            <v>78</v>
          </cell>
          <cell r="CM58">
            <v>78</v>
          </cell>
          <cell r="CN58">
            <v>78</v>
          </cell>
          <cell r="CO58">
            <v>85.2</v>
          </cell>
          <cell r="CP58">
            <v>85.2</v>
          </cell>
          <cell r="CQ58">
            <v>85.2</v>
          </cell>
          <cell r="CR58">
            <v>85.2</v>
          </cell>
          <cell r="CS58">
            <v>85.2</v>
          </cell>
          <cell r="CT58">
            <v>85.2</v>
          </cell>
          <cell r="CU58">
            <v>85.2</v>
          </cell>
          <cell r="CV58">
            <v>85.2</v>
          </cell>
          <cell r="CW58">
            <v>54.6</v>
          </cell>
          <cell r="CX58">
            <v>54.6</v>
          </cell>
          <cell r="CY58">
            <v>54.6</v>
          </cell>
          <cell r="CZ58">
            <v>54.6</v>
          </cell>
          <cell r="DA58">
            <v>54.6</v>
          </cell>
          <cell r="DB58">
            <v>54.6</v>
          </cell>
          <cell r="DC58">
            <v>54.6</v>
          </cell>
          <cell r="DD58">
            <v>54.6</v>
          </cell>
          <cell r="DE58">
            <v>54.6</v>
          </cell>
          <cell r="DF58">
            <v>78</v>
          </cell>
          <cell r="DG58">
            <v>78</v>
          </cell>
          <cell r="DH58">
            <v>78</v>
          </cell>
          <cell r="DI58">
            <v>78</v>
          </cell>
          <cell r="DJ58">
            <v>78</v>
          </cell>
          <cell r="DK58">
            <v>78</v>
          </cell>
          <cell r="DL58">
            <v>78</v>
          </cell>
          <cell r="DM58">
            <v>85.2</v>
          </cell>
          <cell r="DN58">
            <v>85.2</v>
          </cell>
          <cell r="DO58">
            <v>85.2</v>
          </cell>
          <cell r="DP58">
            <v>85.2</v>
          </cell>
          <cell r="DQ58">
            <v>85.2</v>
          </cell>
          <cell r="DR58">
            <v>85.2</v>
          </cell>
          <cell r="DS58">
            <v>85.2</v>
          </cell>
          <cell r="DT58">
            <v>85.2</v>
          </cell>
          <cell r="DU58">
            <v>54.6</v>
          </cell>
          <cell r="DV58">
            <v>54.6</v>
          </cell>
          <cell r="DW58">
            <v>54.6</v>
          </cell>
          <cell r="DX58">
            <v>54.6</v>
          </cell>
          <cell r="DY58">
            <v>54.6</v>
          </cell>
          <cell r="DZ58">
            <v>54.6</v>
          </cell>
          <cell r="EA58">
            <v>54.6</v>
          </cell>
          <cell r="EB58">
            <v>54.6</v>
          </cell>
          <cell r="EC58">
            <v>54.6</v>
          </cell>
          <cell r="ED58">
            <v>78</v>
          </cell>
          <cell r="EE58">
            <v>78</v>
          </cell>
          <cell r="EF58">
            <v>78</v>
          </cell>
          <cell r="EG58">
            <v>78</v>
          </cell>
          <cell r="EH58">
            <v>78</v>
          </cell>
          <cell r="EI58">
            <v>78</v>
          </cell>
          <cell r="EJ58">
            <v>78</v>
          </cell>
          <cell r="EK58">
            <v>85.2</v>
          </cell>
          <cell r="EL58">
            <v>85.2</v>
          </cell>
          <cell r="EM58">
            <v>85.2</v>
          </cell>
          <cell r="EN58">
            <v>85.2</v>
          </cell>
          <cell r="EO58">
            <v>85.2</v>
          </cell>
          <cell r="EP58">
            <v>85.2</v>
          </cell>
          <cell r="EQ58">
            <v>85.2</v>
          </cell>
          <cell r="ER58">
            <v>85.2</v>
          </cell>
          <cell r="ES58">
            <v>54.6</v>
          </cell>
          <cell r="ET58">
            <v>54.6</v>
          </cell>
          <cell r="EU58">
            <v>54.6</v>
          </cell>
          <cell r="EV58">
            <v>54.6</v>
          </cell>
          <cell r="EW58">
            <v>54.6</v>
          </cell>
          <cell r="EX58">
            <v>54.6</v>
          </cell>
          <cell r="EY58">
            <v>54.6</v>
          </cell>
          <cell r="EZ58">
            <v>54.6</v>
          </cell>
          <cell r="FA58">
            <v>54.6</v>
          </cell>
          <cell r="FB58">
            <v>78</v>
          </cell>
          <cell r="FC58">
            <v>78</v>
          </cell>
          <cell r="FD58">
            <v>78</v>
          </cell>
          <cell r="FE58">
            <v>78</v>
          </cell>
          <cell r="FF58">
            <v>78</v>
          </cell>
          <cell r="FG58">
            <v>78</v>
          </cell>
          <cell r="FH58">
            <v>78</v>
          </cell>
          <cell r="FI58">
            <v>85.2</v>
          </cell>
          <cell r="FJ58">
            <v>85.2</v>
          </cell>
          <cell r="FK58">
            <v>85.2</v>
          </cell>
          <cell r="FL58">
            <v>85.2</v>
          </cell>
          <cell r="FM58">
            <v>85.2</v>
          </cell>
          <cell r="FN58">
            <v>85.2</v>
          </cell>
        </row>
        <row r="59">
          <cell r="A59" t="str">
            <v>G3NNAJAY</v>
          </cell>
          <cell r="B59" t="str">
            <v>NIZAO NAJAYO</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row>
        <row r="60">
          <cell r="A60" t="str">
            <v>G3PALAMA</v>
          </cell>
          <cell r="B60" t="str">
            <v>PALAMARA</v>
          </cell>
          <cell r="C60">
            <v>96</v>
          </cell>
          <cell r="D60">
            <v>96</v>
          </cell>
          <cell r="E60">
            <v>96</v>
          </cell>
          <cell r="F60">
            <v>96</v>
          </cell>
          <cell r="G60">
            <v>96</v>
          </cell>
          <cell r="H60">
            <v>96</v>
          </cell>
          <cell r="I60">
            <v>96</v>
          </cell>
          <cell r="J60">
            <v>96</v>
          </cell>
          <cell r="K60">
            <v>96</v>
          </cell>
          <cell r="L60">
            <v>96</v>
          </cell>
          <cell r="M60">
            <v>96</v>
          </cell>
          <cell r="N60">
            <v>96</v>
          </cell>
          <cell r="O60">
            <v>96</v>
          </cell>
          <cell r="P60">
            <v>96</v>
          </cell>
          <cell r="Q60">
            <v>96</v>
          </cell>
          <cell r="R60">
            <v>96</v>
          </cell>
          <cell r="S60">
            <v>96</v>
          </cell>
          <cell r="T60">
            <v>96</v>
          </cell>
          <cell r="U60">
            <v>96</v>
          </cell>
          <cell r="V60">
            <v>96</v>
          </cell>
          <cell r="W60">
            <v>96</v>
          </cell>
          <cell r="X60">
            <v>96</v>
          </cell>
          <cell r="Y60">
            <v>96</v>
          </cell>
          <cell r="Z60">
            <v>96</v>
          </cell>
          <cell r="AA60">
            <v>96</v>
          </cell>
          <cell r="AB60">
            <v>96</v>
          </cell>
          <cell r="AC60">
            <v>96</v>
          </cell>
          <cell r="AD60">
            <v>96</v>
          </cell>
          <cell r="AE60">
            <v>96</v>
          </cell>
          <cell r="AF60">
            <v>96</v>
          </cell>
          <cell r="AG60">
            <v>96</v>
          </cell>
          <cell r="AH60">
            <v>96</v>
          </cell>
          <cell r="AI60">
            <v>96</v>
          </cell>
          <cell r="AJ60">
            <v>96</v>
          </cell>
          <cell r="AK60">
            <v>96</v>
          </cell>
          <cell r="AL60">
            <v>96</v>
          </cell>
          <cell r="AM60">
            <v>96</v>
          </cell>
          <cell r="AN60">
            <v>96</v>
          </cell>
          <cell r="AO60">
            <v>96</v>
          </cell>
          <cell r="AP60">
            <v>96</v>
          </cell>
          <cell r="AQ60">
            <v>96</v>
          </cell>
          <cell r="AR60">
            <v>96</v>
          </cell>
          <cell r="AS60">
            <v>96</v>
          </cell>
          <cell r="AT60">
            <v>96</v>
          </cell>
          <cell r="AU60">
            <v>96</v>
          </cell>
          <cell r="AV60">
            <v>96</v>
          </cell>
          <cell r="AW60">
            <v>96</v>
          </cell>
          <cell r="AX60">
            <v>96</v>
          </cell>
          <cell r="AY60">
            <v>96</v>
          </cell>
          <cell r="AZ60">
            <v>96</v>
          </cell>
          <cell r="BA60">
            <v>96</v>
          </cell>
          <cell r="BB60">
            <v>96</v>
          </cell>
          <cell r="BC60">
            <v>96</v>
          </cell>
          <cell r="BD60">
            <v>96</v>
          </cell>
          <cell r="BE60">
            <v>96</v>
          </cell>
          <cell r="BF60">
            <v>96</v>
          </cell>
          <cell r="BG60">
            <v>96</v>
          </cell>
          <cell r="BH60">
            <v>96</v>
          </cell>
          <cell r="BI60">
            <v>96</v>
          </cell>
          <cell r="BJ60">
            <v>96</v>
          </cell>
          <cell r="BK60">
            <v>96</v>
          </cell>
          <cell r="BL60">
            <v>96</v>
          </cell>
          <cell r="BM60">
            <v>96</v>
          </cell>
          <cell r="BN60">
            <v>96</v>
          </cell>
          <cell r="BO60">
            <v>96</v>
          </cell>
          <cell r="BP60">
            <v>96</v>
          </cell>
          <cell r="BQ60">
            <v>96</v>
          </cell>
          <cell r="BR60">
            <v>96</v>
          </cell>
          <cell r="BS60">
            <v>96</v>
          </cell>
          <cell r="BT60">
            <v>96</v>
          </cell>
          <cell r="BU60">
            <v>96</v>
          </cell>
          <cell r="BV60">
            <v>96</v>
          </cell>
          <cell r="BW60">
            <v>96</v>
          </cell>
          <cell r="BX60">
            <v>96</v>
          </cell>
          <cell r="BY60">
            <v>96</v>
          </cell>
          <cell r="BZ60">
            <v>96</v>
          </cell>
          <cell r="CA60">
            <v>96</v>
          </cell>
          <cell r="CB60">
            <v>96</v>
          </cell>
          <cell r="CC60">
            <v>96</v>
          </cell>
          <cell r="CD60">
            <v>96</v>
          </cell>
          <cell r="CE60">
            <v>96</v>
          </cell>
          <cell r="CF60">
            <v>96</v>
          </cell>
          <cell r="CG60">
            <v>96</v>
          </cell>
          <cell r="CH60">
            <v>96</v>
          </cell>
          <cell r="CI60">
            <v>96</v>
          </cell>
          <cell r="CJ60">
            <v>96</v>
          </cell>
          <cell r="CK60">
            <v>96</v>
          </cell>
          <cell r="CL60">
            <v>96</v>
          </cell>
          <cell r="CM60">
            <v>96</v>
          </cell>
          <cell r="CN60">
            <v>96</v>
          </cell>
          <cell r="CO60">
            <v>96</v>
          </cell>
          <cell r="CP60">
            <v>96</v>
          </cell>
          <cell r="CQ60">
            <v>96</v>
          </cell>
          <cell r="CR60">
            <v>96</v>
          </cell>
          <cell r="CS60">
            <v>96</v>
          </cell>
          <cell r="CT60">
            <v>96</v>
          </cell>
          <cell r="CU60">
            <v>96</v>
          </cell>
          <cell r="CV60">
            <v>96</v>
          </cell>
          <cell r="CW60">
            <v>96</v>
          </cell>
          <cell r="CX60">
            <v>96</v>
          </cell>
          <cell r="CY60">
            <v>96</v>
          </cell>
          <cell r="CZ60">
            <v>96</v>
          </cell>
          <cell r="DA60">
            <v>96</v>
          </cell>
          <cell r="DB60">
            <v>96</v>
          </cell>
          <cell r="DC60">
            <v>86</v>
          </cell>
          <cell r="DD60">
            <v>86</v>
          </cell>
          <cell r="DE60">
            <v>86</v>
          </cell>
          <cell r="DF60">
            <v>86</v>
          </cell>
          <cell r="DG60">
            <v>86</v>
          </cell>
          <cell r="DH60">
            <v>86</v>
          </cell>
          <cell r="DI60">
            <v>86</v>
          </cell>
          <cell r="DJ60">
            <v>86</v>
          </cell>
          <cell r="DK60">
            <v>86</v>
          </cell>
          <cell r="DL60">
            <v>86</v>
          </cell>
          <cell r="DM60">
            <v>86</v>
          </cell>
          <cell r="DN60">
            <v>86</v>
          </cell>
          <cell r="DO60">
            <v>86</v>
          </cell>
          <cell r="DP60">
            <v>86</v>
          </cell>
          <cell r="DQ60">
            <v>86</v>
          </cell>
          <cell r="DR60">
            <v>86</v>
          </cell>
          <cell r="DS60">
            <v>86</v>
          </cell>
          <cell r="DT60">
            <v>86</v>
          </cell>
          <cell r="DU60">
            <v>86</v>
          </cell>
          <cell r="DV60">
            <v>86</v>
          </cell>
          <cell r="DW60">
            <v>86</v>
          </cell>
          <cell r="DX60">
            <v>86</v>
          </cell>
          <cell r="DY60">
            <v>86</v>
          </cell>
          <cell r="DZ60">
            <v>86</v>
          </cell>
          <cell r="EA60">
            <v>86</v>
          </cell>
          <cell r="EB60">
            <v>86</v>
          </cell>
          <cell r="EC60">
            <v>86</v>
          </cell>
          <cell r="ED60">
            <v>86</v>
          </cell>
          <cell r="EE60">
            <v>86</v>
          </cell>
          <cell r="EF60">
            <v>86</v>
          </cell>
          <cell r="EG60">
            <v>96</v>
          </cell>
          <cell r="EH60">
            <v>96</v>
          </cell>
          <cell r="EI60">
            <v>96</v>
          </cell>
          <cell r="EJ60">
            <v>96</v>
          </cell>
          <cell r="EK60">
            <v>96</v>
          </cell>
          <cell r="EL60">
            <v>96</v>
          </cell>
          <cell r="EM60">
            <v>96</v>
          </cell>
          <cell r="EN60">
            <v>96</v>
          </cell>
          <cell r="EO60">
            <v>96</v>
          </cell>
          <cell r="EP60">
            <v>96</v>
          </cell>
          <cell r="EQ60">
            <v>96</v>
          </cell>
          <cell r="ER60">
            <v>96</v>
          </cell>
          <cell r="ES60">
            <v>96</v>
          </cell>
          <cell r="ET60">
            <v>96</v>
          </cell>
          <cell r="EU60">
            <v>96</v>
          </cell>
          <cell r="EV60">
            <v>96</v>
          </cell>
          <cell r="EW60">
            <v>96</v>
          </cell>
          <cell r="EX60">
            <v>96</v>
          </cell>
          <cell r="EY60">
            <v>96</v>
          </cell>
          <cell r="EZ60">
            <v>96</v>
          </cell>
          <cell r="FA60">
            <v>96</v>
          </cell>
          <cell r="FB60">
            <v>96</v>
          </cell>
          <cell r="FC60">
            <v>96</v>
          </cell>
          <cell r="FD60">
            <v>96</v>
          </cell>
          <cell r="FE60">
            <v>96</v>
          </cell>
          <cell r="FF60">
            <v>96</v>
          </cell>
          <cell r="FG60">
            <v>96</v>
          </cell>
          <cell r="FH60">
            <v>96</v>
          </cell>
          <cell r="FI60">
            <v>96</v>
          </cell>
          <cell r="FJ60">
            <v>96</v>
          </cell>
          <cell r="FK60">
            <v>96</v>
          </cell>
          <cell r="FL60">
            <v>96</v>
          </cell>
          <cell r="FM60">
            <v>96</v>
          </cell>
          <cell r="FN60">
            <v>96</v>
          </cell>
        </row>
        <row r="61">
          <cell r="A61" t="str">
            <v>G3PALENQ</v>
          </cell>
          <cell r="B61" t="str">
            <v>PALENQUE</v>
          </cell>
          <cell r="C61">
            <v>18</v>
          </cell>
          <cell r="D61">
            <v>18</v>
          </cell>
          <cell r="E61">
            <v>18</v>
          </cell>
          <cell r="F61">
            <v>18</v>
          </cell>
          <cell r="G61">
            <v>18</v>
          </cell>
          <cell r="H61">
            <v>18</v>
          </cell>
          <cell r="I61">
            <v>18</v>
          </cell>
          <cell r="J61">
            <v>18</v>
          </cell>
          <cell r="K61">
            <v>18</v>
          </cell>
          <cell r="L61">
            <v>18</v>
          </cell>
          <cell r="M61">
            <v>18</v>
          </cell>
          <cell r="N61">
            <v>18</v>
          </cell>
          <cell r="O61">
            <v>18</v>
          </cell>
          <cell r="P61">
            <v>18</v>
          </cell>
          <cell r="Q61">
            <v>18</v>
          </cell>
          <cell r="R61">
            <v>18</v>
          </cell>
          <cell r="S61">
            <v>18</v>
          </cell>
          <cell r="T61">
            <v>18</v>
          </cell>
          <cell r="U61">
            <v>18</v>
          </cell>
          <cell r="V61">
            <v>18</v>
          </cell>
          <cell r="W61">
            <v>18</v>
          </cell>
          <cell r="X61">
            <v>18</v>
          </cell>
          <cell r="Y61">
            <v>18</v>
          </cell>
          <cell r="Z61">
            <v>18</v>
          </cell>
          <cell r="AA61">
            <v>18</v>
          </cell>
          <cell r="AB61">
            <v>18</v>
          </cell>
          <cell r="AC61">
            <v>18</v>
          </cell>
          <cell r="AD61">
            <v>18</v>
          </cell>
          <cell r="AE61">
            <v>18</v>
          </cell>
          <cell r="AF61">
            <v>18</v>
          </cell>
          <cell r="AG61">
            <v>18</v>
          </cell>
          <cell r="AH61">
            <v>18</v>
          </cell>
          <cell r="AI61">
            <v>18</v>
          </cell>
          <cell r="AJ61">
            <v>18</v>
          </cell>
          <cell r="AK61">
            <v>18</v>
          </cell>
          <cell r="AL61">
            <v>18</v>
          </cell>
          <cell r="AM61">
            <v>18</v>
          </cell>
          <cell r="AN61">
            <v>18</v>
          </cell>
          <cell r="AO61">
            <v>18</v>
          </cell>
          <cell r="AP61">
            <v>18</v>
          </cell>
          <cell r="AQ61">
            <v>18</v>
          </cell>
          <cell r="AR61">
            <v>18</v>
          </cell>
          <cell r="AS61">
            <v>18</v>
          </cell>
          <cell r="AT61">
            <v>18</v>
          </cell>
          <cell r="AU61">
            <v>18</v>
          </cell>
          <cell r="AV61">
            <v>18</v>
          </cell>
          <cell r="AW61">
            <v>18</v>
          </cell>
          <cell r="AX61">
            <v>18</v>
          </cell>
          <cell r="AY61">
            <v>18</v>
          </cell>
          <cell r="AZ61">
            <v>18</v>
          </cell>
          <cell r="BA61">
            <v>18</v>
          </cell>
          <cell r="BB61">
            <v>18</v>
          </cell>
          <cell r="BC61">
            <v>18</v>
          </cell>
          <cell r="BD61">
            <v>18</v>
          </cell>
          <cell r="BE61">
            <v>18</v>
          </cell>
          <cell r="BF61">
            <v>18</v>
          </cell>
          <cell r="BG61">
            <v>18</v>
          </cell>
          <cell r="BH61">
            <v>18</v>
          </cell>
          <cell r="BI61">
            <v>18</v>
          </cell>
          <cell r="BJ61">
            <v>18</v>
          </cell>
          <cell r="BK61">
            <v>18</v>
          </cell>
          <cell r="BL61">
            <v>18</v>
          </cell>
          <cell r="BM61">
            <v>18</v>
          </cell>
          <cell r="BN61">
            <v>18</v>
          </cell>
          <cell r="BO61">
            <v>18</v>
          </cell>
          <cell r="BP61">
            <v>18</v>
          </cell>
          <cell r="BQ61">
            <v>18</v>
          </cell>
          <cell r="BR61">
            <v>18</v>
          </cell>
          <cell r="BS61">
            <v>18</v>
          </cell>
          <cell r="BT61">
            <v>18</v>
          </cell>
          <cell r="BU61">
            <v>18</v>
          </cell>
          <cell r="BV61">
            <v>18</v>
          </cell>
          <cell r="BW61">
            <v>18</v>
          </cell>
          <cell r="BX61">
            <v>18</v>
          </cell>
          <cell r="BY61">
            <v>18</v>
          </cell>
          <cell r="BZ61">
            <v>18</v>
          </cell>
          <cell r="CA61">
            <v>18</v>
          </cell>
          <cell r="CB61">
            <v>18</v>
          </cell>
          <cell r="CC61">
            <v>18</v>
          </cell>
          <cell r="CD61">
            <v>18</v>
          </cell>
          <cell r="CE61">
            <v>18</v>
          </cell>
          <cell r="CF61">
            <v>18</v>
          </cell>
          <cell r="CG61">
            <v>18</v>
          </cell>
          <cell r="CH61">
            <v>18</v>
          </cell>
          <cell r="CI61">
            <v>18</v>
          </cell>
          <cell r="CJ61">
            <v>18</v>
          </cell>
          <cell r="CK61">
            <v>18</v>
          </cell>
          <cell r="CL61">
            <v>18</v>
          </cell>
          <cell r="CM61">
            <v>18</v>
          </cell>
          <cell r="CN61">
            <v>18</v>
          </cell>
          <cell r="CO61">
            <v>18</v>
          </cell>
          <cell r="CP61">
            <v>18</v>
          </cell>
          <cell r="CQ61">
            <v>18</v>
          </cell>
          <cell r="CR61">
            <v>18</v>
          </cell>
          <cell r="CS61">
            <v>18</v>
          </cell>
          <cell r="CT61">
            <v>18</v>
          </cell>
          <cell r="CU61">
            <v>18</v>
          </cell>
          <cell r="CV61">
            <v>18</v>
          </cell>
          <cell r="CW61">
            <v>18</v>
          </cell>
          <cell r="CX61">
            <v>18</v>
          </cell>
          <cell r="CY61">
            <v>18</v>
          </cell>
          <cell r="CZ61">
            <v>18</v>
          </cell>
          <cell r="DA61">
            <v>18</v>
          </cell>
          <cell r="DB61">
            <v>18</v>
          </cell>
          <cell r="DC61">
            <v>18</v>
          </cell>
          <cell r="DD61">
            <v>18</v>
          </cell>
          <cell r="DE61">
            <v>18</v>
          </cell>
          <cell r="DF61">
            <v>18</v>
          </cell>
          <cell r="DG61">
            <v>18</v>
          </cell>
          <cell r="DH61">
            <v>18</v>
          </cell>
          <cell r="DI61">
            <v>18</v>
          </cell>
          <cell r="DJ61">
            <v>18</v>
          </cell>
          <cell r="DK61">
            <v>18</v>
          </cell>
          <cell r="DL61">
            <v>18</v>
          </cell>
          <cell r="DM61">
            <v>18</v>
          </cell>
          <cell r="DN61">
            <v>18</v>
          </cell>
          <cell r="DO61">
            <v>18</v>
          </cell>
          <cell r="DP61">
            <v>18</v>
          </cell>
          <cell r="DQ61">
            <v>18</v>
          </cell>
          <cell r="DR61">
            <v>18</v>
          </cell>
          <cell r="DS61">
            <v>18</v>
          </cell>
          <cell r="DT61">
            <v>18</v>
          </cell>
          <cell r="DU61">
            <v>18</v>
          </cell>
          <cell r="DV61">
            <v>18</v>
          </cell>
          <cell r="DW61">
            <v>12</v>
          </cell>
          <cell r="DX61">
            <v>12</v>
          </cell>
          <cell r="DY61">
            <v>12</v>
          </cell>
          <cell r="DZ61">
            <v>12</v>
          </cell>
          <cell r="EA61">
            <v>12</v>
          </cell>
          <cell r="EB61">
            <v>12</v>
          </cell>
          <cell r="EC61">
            <v>12</v>
          </cell>
          <cell r="ED61">
            <v>12</v>
          </cell>
          <cell r="EE61">
            <v>12</v>
          </cell>
          <cell r="EF61">
            <v>12</v>
          </cell>
          <cell r="EG61">
            <v>12</v>
          </cell>
          <cell r="EH61">
            <v>12</v>
          </cell>
          <cell r="EI61">
            <v>12</v>
          </cell>
          <cell r="EJ61">
            <v>12</v>
          </cell>
          <cell r="EK61">
            <v>18</v>
          </cell>
          <cell r="EL61">
            <v>18</v>
          </cell>
          <cell r="EM61">
            <v>18</v>
          </cell>
          <cell r="EN61">
            <v>18</v>
          </cell>
          <cell r="EO61">
            <v>18</v>
          </cell>
          <cell r="EP61">
            <v>18</v>
          </cell>
          <cell r="EQ61">
            <v>18</v>
          </cell>
          <cell r="ER61">
            <v>18</v>
          </cell>
          <cell r="ES61">
            <v>18</v>
          </cell>
          <cell r="ET61">
            <v>18</v>
          </cell>
          <cell r="EU61">
            <v>18</v>
          </cell>
          <cell r="EV61">
            <v>18</v>
          </cell>
          <cell r="EW61">
            <v>18</v>
          </cell>
          <cell r="EX61">
            <v>18</v>
          </cell>
          <cell r="EY61">
            <v>18</v>
          </cell>
          <cell r="EZ61">
            <v>18</v>
          </cell>
          <cell r="FA61">
            <v>18</v>
          </cell>
          <cell r="FB61">
            <v>18</v>
          </cell>
          <cell r="FC61">
            <v>18</v>
          </cell>
          <cell r="FD61">
            <v>18</v>
          </cell>
          <cell r="FE61">
            <v>18</v>
          </cell>
          <cell r="FF61">
            <v>18</v>
          </cell>
          <cell r="FG61">
            <v>18</v>
          </cell>
          <cell r="FH61">
            <v>18</v>
          </cell>
          <cell r="FI61">
            <v>18</v>
          </cell>
          <cell r="FJ61">
            <v>18</v>
          </cell>
          <cell r="FK61">
            <v>18</v>
          </cell>
          <cell r="FL61">
            <v>18</v>
          </cell>
          <cell r="FM61">
            <v>18</v>
          </cell>
          <cell r="FN61">
            <v>18</v>
          </cell>
        </row>
        <row r="62">
          <cell r="A62" t="str">
            <v>G3PALOM1</v>
          </cell>
          <cell r="B62" t="str">
            <v>PALOMINO 1</v>
          </cell>
          <cell r="C62">
            <v>0</v>
          </cell>
          <cell r="D62">
            <v>0</v>
          </cell>
          <cell r="E62">
            <v>0</v>
          </cell>
          <cell r="F62">
            <v>0</v>
          </cell>
          <cell r="G62">
            <v>0</v>
          </cell>
          <cell r="H62">
            <v>0</v>
          </cell>
          <cell r="I62">
            <v>0</v>
          </cell>
          <cell r="J62">
            <v>0</v>
          </cell>
          <cell r="K62">
            <v>40</v>
          </cell>
          <cell r="L62">
            <v>40</v>
          </cell>
          <cell r="M62">
            <v>40</v>
          </cell>
          <cell r="N62">
            <v>0</v>
          </cell>
          <cell r="O62">
            <v>0</v>
          </cell>
          <cell r="P62">
            <v>0</v>
          </cell>
          <cell r="Q62">
            <v>0</v>
          </cell>
          <cell r="R62">
            <v>0</v>
          </cell>
          <cell r="S62">
            <v>0</v>
          </cell>
          <cell r="T62">
            <v>0</v>
          </cell>
          <cell r="U62">
            <v>40</v>
          </cell>
          <cell r="V62">
            <v>40</v>
          </cell>
          <cell r="W62">
            <v>40</v>
          </cell>
          <cell r="X62">
            <v>40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40</v>
          </cell>
          <cell r="BH62">
            <v>40</v>
          </cell>
          <cell r="BI62">
            <v>40</v>
          </cell>
          <cell r="BJ62">
            <v>0</v>
          </cell>
          <cell r="BK62">
            <v>0</v>
          </cell>
          <cell r="BL62">
            <v>0</v>
          </cell>
          <cell r="BM62">
            <v>0</v>
          </cell>
          <cell r="BN62">
            <v>0</v>
          </cell>
          <cell r="BO62">
            <v>0</v>
          </cell>
          <cell r="BP62">
            <v>0</v>
          </cell>
          <cell r="BQ62">
            <v>40</v>
          </cell>
          <cell r="BR62">
            <v>40</v>
          </cell>
          <cell r="BS62">
            <v>40</v>
          </cell>
          <cell r="BT62">
            <v>40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40</v>
          </cell>
          <cell r="DD62">
            <v>40</v>
          </cell>
          <cell r="DE62">
            <v>40</v>
          </cell>
          <cell r="DF62">
            <v>0</v>
          </cell>
          <cell r="DG62">
            <v>0</v>
          </cell>
          <cell r="DH62">
            <v>0</v>
          </cell>
          <cell r="DI62">
            <v>0</v>
          </cell>
          <cell r="DJ62">
            <v>0</v>
          </cell>
          <cell r="DK62">
            <v>0</v>
          </cell>
          <cell r="DL62">
            <v>0</v>
          </cell>
          <cell r="DM62">
            <v>40</v>
          </cell>
          <cell r="DN62">
            <v>40</v>
          </cell>
          <cell r="DO62">
            <v>40</v>
          </cell>
          <cell r="DP62">
            <v>40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40</v>
          </cell>
          <cell r="EZ62">
            <v>40</v>
          </cell>
          <cell r="FA62">
            <v>40</v>
          </cell>
          <cell r="FB62">
            <v>0</v>
          </cell>
          <cell r="FC62">
            <v>0</v>
          </cell>
          <cell r="FD62">
            <v>0</v>
          </cell>
          <cell r="FE62">
            <v>0</v>
          </cell>
          <cell r="FF62">
            <v>0</v>
          </cell>
          <cell r="FG62">
            <v>0</v>
          </cell>
          <cell r="FH62">
            <v>0</v>
          </cell>
          <cell r="FI62">
            <v>40</v>
          </cell>
          <cell r="FJ62">
            <v>40</v>
          </cell>
          <cell r="FK62">
            <v>40</v>
          </cell>
          <cell r="FL62">
            <v>40</v>
          </cell>
          <cell r="FM62">
            <v>0</v>
          </cell>
          <cell r="FN62">
            <v>0</v>
          </cell>
        </row>
        <row r="63">
          <cell r="A63" t="str">
            <v>G3PALOM2</v>
          </cell>
          <cell r="B63" t="str">
            <v>PALOMINO 2</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40</v>
          </cell>
          <cell r="AJ63">
            <v>40</v>
          </cell>
          <cell r="AK63">
            <v>40</v>
          </cell>
          <cell r="AL63">
            <v>0</v>
          </cell>
          <cell r="AM63">
            <v>0</v>
          </cell>
          <cell r="AN63">
            <v>0</v>
          </cell>
          <cell r="AO63">
            <v>0</v>
          </cell>
          <cell r="AP63">
            <v>0</v>
          </cell>
          <cell r="AQ63">
            <v>0</v>
          </cell>
          <cell r="AR63">
            <v>0</v>
          </cell>
          <cell r="AS63">
            <v>40</v>
          </cell>
          <cell r="AT63">
            <v>40</v>
          </cell>
          <cell r="AU63">
            <v>40</v>
          </cell>
          <cell r="AV63">
            <v>40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40</v>
          </cell>
          <cell r="CF63">
            <v>40</v>
          </cell>
          <cell r="CG63">
            <v>40</v>
          </cell>
          <cell r="CH63">
            <v>0</v>
          </cell>
          <cell r="CI63">
            <v>0</v>
          </cell>
          <cell r="CJ63">
            <v>0</v>
          </cell>
          <cell r="CK63">
            <v>0</v>
          </cell>
          <cell r="CL63">
            <v>0</v>
          </cell>
          <cell r="CM63">
            <v>0</v>
          </cell>
          <cell r="CN63">
            <v>0</v>
          </cell>
          <cell r="CO63">
            <v>40</v>
          </cell>
          <cell r="CP63">
            <v>40</v>
          </cell>
          <cell r="CQ63">
            <v>40</v>
          </cell>
          <cell r="CR63">
            <v>40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40</v>
          </cell>
          <cell r="EB63">
            <v>40</v>
          </cell>
          <cell r="EC63">
            <v>40</v>
          </cell>
          <cell r="ED63">
            <v>0</v>
          </cell>
          <cell r="EE63">
            <v>0</v>
          </cell>
          <cell r="EF63">
            <v>0</v>
          </cell>
          <cell r="EG63">
            <v>0</v>
          </cell>
          <cell r="EH63">
            <v>0</v>
          </cell>
          <cell r="EI63">
            <v>0</v>
          </cell>
          <cell r="EJ63">
            <v>0</v>
          </cell>
          <cell r="EK63">
            <v>40</v>
          </cell>
          <cell r="EL63">
            <v>40</v>
          </cell>
          <cell r="EM63">
            <v>40</v>
          </cell>
          <cell r="EN63">
            <v>40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row>
        <row r="64">
          <cell r="A64" t="str">
            <v>G3PCATA1</v>
          </cell>
          <cell r="B64" t="str">
            <v>PUNTA CATALINA 1</v>
          </cell>
          <cell r="C64">
            <v>328</v>
          </cell>
          <cell r="D64">
            <v>328</v>
          </cell>
          <cell r="E64">
            <v>328</v>
          </cell>
          <cell r="F64">
            <v>328</v>
          </cell>
          <cell r="G64">
            <v>328</v>
          </cell>
          <cell r="H64">
            <v>328</v>
          </cell>
          <cell r="I64">
            <v>328</v>
          </cell>
          <cell r="J64">
            <v>328</v>
          </cell>
          <cell r="K64">
            <v>328</v>
          </cell>
          <cell r="L64">
            <v>328</v>
          </cell>
          <cell r="M64">
            <v>328</v>
          </cell>
          <cell r="N64">
            <v>328</v>
          </cell>
          <cell r="O64">
            <v>328</v>
          </cell>
          <cell r="P64">
            <v>328</v>
          </cell>
          <cell r="Q64">
            <v>328</v>
          </cell>
          <cell r="R64">
            <v>328</v>
          </cell>
          <cell r="S64">
            <v>328</v>
          </cell>
          <cell r="T64">
            <v>328</v>
          </cell>
          <cell r="U64">
            <v>328</v>
          </cell>
          <cell r="V64">
            <v>328</v>
          </cell>
          <cell r="W64">
            <v>328</v>
          </cell>
          <cell r="X64">
            <v>328</v>
          </cell>
          <cell r="Y64">
            <v>328</v>
          </cell>
          <cell r="Z64">
            <v>328</v>
          </cell>
          <cell r="AA64">
            <v>328</v>
          </cell>
          <cell r="AB64">
            <v>328</v>
          </cell>
          <cell r="AC64">
            <v>328</v>
          </cell>
          <cell r="AD64">
            <v>328</v>
          </cell>
          <cell r="AE64">
            <v>328</v>
          </cell>
          <cell r="AF64">
            <v>328</v>
          </cell>
          <cell r="AG64">
            <v>328</v>
          </cell>
          <cell r="AH64">
            <v>328</v>
          </cell>
          <cell r="AI64">
            <v>328</v>
          </cell>
          <cell r="AJ64">
            <v>328</v>
          </cell>
          <cell r="AK64">
            <v>328</v>
          </cell>
          <cell r="AL64">
            <v>328</v>
          </cell>
          <cell r="AM64">
            <v>328</v>
          </cell>
          <cell r="AN64">
            <v>328</v>
          </cell>
          <cell r="AO64">
            <v>328</v>
          </cell>
          <cell r="AP64">
            <v>328</v>
          </cell>
          <cell r="AQ64">
            <v>328</v>
          </cell>
          <cell r="AR64">
            <v>328</v>
          </cell>
          <cell r="AS64">
            <v>328</v>
          </cell>
          <cell r="AT64">
            <v>328</v>
          </cell>
          <cell r="AU64">
            <v>328</v>
          </cell>
          <cell r="AV64">
            <v>328</v>
          </cell>
          <cell r="AW64">
            <v>328</v>
          </cell>
          <cell r="AX64">
            <v>328</v>
          </cell>
          <cell r="AY64">
            <v>328</v>
          </cell>
          <cell r="AZ64">
            <v>328</v>
          </cell>
          <cell r="BA64">
            <v>328</v>
          </cell>
          <cell r="BB64">
            <v>328</v>
          </cell>
          <cell r="BC64">
            <v>328</v>
          </cell>
          <cell r="BD64">
            <v>328</v>
          </cell>
          <cell r="BE64">
            <v>328</v>
          </cell>
          <cell r="BF64">
            <v>328</v>
          </cell>
          <cell r="BG64">
            <v>328</v>
          </cell>
          <cell r="BH64">
            <v>328</v>
          </cell>
          <cell r="BI64">
            <v>328</v>
          </cell>
          <cell r="BJ64">
            <v>328</v>
          </cell>
          <cell r="BK64">
            <v>328</v>
          </cell>
          <cell r="BL64">
            <v>328</v>
          </cell>
          <cell r="BM64">
            <v>328</v>
          </cell>
          <cell r="BN64">
            <v>328</v>
          </cell>
          <cell r="BO64">
            <v>328</v>
          </cell>
          <cell r="BP64">
            <v>328</v>
          </cell>
          <cell r="BQ64">
            <v>328</v>
          </cell>
          <cell r="BR64">
            <v>328</v>
          </cell>
          <cell r="BS64">
            <v>328</v>
          </cell>
          <cell r="BT64">
            <v>328</v>
          </cell>
          <cell r="BU64">
            <v>328</v>
          </cell>
          <cell r="BV64">
            <v>328</v>
          </cell>
          <cell r="BW64">
            <v>328</v>
          </cell>
          <cell r="BX64">
            <v>328</v>
          </cell>
          <cell r="BY64">
            <v>328</v>
          </cell>
          <cell r="BZ64">
            <v>328</v>
          </cell>
          <cell r="CA64">
            <v>328</v>
          </cell>
          <cell r="CB64">
            <v>328</v>
          </cell>
          <cell r="CC64">
            <v>328</v>
          </cell>
          <cell r="CD64">
            <v>328</v>
          </cell>
          <cell r="CE64">
            <v>328</v>
          </cell>
          <cell r="CF64">
            <v>328</v>
          </cell>
          <cell r="CG64">
            <v>328</v>
          </cell>
          <cell r="CH64">
            <v>328</v>
          </cell>
          <cell r="CI64">
            <v>328</v>
          </cell>
          <cell r="CJ64">
            <v>328</v>
          </cell>
          <cell r="CK64">
            <v>328</v>
          </cell>
          <cell r="CL64">
            <v>328</v>
          </cell>
          <cell r="CM64">
            <v>328</v>
          </cell>
          <cell r="CN64">
            <v>328</v>
          </cell>
          <cell r="CO64">
            <v>328</v>
          </cell>
          <cell r="CP64">
            <v>328</v>
          </cell>
          <cell r="CQ64">
            <v>328</v>
          </cell>
          <cell r="CR64">
            <v>328</v>
          </cell>
          <cell r="CS64">
            <v>328</v>
          </cell>
          <cell r="CT64">
            <v>328</v>
          </cell>
          <cell r="CU64">
            <v>328</v>
          </cell>
          <cell r="CV64">
            <v>328</v>
          </cell>
          <cell r="CW64">
            <v>328</v>
          </cell>
          <cell r="CX64">
            <v>328</v>
          </cell>
          <cell r="CY64">
            <v>328</v>
          </cell>
          <cell r="CZ64">
            <v>328</v>
          </cell>
          <cell r="DA64">
            <v>328</v>
          </cell>
          <cell r="DB64">
            <v>328</v>
          </cell>
          <cell r="DC64">
            <v>328</v>
          </cell>
          <cell r="DD64">
            <v>328</v>
          </cell>
          <cell r="DE64">
            <v>328</v>
          </cell>
          <cell r="DF64">
            <v>328</v>
          </cell>
          <cell r="DG64">
            <v>328</v>
          </cell>
          <cell r="DH64">
            <v>328</v>
          </cell>
          <cell r="DI64">
            <v>328</v>
          </cell>
          <cell r="DJ64">
            <v>328</v>
          </cell>
          <cell r="DK64">
            <v>328</v>
          </cell>
          <cell r="DL64">
            <v>328</v>
          </cell>
          <cell r="DM64">
            <v>328</v>
          </cell>
          <cell r="DN64">
            <v>328</v>
          </cell>
          <cell r="DO64">
            <v>328</v>
          </cell>
          <cell r="DP64">
            <v>328</v>
          </cell>
          <cell r="DQ64">
            <v>328</v>
          </cell>
          <cell r="DR64">
            <v>328</v>
          </cell>
          <cell r="DS64">
            <v>328</v>
          </cell>
          <cell r="DT64">
            <v>328</v>
          </cell>
          <cell r="DU64">
            <v>328</v>
          </cell>
          <cell r="DV64">
            <v>328</v>
          </cell>
          <cell r="DW64">
            <v>328</v>
          </cell>
          <cell r="DX64">
            <v>328</v>
          </cell>
          <cell r="DY64">
            <v>328</v>
          </cell>
          <cell r="DZ64">
            <v>328</v>
          </cell>
          <cell r="EA64">
            <v>328</v>
          </cell>
          <cell r="EB64">
            <v>328</v>
          </cell>
          <cell r="EC64">
            <v>328</v>
          </cell>
          <cell r="ED64">
            <v>328</v>
          </cell>
          <cell r="EE64">
            <v>328</v>
          </cell>
          <cell r="EF64">
            <v>328</v>
          </cell>
          <cell r="EG64">
            <v>328</v>
          </cell>
          <cell r="EH64">
            <v>328</v>
          </cell>
          <cell r="EI64">
            <v>328</v>
          </cell>
          <cell r="EJ64">
            <v>328</v>
          </cell>
          <cell r="EK64">
            <v>328</v>
          </cell>
          <cell r="EL64">
            <v>328</v>
          </cell>
          <cell r="EM64">
            <v>328</v>
          </cell>
          <cell r="EN64">
            <v>328</v>
          </cell>
          <cell r="EO64">
            <v>328</v>
          </cell>
          <cell r="EP64">
            <v>328</v>
          </cell>
          <cell r="EQ64">
            <v>328</v>
          </cell>
          <cell r="ER64">
            <v>328</v>
          </cell>
          <cell r="ES64">
            <v>328</v>
          </cell>
          <cell r="ET64">
            <v>328</v>
          </cell>
          <cell r="EU64">
            <v>328</v>
          </cell>
          <cell r="EV64">
            <v>328</v>
          </cell>
          <cell r="EW64">
            <v>328</v>
          </cell>
          <cell r="EX64">
            <v>328</v>
          </cell>
          <cell r="EY64">
            <v>328</v>
          </cell>
          <cell r="EZ64">
            <v>328</v>
          </cell>
          <cell r="FA64">
            <v>328</v>
          </cell>
          <cell r="FB64">
            <v>328</v>
          </cell>
          <cell r="FC64">
            <v>328</v>
          </cell>
          <cell r="FD64">
            <v>328</v>
          </cell>
          <cell r="FE64">
            <v>328</v>
          </cell>
          <cell r="FF64">
            <v>328</v>
          </cell>
          <cell r="FG64">
            <v>328</v>
          </cell>
          <cell r="FH64">
            <v>328</v>
          </cell>
          <cell r="FI64">
            <v>328</v>
          </cell>
          <cell r="FJ64">
            <v>328</v>
          </cell>
          <cell r="FK64">
            <v>328</v>
          </cell>
          <cell r="FL64">
            <v>328</v>
          </cell>
          <cell r="FM64">
            <v>328</v>
          </cell>
          <cell r="FN64">
            <v>328</v>
          </cell>
        </row>
        <row r="65">
          <cell r="A65" t="str">
            <v>G3PCATA2</v>
          </cell>
          <cell r="B65" t="str">
            <v>PUNTA CATALINA 2</v>
          </cell>
          <cell r="C65">
            <v>366</v>
          </cell>
          <cell r="D65">
            <v>366</v>
          </cell>
          <cell r="E65">
            <v>366</v>
          </cell>
          <cell r="F65">
            <v>366</v>
          </cell>
          <cell r="G65">
            <v>366</v>
          </cell>
          <cell r="H65">
            <v>366</v>
          </cell>
          <cell r="I65">
            <v>366</v>
          </cell>
          <cell r="J65">
            <v>366</v>
          </cell>
          <cell r="K65">
            <v>366</v>
          </cell>
          <cell r="L65">
            <v>366</v>
          </cell>
          <cell r="M65">
            <v>366</v>
          </cell>
          <cell r="N65">
            <v>366</v>
          </cell>
          <cell r="O65">
            <v>366</v>
          </cell>
          <cell r="P65">
            <v>366</v>
          </cell>
          <cell r="Q65">
            <v>366</v>
          </cell>
          <cell r="R65">
            <v>366</v>
          </cell>
          <cell r="S65">
            <v>366</v>
          </cell>
          <cell r="T65">
            <v>366</v>
          </cell>
          <cell r="U65">
            <v>366</v>
          </cell>
          <cell r="V65">
            <v>366</v>
          </cell>
          <cell r="W65">
            <v>366</v>
          </cell>
          <cell r="X65">
            <v>366</v>
          </cell>
          <cell r="Y65">
            <v>366</v>
          </cell>
          <cell r="Z65">
            <v>366</v>
          </cell>
          <cell r="AA65">
            <v>366</v>
          </cell>
          <cell r="AB65">
            <v>366</v>
          </cell>
          <cell r="AC65">
            <v>366</v>
          </cell>
          <cell r="AD65">
            <v>366</v>
          </cell>
          <cell r="AE65">
            <v>366</v>
          </cell>
          <cell r="AF65">
            <v>366</v>
          </cell>
          <cell r="AG65">
            <v>366</v>
          </cell>
          <cell r="AH65">
            <v>366</v>
          </cell>
          <cell r="AI65">
            <v>366</v>
          </cell>
          <cell r="AJ65">
            <v>366</v>
          </cell>
          <cell r="AK65">
            <v>366</v>
          </cell>
          <cell r="AL65">
            <v>366</v>
          </cell>
          <cell r="AM65">
            <v>366</v>
          </cell>
          <cell r="AN65">
            <v>366</v>
          </cell>
          <cell r="AO65">
            <v>366</v>
          </cell>
          <cell r="AP65">
            <v>366</v>
          </cell>
          <cell r="AQ65">
            <v>366</v>
          </cell>
          <cell r="AR65">
            <v>366</v>
          </cell>
          <cell r="AS65">
            <v>366</v>
          </cell>
          <cell r="AT65">
            <v>366</v>
          </cell>
          <cell r="AU65">
            <v>366</v>
          </cell>
          <cell r="AV65">
            <v>366</v>
          </cell>
          <cell r="AW65">
            <v>366</v>
          </cell>
          <cell r="AX65">
            <v>366</v>
          </cell>
          <cell r="AY65">
            <v>366</v>
          </cell>
          <cell r="AZ65">
            <v>366</v>
          </cell>
          <cell r="BA65">
            <v>366</v>
          </cell>
          <cell r="BB65">
            <v>366</v>
          </cell>
          <cell r="BC65">
            <v>366</v>
          </cell>
          <cell r="BD65">
            <v>366</v>
          </cell>
          <cell r="BE65">
            <v>366</v>
          </cell>
          <cell r="BF65">
            <v>366</v>
          </cell>
          <cell r="BG65">
            <v>366</v>
          </cell>
          <cell r="BH65">
            <v>366</v>
          </cell>
          <cell r="BI65">
            <v>366</v>
          </cell>
          <cell r="BJ65">
            <v>366</v>
          </cell>
          <cell r="BK65">
            <v>366</v>
          </cell>
          <cell r="BL65">
            <v>366</v>
          </cell>
          <cell r="BM65">
            <v>366</v>
          </cell>
          <cell r="BN65">
            <v>366</v>
          </cell>
          <cell r="BO65">
            <v>366</v>
          </cell>
          <cell r="BP65">
            <v>366</v>
          </cell>
          <cell r="BQ65">
            <v>366</v>
          </cell>
          <cell r="BR65">
            <v>366</v>
          </cell>
          <cell r="BS65">
            <v>366</v>
          </cell>
          <cell r="BT65">
            <v>366</v>
          </cell>
          <cell r="BU65">
            <v>366</v>
          </cell>
          <cell r="BV65">
            <v>366</v>
          </cell>
          <cell r="BW65">
            <v>366</v>
          </cell>
          <cell r="BX65">
            <v>366</v>
          </cell>
          <cell r="BY65">
            <v>366</v>
          </cell>
          <cell r="BZ65">
            <v>366</v>
          </cell>
          <cell r="CA65">
            <v>366</v>
          </cell>
          <cell r="CB65">
            <v>366</v>
          </cell>
          <cell r="CC65">
            <v>366</v>
          </cell>
          <cell r="CD65">
            <v>366</v>
          </cell>
          <cell r="CE65">
            <v>366</v>
          </cell>
          <cell r="CF65">
            <v>366</v>
          </cell>
          <cell r="CG65">
            <v>366</v>
          </cell>
          <cell r="CH65">
            <v>366</v>
          </cell>
          <cell r="CI65">
            <v>366</v>
          </cell>
          <cell r="CJ65">
            <v>366</v>
          </cell>
          <cell r="CK65">
            <v>366</v>
          </cell>
          <cell r="CL65">
            <v>366</v>
          </cell>
          <cell r="CM65">
            <v>366</v>
          </cell>
          <cell r="CN65">
            <v>366</v>
          </cell>
          <cell r="CO65">
            <v>366</v>
          </cell>
          <cell r="CP65">
            <v>366</v>
          </cell>
          <cell r="CQ65">
            <v>366</v>
          </cell>
          <cell r="CR65">
            <v>366</v>
          </cell>
          <cell r="CS65">
            <v>366</v>
          </cell>
          <cell r="CT65">
            <v>366</v>
          </cell>
          <cell r="CU65">
            <v>366</v>
          </cell>
          <cell r="CV65">
            <v>366</v>
          </cell>
          <cell r="CW65">
            <v>366</v>
          </cell>
          <cell r="CX65">
            <v>366</v>
          </cell>
          <cell r="CY65">
            <v>366</v>
          </cell>
          <cell r="CZ65">
            <v>366</v>
          </cell>
          <cell r="DA65">
            <v>366</v>
          </cell>
          <cell r="DB65">
            <v>366</v>
          </cell>
          <cell r="DC65">
            <v>366</v>
          </cell>
          <cell r="DD65">
            <v>366</v>
          </cell>
          <cell r="DE65">
            <v>366</v>
          </cell>
          <cell r="DF65">
            <v>366</v>
          </cell>
          <cell r="DG65">
            <v>366</v>
          </cell>
          <cell r="DH65">
            <v>366</v>
          </cell>
          <cell r="DI65">
            <v>366</v>
          </cell>
          <cell r="DJ65">
            <v>366</v>
          </cell>
          <cell r="DK65">
            <v>366</v>
          </cell>
          <cell r="DL65">
            <v>366</v>
          </cell>
          <cell r="DM65">
            <v>366</v>
          </cell>
          <cell r="DN65">
            <v>366</v>
          </cell>
          <cell r="DO65">
            <v>366</v>
          </cell>
          <cell r="DP65">
            <v>366</v>
          </cell>
          <cell r="DQ65">
            <v>366</v>
          </cell>
          <cell r="DR65">
            <v>366</v>
          </cell>
          <cell r="DS65">
            <v>366</v>
          </cell>
          <cell r="DT65">
            <v>366</v>
          </cell>
          <cell r="DU65">
            <v>366</v>
          </cell>
          <cell r="DV65">
            <v>366</v>
          </cell>
          <cell r="DW65">
            <v>366</v>
          </cell>
          <cell r="DX65">
            <v>366</v>
          </cell>
          <cell r="DY65">
            <v>366</v>
          </cell>
          <cell r="DZ65">
            <v>366</v>
          </cell>
          <cell r="EA65">
            <v>366</v>
          </cell>
          <cell r="EB65">
            <v>366</v>
          </cell>
          <cell r="EC65">
            <v>366</v>
          </cell>
          <cell r="ED65">
            <v>366</v>
          </cell>
          <cell r="EE65">
            <v>366</v>
          </cell>
          <cell r="EF65">
            <v>366</v>
          </cell>
          <cell r="EG65">
            <v>366</v>
          </cell>
          <cell r="EH65">
            <v>366</v>
          </cell>
          <cell r="EI65">
            <v>366</v>
          </cell>
          <cell r="EJ65">
            <v>366</v>
          </cell>
          <cell r="EK65">
            <v>366</v>
          </cell>
          <cell r="EL65">
            <v>366</v>
          </cell>
          <cell r="EM65">
            <v>366</v>
          </cell>
          <cell r="EN65">
            <v>366</v>
          </cell>
          <cell r="EO65">
            <v>366</v>
          </cell>
          <cell r="EP65">
            <v>366</v>
          </cell>
          <cell r="EQ65">
            <v>366</v>
          </cell>
          <cell r="ER65">
            <v>366</v>
          </cell>
          <cell r="ES65">
            <v>366</v>
          </cell>
          <cell r="ET65">
            <v>366</v>
          </cell>
          <cell r="EU65">
            <v>366</v>
          </cell>
          <cell r="EV65">
            <v>366</v>
          </cell>
          <cell r="EW65">
            <v>366</v>
          </cell>
          <cell r="EX65">
            <v>366</v>
          </cell>
          <cell r="EY65">
            <v>366</v>
          </cell>
          <cell r="EZ65">
            <v>366</v>
          </cell>
          <cell r="FA65">
            <v>366</v>
          </cell>
          <cell r="FB65">
            <v>366</v>
          </cell>
          <cell r="FC65">
            <v>366</v>
          </cell>
          <cell r="FD65">
            <v>366</v>
          </cell>
          <cell r="FE65">
            <v>366</v>
          </cell>
          <cell r="FF65">
            <v>366</v>
          </cell>
          <cell r="FG65">
            <v>366</v>
          </cell>
          <cell r="FH65">
            <v>366</v>
          </cell>
          <cell r="FI65">
            <v>366</v>
          </cell>
          <cell r="FJ65">
            <v>366</v>
          </cell>
          <cell r="FK65">
            <v>366</v>
          </cell>
          <cell r="FL65">
            <v>366</v>
          </cell>
          <cell r="FM65">
            <v>366</v>
          </cell>
          <cell r="FN65">
            <v>366</v>
          </cell>
        </row>
        <row r="66">
          <cell r="A66" t="str">
            <v>G3PEACLA</v>
          </cell>
          <cell r="B66" t="str">
            <v>PARQUE EOLICO AGUA CLARA</v>
          </cell>
          <cell r="C66">
            <v>50</v>
          </cell>
          <cell r="D66">
            <v>50</v>
          </cell>
          <cell r="E66">
            <v>50</v>
          </cell>
          <cell r="F66">
            <v>50</v>
          </cell>
          <cell r="G66">
            <v>50</v>
          </cell>
          <cell r="H66">
            <v>50</v>
          </cell>
          <cell r="I66">
            <v>50</v>
          </cell>
          <cell r="J66">
            <v>50</v>
          </cell>
          <cell r="K66">
            <v>50</v>
          </cell>
          <cell r="L66">
            <v>50</v>
          </cell>
          <cell r="M66">
            <v>50</v>
          </cell>
          <cell r="N66">
            <v>50</v>
          </cell>
          <cell r="O66">
            <v>50</v>
          </cell>
          <cell r="P66">
            <v>50</v>
          </cell>
          <cell r="Q66">
            <v>50</v>
          </cell>
          <cell r="R66">
            <v>50</v>
          </cell>
          <cell r="S66">
            <v>50</v>
          </cell>
          <cell r="T66">
            <v>50</v>
          </cell>
          <cell r="U66">
            <v>50</v>
          </cell>
          <cell r="V66">
            <v>50</v>
          </cell>
          <cell r="W66">
            <v>50</v>
          </cell>
          <cell r="X66">
            <v>50</v>
          </cell>
          <cell r="Y66">
            <v>50</v>
          </cell>
          <cell r="Z66">
            <v>50</v>
          </cell>
          <cell r="AA66">
            <v>50</v>
          </cell>
          <cell r="AB66">
            <v>50</v>
          </cell>
          <cell r="AC66">
            <v>50</v>
          </cell>
          <cell r="AD66">
            <v>50</v>
          </cell>
          <cell r="AE66">
            <v>50</v>
          </cell>
          <cell r="AF66">
            <v>50</v>
          </cell>
          <cell r="AG66">
            <v>50</v>
          </cell>
          <cell r="AH66">
            <v>50</v>
          </cell>
          <cell r="AI66">
            <v>50</v>
          </cell>
          <cell r="AJ66">
            <v>50</v>
          </cell>
          <cell r="AK66">
            <v>50</v>
          </cell>
          <cell r="AL66">
            <v>50</v>
          </cell>
          <cell r="AM66">
            <v>50</v>
          </cell>
          <cell r="AN66">
            <v>50</v>
          </cell>
          <cell r="AO66">
            <v>50</v>
          </cell>
          <cell r="AP66">
            <v>50</v>
          </cell>
          <cell r="AQ66">
            <v>50</v>
          </cell>
          <cell r="AR66">
            <v>50</v>
          </cell>
          <cell r="AS66">
            <v>50</v>
          </cell>
          <cell r="AT66">
            <v>50</v>
          </cell>
          <cell r="AU66">
            <v>50</v>
          </cell>
          <cell r="AV66">
            <v>50</v>
          </cell>
          <cell r="AW66">
            <v>50</v>
          </cell>
          <cell r="AX66">
            <v>50</v>
          </cell>
          <cell r="AY66">
            <v>50</v>
          </cell>
          <cell r="AZ66">
            <v>50</v>
          </cell>
          <cell r="BA66">
            <v>50</v>
          </cell>
          <cell r="BB66">
            <v>50</v>
          </cell>
          <cell r="BC66">
            <v>50</v>
          </cell>
          <cell r="BD66">
            <v>50</v>
          </cell>
          <cell r="BE66">
            <v>50</v>
          </cell>
          <cell r="BF66">
            <v>50</v>
          </cell>
          <cell r="BG66">
            <v>48</v>
          </cell>
          <cell r="BH66">
            <v>48</v>
          </cell>
          <cell r="BI66">
            <v>48</v>
          </cell>
          <cell r="BJ66">
            <v>48</v>
          </cell>
          <cell r="BK66">
            <v>48</v>
          </cell>
          <cell r="BL66">
            <v>48</v>
          </cell>
          <cell r="BM66">
            <v>48</v>
          </cell>
          <cell r="BN66">
            <v>48</v>
          </cell>
          <cell r="BO66">
            <v>50</v>
          </cell>
          <cell r="BP66">
            <v>50</v>
          </cell>
          <cell r="BQ66">
            <v>50</v>
          </cell>
          <cell r="BR66">
            <v>50</v>
          </cell>
          <cell r="BS66">
            <v>50</v>
          </cell>
          <cell r="BT66">
            <v>50</v>
          </cell>
          <cell r="BU66">
            <v>50</v>
          </cell>
          <cell r="BV66">
            <v>50</v>
          </cell>
          <cell r="BW66">
            <v>50</v>
          </cell>
          <cell r="BX66">
            <v>50</v>
          </cell>
          <cell r="BY66">
            <v>50</v>
          </cell>
          <cell r="BZ66">
            <v>50</v>
          </cell>
          <cell r="CA66">
            <v>50</v>
          </cell>
          <cell r="CB66">
            <v>50</v>
          </cell>
          <cell r="CC66">
            <v>50</v>
          </cell>
          <cell r="CD66">
            <v>50</v>
          </cell>
          <cell r="CE66">
            <v>48</v>
          </cell>
          <cell r="CF66">
            <v>48</v>
          </cell>
          <cell r="CG66">
            <v>48</v>
          </cell>
          <cell r="CH66">
            <v>48</v>
          </cell>
          <cell r="CI66">
            <v>48</v>
          </cell>
          <cell r="CJ66">
            <v>48</v>
          </cell>
          <cell r="CK66">
            <v>48</v>
          </cell>
          <cell r="CL66">
            <v>48</v>
          </cell>
          <cell r="CM66">
            <v>50</v>
          </cell>
          <cell r="CN66">
            <v>50</v>
          </cell>
          <cell r="CO66">
            <v>50</v>
          </cell>
          <cell r="CP66">
            <v>50</v>
          </cell>
          <cell r="CQ66">
            <v>50</v>
          </cell>
          <cell r="CR66">
            <v>50</v>
          </cell>
          <cell r="CS66">
            <v>50</v>
          </cell>
          <cell r="CT66">
            <v>50</v>
          </cell>
          <cell r="CU66">
            <v>50</v>
          </cell>
          <cell r="CV66">
            <v>50</v>
          </cell>
          <cell r="CW66">
            <v>50</v>
          </cell>
          <cell r="CX66">
            <v>50</v>
          </cell>
          <cell r="CY66">
            <v>50</v>
          </cell>
          <cell r="CZ66">
            <v>50</v>
          </cell>
          <cell r="DA66">
            <v>50</v>
          </cell>
          <cell r="DB66">
            <v>50</v>
          </cell>
          <cell r="DC66">
            <v>48</v>
          </cell>
          <cell r="DD66">
            <v>48</v>
          </cell>
          <cell r="DE66">
            <v>48</v>
          </cell>
          <cell r="DF66">
            <v>48</v>
          </cell>
          <cell r="DG66">
            <v>48</v>
          </cell>
          <cell r="DH66">
            <v>48</v>
          </cell>
          <cell r="DI66">
            <v>48</v>
          </cell>
          <cell r="DJ66">
            <v>48</v>
          </cell>
          <cell r="DK66">
            <v>50</v>
          </cell>
          <cell r="DL66">
            <v>50</v>
          </cell>
          <cell r="DM66">
            <v>50</v>
          </cell>
          <cell r="DN66">
            <v>50</v>
          </cell>
          <cell r="DO66">
            <v>50</v>
          </cell>
          <cell r="DP66">
            <v>50</v>
          </cell>
          <cell r="DQ66">
            <v>50</v>
          </cell>
          <cell r="DR66">
            <v>50</v>
          </cell>
          <cell r="DS66">
            <v>50</v>
          </cell>
          <cell r="DT66">
            <v>50</v>
          </cell>
          <cell r="DU66">
            <v>50</v>
          </cell>
          <cell r="DV66">
            <v>50</v>
          </cell>
          <cell r="DW66">
            <v>50</v>
          </cell>
          <cell r="DX66">
            <v>50</v>
          </cell>
          <cell r="DY66">
            <v>50</v>
          </cell>
          <cell r="DZ66">
            <v>50</v>
          </cell>
          <cell r="EA66">
            <v>48</v>
          </cell>
          <cell r="EB66">
            <v>48</v>
          </cell>
          <cell r="EC66">
            <v>48</v>
          </cell>
          <cell r="ED66">
            <v>48</v>
          </cell>
          <cell r="EE66">
            <v>48</v>
          </cell>
          <cell r="EF66">
            <v>48</v>
          </cell>
          <cell r="EG66">
            <v>48</v>
          </cell>
          <cell r="EH66">
            <v>48</v>
          </cell>
          <cell r="EI66">
            <v>50</v>
          </cell>
          <cell r="EJ66">
            <v>50</v>
          </cell>
          <cell r="EK66">
            <v>50</v>
          </cell>
          <cell r="EL66">
            <v>50</v>
          </cell>
          <cell r="EM66">
            <v>50</v>
          </cell>
          <cell r="EN66">
            <v>50</v>
          </cell>
          <cell r="EO66">
            <v>50</v>
          </cell>
          <cell r="EP66">
            <v>50</v>
          </cell>
          <cell r="EQ66">
            <v>50</v>
          </cell>
          <cell r="ER66">
            <v>50</v>
          </cell>
          <cell r="ES66">
            <v>50</v>
          </cell>
          <cell r="ET66">
            <v>50</v>
          </cell>
          <cell r="EU66">
            <v>50</v>
          </cell>
          <cell r="EV66">
            <v>50</v>
          </cell>
          <cell r="EW66">
            <v>50</v>
          </cell>
          <cell r="EX66">
            <v>50</v>
          </cell>
          <cell r="EY66">
            <v>48</v>
          </cell>
          <cell r="EZ66">
            <v>48</v>
          </cell>
          <cell r="FA66">
            <v>48</v>
          </cell>
          <cell r="FB66">
            <v>48</v>
          </cell>
          <cell r="FC66">
            <v>48</v>
          </cell>
          <cell r="FD66">
            <v>48</v>
          </cell>
          <cell r="FE66">
            <v>48</v>
          </cell>
          <cell r="FF66">
            <v>48</v>
          </cell>
          <cell r="FG66">
            <v>50</v>
          </cell>
          <cell r="FH66">
            <v>50</v>
          </cell>
          <cell r="FI66">
            <v>50</v>
          </cell>
          <cell r="FJ66">
            <v>50</v>
          </cell>
          <cell r="FK66">
            <v>50</v>
          </cell>
          <cell r="FL66">
            <v>50</v>
          </cell>
          <cell r="FM66">
            <v>50</v>
          </cell>
          <cell r="FN66">
            <v>50</v>
          </cell>
        </row>
        <row r="67">
          <cell r="A67" t="str">
            <v>G3PEGUAN</v>
          </cell>
          <cell r="B67" t="str">
            <v>PARQUE EOLICO GUANILLO</v>
          </cell>
          <cell r="C67">
            <v>50</v>
          </cell>
          <cell r="D67">
            <v>50</v>
          </cell>
          <cell r="E67">
            <v>50</v>
          </cell>
          <cell r="F67">
            <v>50</v>
          </cell>
          <cell r="G67">
            <v>50</v>
          </cell>
          <cell r="H67">
            <v>50</v>
          </cell>
          <cell r="I67">
            <v>50</v>
          </cell>
          <cell r="J67">
            <v>50</v>
          </cell>
          <cell r="K67">
            <v>50</v>
          </cell>
          <cell r="L67">
            <v>50</v>
          </cell>
          <cell r="M67">
            <v>50</v>
          </cell>
          <cell r="N67">
            <v>50</v>
          </cell>
          <cell r="O67">
            <v>50</v>
          </cell>
          <cell r="P67">
            <v>50</v>
          </cell>
          <cell r="Q67">
            <v>50</v>
          </cell>
          <cell r="R67">
            <v>50</v>
          </cell>
          <cell r="S67">
            <v>50</v>
          </cell>
          <cell r="T67">
            <v>50</v>
          </cell>
          <cell r="U67">
            <v>50</v>
          </cell>
          <cell r="V67">
            <v>50</v>
          </cell>
          <cell r="W67">
            <v>50</v>
          </cell>
          <cell r="X67">
            <v>50</v>
          </cell>
          <cell r="Y67">
            <v>50</v>
          </cell>
          <cell r="Z67">
            <v>50</v>
          </cell>
          <cell r="AA67">
            <v>50</v>
          </cell>
          <cell r="AB67">
            <v>50</v>
          </cell>
          <cell r="AC67">
            <v>50</v>
          </cell>
          <cell r="AD67">
            <v>50</v>
          </cell>
          <cell r="AE67">
            <v>50</v>
          </cell>
          <cell r="AF67">
            <v>50</v>
          </cell>
          <cell r="AG67">
            <v>50</v>
          </cell>
          <cell r="AH67">
            <v>50</v>
          </cell>
          <cell r="AI67">
            <v>50</v>
          </cell>
          <cell r="AJ67">
            <v>50</v>
          </cell>
          <cell r="AK67">
            <v>50</v>
          </cell>
          <cell r="AL67">
            <v>50</v>
          </cell>
          <cell r="AM67">
            <v>50</v>
          </cell>
          <cell r="AN67">
            <v>50</v>
          </cell>
          <cell r="AO67">
            <v>50</v>
          </cell>
          <cell r="AP67">
            <v>50</v>
          </cell>
          <cell r="AQ67">
            <v>50</v>
          </cell>
          <cell r="AR67">
            <v>50</v>
          </cell>
          <cell r="AS67">
            <v>50</v>
          </cell>
          <cell r="AT67">
            <v>50</v>
          </cell>
          <cell r="AU67">
            <v>50</v>
          </cell>
          <cell r="AV67">
            <v>50</v>
          </cell>
          <cell r="AW67">
            <v>50</v>
          </cell>
          <cell r="AX67">
            <v>50</v>
          </cell>
          <cell r="AY67">
            <v>50</v>
          </cell>
          <cell r="AZ67">
            <v>50</v>
          </cell>
          <cell r="BA67">
            <v>50</v>
          </cell>
          <cell r="BB67">
            <v>50</v>
          </cell>
          <cell r="BC67">
            <v>50</v>
          </cell>
          <cell r="BD67">
            <v>50</v>
          </cell>
          <cell r="BE67">
            <v>50</v>
          </cell>
          <cell r="BF67">
            <v>50</v>
          </cell>
          <cell r="BG67">
            <v>50</v>
          </cell>
          <cell r="BH67">
            <v>50</v>
          </cell>
          <cell r="BI67">
            <v>50</v>
          </cell>
          <cell r="BJ67">
            <v>50</v>
          </cell>
          <cell r="BK67">
            <v>50</v>
          </cell>
          <cell r="BL67">
            <v>50</v>
          </cell>
          <cell r="BM67">
            <v>50</v>
          </cell>
          <cell r="BN67">
            <v>50</v>
          </cell>
          <cell r="BO67">
            <v>50</v>
          </cell>
          <cell r="BP67">
            <v>50</v>
          </cell>
          <cell r="BQ67">
            <v>50</v>
          </cell>
          <cell r="BR67">
            <v>50</v>
          </cell>
          <cell r="BS67">
            <v>50</v>
          </cell>
          <cell r="BT67">
            <v>50</v>
          </cell>
          <cell r="BU67">
            <v>50</v>
          </cell>
          <cell r="BV67">
            <v>50</v>
          </cell>
          <cell r="BW67">
            <v>50</v>
          </cell>
          <cell r="BX67">
            <v>50</v>
          </cell>
          <cell r="BY67">
            <v>50</v>
          </cell>
          <cell r="BZ67">
            <v>50</v>
          </cell>
          <cell r="CA67">
            <v>50</v>
          </cell>
          <cell r="CB67">
            <v>50</v>
          </cell>
          <cell r="CC67">
            <v>50</v>
          </cell>
          <cell r="CD67">
            <v>50</v>
          </cell>
          <cell r="CE67">
            <v>50</v>
          </cell>
          <cell r="CF67">
            <v>50</v>
          </cell>
          <cell r="CG67">
            <v>50</v>
          </cell>
          <cell r="CH67">
            <v>50</v>
          </cell>
          <cell r="CI67">
            <v>50</v>
          </cell>
          <cell r="CJ67">
            <v>50</v>
          </cell>
          <cell r="CK67">
            <v>50</v>
          </cell>
          <cell r="CL67">
            <v>50</v>
          </cell>
          <cell r="CM67">
            <v>50</v>
          </cell>
          <cell r="CN67">
            <v>50</v>
          </cell>
          <cell r="CO67">
            <v>50</v>
          </cell>
          <cell r="CP67">
            <v>50</v>
          </cell>
          <cell r="CQ67">
            <v>50</v>
          </cell>
          <cell r="CR67">
            <v>50</v>
          </cell>
          <cell r="CS67">
            <v>50</v>
          </cell>
          <cell r="CT67">
            <v>50</v>
          </cell>
          <cell r="CU67">
            <v>50</v>
          </cell>
          <cell r="CV67">
            <v>50</v>
          </cell>
          <cell r="CW67">
            <v>50</v>
          </cell>
          <cell r="CX67">
            <v>50</v>
          </cell>
          <cell r="CY67">
            <v>50</v>
          </cell>
          <cell r="CZ67">
            <v>50</v>
          </cell>
          <cell r="DA67">
            <v>50</v>
          </cell>
          <cell r="DB67">
            <v>50</v>
          </cell>
          <cell r="DC67">
            <v>50</v>
          </cell>
          <cell r="DD67">
            <v>50</v>
          </cell>
          <cell r="DE67">
            <v>50</v>
          </cell>
          <cell r="DF67">
            <v>50</v>
          </cell>
          <cell r="DG67">
            <v>50</v>
          </cell>
          <cell r="DH67">
            <v>50</v>
          </cell>
          <cell r="DI67">
            <v>50</v>
          </cell>
          <cell r="DJ67">
            <v>50</v>
          </cell>
          <cell r="DK67">
            <v>50</v>
          </cell>
          <cell r="DL67">
            <v>50</v>
          </cell>
          <cell r="DM67">
            <v>50</v>
          </cell>
          <cell r="DN67">
            <v>50</v>
          </cell>
          <cell r="DO67">
            <v>50</v>
          </cell>
          <cell r="DP67">
            <v>50</v>
          </cell>
          <cell r="DQ67">
            <v>50</v>
          </cell>
          <cell r="DR67">
            <v>50</v>
          </cell>
          <cell r="DS67">
            <v>50</v>
          </cell>
          <cell r="DT67">
            <v>50</v>
          </cell>
          <cell r="DU67">
            <v>50</v>
          </cell>
          <cell r="DV67">
            <v>50</v>
          </cell>
          <cell r="DW67">
            <v>50</v>
          </cell>
          <cell r="DX67">
            <v>50</v>
          </cell>
          <cell r="DY67">
            <v>50</v>
          </cell>
          <cell r="DZ67">
            <v>50</v>
          </cell>
          <cell r="EA67">
            <v>50</v>
          </cell>
          <cell r="EB67">
            <v>50</v>
          </cell>
          <cell r="EC67">
            <v>50</v>
          </cell>
          <cell r="ED67">
            <v>50</v>
          </cell>
          <cell r="EE67">
            <v>50</v>
          </cell>
          <cell r="EF67">
            <v>50</v>
          </cell>
          <cell r="EG67">
            <v>50</v>
          </cell>
          <cell r="EH67">
            <v>50</v>
          </cell>
          <cell r="EI67">
            <v>50</v>
          </cell>
          <cell r="EJ67">
            <v>50</v>
          </cell>
          <cell r="EK67">
            <v>50</v>
          </cell>
          <cell r="EL67">
            <v>50</v>
          </cell>
          <cell r="EM67">
            <v>50</v>
          </cell>
          <cell r="EN67">
            <v>50</v>
          </cell>
          <cell r="EO67">
            <v>50</v>
          </cell>
          <cell r="EP67">
            <v>50</v>
          </cell>
          <cell r="EQ67">
            <v>50</v>
          </cell>
          <cell r="ER67">
            <v>50</v>
          </cell>
          <cell r="ES67">
            <v>50</v>
          </cell>
          <cell r="ET67">
            <v>50</v>
          </cell>
          <cell r="EU67">
            <v>50</v>
          </cell>
          <cell r="EV67">
            <v>50</v>
          </cell>
          <cell r="EW67">
            <v>50</v>
          </cell>
          <cell r="EX67">
            <v>50</v>
          </cell>
          <cell r="EY67">
            <v>50</v>
          </cell>
          <cell r="EZ67">
            <v>50</v>
          </cell>
          <cell r="FA67">
            <v>50</v>
          </cell>
          <cell r="FB67">
            <v>50</v>
          </cell>
          <cell r="FC67">
            <v>50</v>
          </cell>
          <cell r="FD67">
            <v>50</v>
          </cell>
          <cell r="FE67">
            <v>50</v>
          </cell>
          <cell r="FF67">
            <v>50</v>
          </cell>
          <cell r="FG67">
            <v>50</v>
          </cell>
          <cell r="FH67">
            <v>50</v>
          </cell>
          <cell r="FI67">
            <v>50</v>
          </cell>
          <cell r="FJ67">
            <v>50</v>
          </cell>
          <cell r="FK67">
            <v>50</v>
          </cell>
          <cell r="FL67">
            <v>50</v>
          </cell>
          <cell r="FM67">
            <v>50</v>
          </cell>
          <cell r="FN67">
            <v>50</v>
          </cell>
        </row>
        <row r="68">
          <cell r="A68" t="str">
            <v>G3PELAR2</v>
          </cell>
          <cell r="B68" t="str">
            <v>PARQUE EOLICO LARIMAR II</v>
          </cell>
          <cell r="C68">
            <v>44</v>
          </cell>
          <cell r="D68">
            <v>44</v>
          </cell>
          <cell r="E68">
            <v>44</v>
          </cell>
          <cell r="F68">
            <v>44</v>
          </cell>
          <cell r="G68">
            <v>44</v>
          </cell>
          <cell r="H68">
            <v>44</v>
          </cell>
          <cell r="I68">
            <v>44</v>
          </cell>
          <cell r="J68">
            <v>44</v>
          </cell>
          <cell r="K68">
            <v>44</v>
          </cell>
          <cell r="L68">
            <v>44</v>
          </cell>
          <cell r="M68">
            <v>44</v>
          </cell>
          <cell r="N68">
            <v>44</v>
          </cell>
          <cell r="O68">
            <v>44</v>
          </cell>
          <cell r="P68">
            <v>44</v>
          </cell>
          <cell r="Q68">
            <v>44</v>
          </cell>
          <cell r="R68">
            <v>44</v>
          </cell>
          <cell r="S68">
            <v>44</v>
          </cell>
          <cell r="T68">
            <v>44</v>
          </cell>
          <cell r="U68">
            <v>44</v>
          </cell>
          <cell r="V68">
            <v>44</v>
          </cell>
          <cell r="W68">
            <v>44</v>
          </cell>
          <cell r="X68">
            <v>44</v>
          </cell>
          <cell r="Y68">
            <v>44</v>
          </cell>
          <cell r="Z68">
            <v>44</v>
          </cell>
          <cell r="AA68">
            <v>44</v>
          </cell>
          <cell r="AB68">
            <v>44</v>
          </cell>
          <cell r="AC68">
            <v>44</v>
          </cell>
          <cell r="AD68">
            <v>44</v>
          </cell>
          <cell r="AE68">
            <v>44</v>
          </cell>
          <cell r="AF68">
            <v>44</v>
          </cell>
          <cell r="AG68">
            <v>44</v>
          </cell>
          <cell r="AH68">
            <v>44</v>
          </cell>
          <cell r="AI68">
            <v>44</v>
          </cell>
          <cell r="AJ68">
            <v>44</v>
          </cell>
          <cell r="AK68">
            <v>44</v>
          </cell>
          <cell r="AL68">
            <v>44</v>
          </cell>
          <cell r="AM68">
            <v>44</v>
          </cell>
          <cell r="AN68">
            <v>44</v>
          </cell>
          <cell r="AO68">
            <v>44</v>
          </cell>
          <cell r="AP68">
            <v>44</v>
          </cell>
          <cell r="AQ68">
            <v>44</v>
          </cell>
          <cell r="AR68">
            <v>44</v>
          </cell>
          <cell r="AS68">
            <v>44</v>
          </cell>
          <cell r="AT68">
            <v>44</v>
          </cell>
          <cell r="AU68">
            <v>44</v>
          </cell>
          <cell r="AV68">
            <v>44</v>
          </cell>
          <cell r="AW68">
            <v>44</v>
          </cell>
          <cell r="AX68">
            <v>44</v>
          </cell>
          <cell r="AY68">
            <v>44</v>
          </cell>
          <cell r="AZ68">
            <v>44</v>
          </cell>
          <cell r="BA68">
            <v>44</v>
          </cell>
          <cell r="BB68">
            <v>44</v>
          </cell>
          <cell r="BC68">
            <v>44</v>
          </cell>
          <cell r="BD68">
            <v>44</v>
          </cell>
          <cell r="BE68">
            <v>44</v>
          </cell>
          <cell r="BF68">
            <v>44</v>
          </cell>
          <cell r="BG68">
            <v>44</v>
          </cell>
          <cell r="BH68">
            <v>44</v>
          </cell>
          <cell r="BI68">
            <v>44</v>
          </cell>
          <cell r="BJ68">
            <v>44</v>
          </cell>
          <cell r="BK68">
            <v>44</v>
          </cell>
          <cell r="BL68">
            <v>44</v>
          </cell>
          <cell r="BM68">
            <v>44</v>
          </cell>
          <cell r="BN68">
            <v>44</v>
          </cell>
          <cell r="BO68">
            <v>44</v>
          </cell>
          <cell r="BP68">
            <v>44</v>
          </cell>
          <cell r="BQ68">
            <v>44</v>
          </cell>
          <cell r="BR68">
            <v>44</v>
          </cell>
          <cell r="BS68">
            <v>44</v>
          </cell>
          <cell r="BT68">
            <v>44</v>
          </cell>
          <cell r="BU68">
            <v>44</v>
          </cell>
          <cell r="BV68">
            <v>44</v>
          </cell>
          <cell r="BW68">
            <v>44</v>
          </cell>
          <cell r="BX68">
            <v>44</v>
          </cell>
          <cell r="BY68">
            <v>44</v>
          </cell>
          <cell r="BZ68">
            <v>44</v>
          </cell>
          <cell r="CA68">
            <v>44</v>
          </cell>
          <cell r="CB68">
            <v>44</v>
          </cell>
          <cell r="CC68">
            <v>44</v>
          </cell>
          <cell r="CD68">
            <v>41</v>
          </cell>
          <cell r="CE68">
            <v>41</v>
          </cell>
          <cell r="CF68">
            <v>41</v>
          </cell>
          <cell r="CG68">
            <v>41</v>
          </cell>
          <cell r="CH68">
            <v>41</v>
          </cell>
          <cell r="CI68">
            <v>41</v>
          </cell>
          <cell r="CJ68">
            <v>41</v>
          </cell>
          <cell r="CK68">
            <v>41</v>
          </cell>
          <cell r="CL68">
            <v>41</v>
          </cell>
          <cell r="CM68">
            <v>41</v>
          </cell>
          <cell r="CN68">
            <v>44</v>
          </cell>
          <cell r="CO68">
            <v>44</v>
          </cell>
          <cell r="CP68">
            <v>44</v>
          </cell>
          <cell r="CQ68">
            <v>44</v>
          </cell>
          <cell r="CR68">
            <v>44</v>
          </cell>
          <cell r="CS68">
            <v>44</v>
          </cell>
          <cell r="CT68">
            <v>44</v>
          </cell>
          <cell r="CU68">
            <v>44</v>
          </cell>
          <cell r="CV68">
            <v>44</v>
          </cell>
          <cell r="CW68">
            <v>44</v>
          </cell>
          <cell r="CX68">
            <v>44</v>
          </cell>
          <cell r="CY68">
            <v>44</v>
          </cell>
          <cell r="CZ68">
            <v>44</v>
          </cell>
          <cell r="DA68">
            <v>44</v>
          </cell>
          <cell r="DB68">
            <v>41</v>
          </cell>
          <cell r="DC68">
            <v>41</v>
          </cell>
          <cell r="DD68">
            <v>41</v>
          </cell>
          <cell r="DE68">
            <v>41</v>
          </cell>
          <cell r="DF68">
            <v>41</v>
          </cell>
          <cell r="DG68">
            <v>41</v>
          </cell>
          <cell r="DH68">
            <v>41</v>
          </cell>
          <cell r="DI68">
            <v>41</v>
          </cell>
          <cell r="DJ68">
            <v>41</v>
          </cell>
          <cell r="DK68">
            <v>41</v>
          </cell>
          <cell r="DL68">
            <v>44</v>
          </cell>
          <cell r="DM68">
            <v>44</v>
          </cell>
          <cell r="DN68">
            <v>44</v>
          </cell>
          <cell r="DO68">
            <v>44</v>
          </cell>
          <cell r="DP68">
            <v>44</v>
          </cell>
          <cell r="DQ68">
            <v>44</v>
          </cell>
          <cell r="DR68">
            <v>44</v>
          </cell>
          <cell r="DS68">
            <v>44</v>
          </cell>
          <cell r="DT68">
            <v>44</v>
          </cell>
          <cell r="DU68">
            <v>44</v>
          </cell>
          <cell r="DV68">
            <v>44</v>
          </cell>
          <cell r="DW68">
            <v>44</v>
          </cell>
          <cell r="DX68">
            <v>44</v>
          </cell>
          <cell r="DY68">
            <v>44</v>
          </cell>
          <cell r="DZ68">
            <v>44</v>
          </cell>
          <cell r="EA68">
            <v>44</v>
          </cell>
          <cell r="EB68">
            <v>44</v>
          </cell>
          <cell r="EC68">
            <v>44</v>
          </cell>
          <cell r="ED68">
            <v>44</v>
          </cell>
          <cell r="EE68">
            <v>44</v>
          </cell>
          <cell r="EF68">
            <v>44</v>
          </cell>
          <cell r="EG68">
            <v>44</v>
          </cell>
          <cell r="EH68">
            <v>44</v>
          </cell>
          <cell r="EI68">
            <v>44</v>
          </cell>
          <cell r="EJ68">
            <v>44</v>
          </cell>
          <cell r="EK68">
            <v>44</v>
          </cell>
          <cell r="EL68">
            <v>44</v>
          </cell>
          <cell r="EM68">
            <v>44</v>
          </cell>
          <cell r="EN68">
            <v>44</v>
          </cell>
          <cell r="EO68">
            <v>44</v>
          </cell>
          <cell r="EP68">
            <v>44</v>
          </cell>
          <cell r="EQ68">
            <v>44</v>
          </cell>
          <cell r="ER68">
            <v>44</v>
          </cell>
          <cell r="ES68">
            <v>44</v>
          </cell>
          <cell r="ET68">
            <v>44</v>
          </cell>
          <cell r="EU68">
            <v>44</v>
          </cell>
          <cell r="EV68">
            <v>44</v>
          </cell>
          <cell r="EW68">
            <v>44</v>
          </cell>
          <cell r="EX68">
            <v>44</v>
          </cell>
          <cell r="EY68">
            <v>44</v>
          </cell>
          <cell r="EZ68">
            <v>44</v>
          </cell>
          <cell r="FA68">
            <v>44</v>
          </cell>
          <cell r="FB68">
            <v>44</v>
          </cell>
          <cell r="FC68">
            <v>44</v>
          </cell>
          <cell r="FD68">
            <v>44</v>
          </cell>
          <cell r="FE68">
            <v>44</v>
          </cell>
          <cell r="FF68">
            <v>44</v>
          </cell>
          <cell r="FG68">
            <v>44</v>
          </cell>
          <cell r="FH68">
            <v>44</v>
          </cell>
          <cell r="FI68">
            <v>44</v>
          </cell>
          <cell r="FJ68">
            <v>44</v>
          </cell>
          <cell r="FK68">
            <v>44</v>
          </cell>
          <cell r="FL68">
            <v>44</v>
          </cell>
          <cell r="FM68">
            <v>44</v>
          </cell>
          <cell r="FN68">
            <v>44</v>
          </cell>
        </row>
        <row r="69">
          <cell r="A69" t="str">
            <v>G3PELARI</v>
          </cell>
          <cell r="B69" t="str">
            <v>PARQUE EOLICO LARIMAR</v>
          </cell>
          <cell r="C69">
            <v>49</v>
          </cell>
          <cell r="D69">
            <v>49</v>
          </cell>
          <cell r="E69">
            <v>49</v>
          </cell>
          <cell r="F69">
            <v>49</v>
          </cell>
          <cell r="G69">
            <v>49</v>
          </cell>
          <cell r="H69">
            <v>49</v>
          </cell>
          <cell r="I69">
            <v>49</v>
          </cell>
          <cell r="J69">
            <v>49</v>
          </cell>
          <cell r="K69">
            <v>49</v>
          </cell>
          <cell r="L69">
            <v>49</v>
          </cell>
          <cell r="M69">
            <v>49</v>
          </cell>
          <cell r="N69">
            <v>49</v>
          </cell>
          <cell r="O69">
            <v>49</v>
          </cell>
          <cell r="P69">
            <v>49</v>
          </cell>
          <cell r="Q69">
            <v>49</v>
          </cell>
          <cell r="R69">
            <v>49</v>
          </cell>
          <cell r="S69">
            <v>49</v>
          </cell>
          <cell r="T69">
            <v>49</v>
          </cell>
          <cell r="U69">
            <v>49</v>
          </cell>
          <cell r="V69">
            <v>49</v>
          </cell>
          <cell r="W69">
            <v>49</v>
          </cell>
          <cell r="X69">
            <v>49</v>
          </cell>
          <cell r="Y69">
            <v>49</v>
          </cell>
          <cell r="Z69">
            <v>49</v>
          </cell>
          <cell r="AA69">
            <v>49</v>
          </cell>
          <cell r="AB69">
            <v>49</v>
          </cell>
          <cell r="AC69">
            <v>49</v>
          </cell>
          <cell r="AD69">
            <v>49</v>
          </cell>
          <cell r="AE69">
            <v>49</v>
          </cell>
          <cell r="AF69">
            <v>49</v>
          </cell>
          <cell r="AG69">
            <v>49</v>
          </cell>
          <cell r="AH69">
            <v>49</v>
          </cell>
          <cell r="AI69">
            <v>49</v>
          </cell>
          <cell r="AJ69">
            <v>49</v>
          </cell>
          <cell r="AK69">
            <v>49</v>
          </cell>
          <cell r="AL69">
            <v>49</v>
          </cell>
          <cell r="AM69">
            <v>49</v>
          </cell>
          <cell r="AN69">
            <v>49</v>
          </cell>
          <cell r="AO69">
            <v>49</v>
          </cell>
          <cell r="AP69">
            <v>49</v>
          </cell>
          <cell r="AQ69">
            <v>49</v>
          </cell>
          <cell r="AR69">
            <v>49</v>
          </cell>
          <cell r="AS69">
            <v>49</v>
          </cell>
          <cell r="AT69">
            <v>49</v>
          </cell>
          <cell r="AU69">
            <v>49</v>
          </cell>
          <cell r="AV69">
            <v>49</v>
          </cell>
          <cell r="AW69">
            <v>49</v>
          </cell>
          <cell r="AX69">
            <v>49</v>
          </cell>
          <cell r="AY69">
            <v>49</v>
          </cell>
          <cell r="AZ69">
            <v>49</v>
          </cell>
          <cell r="BA69">
            <v>49</v>
          </cell>
          <cell r="BB69">
            <v>49</v>
          </cell>
          <cell r="BC69">
            <v>49</v>
          </cell>
          <cell r="BD69">
            <v>49</v>
          </cell>
          <cell r="BE69">
            <v>49</v>
          </cell>
          <cell r="BF69">
            <v>39</v>
          </cell>
          <cell r="BG69">
            <v>39</v>
          </cell>
          <cell r="BH69">
            <v>39</v>
          </cell>
          <cell r="BI69">
            <v>39</v>
          </cell>
          <cell r="BJ69">
            <v>39</v>
          </cell>
          <cell r="BK69">
            <v>39</v>
          </cell>
          <cell r="BL69">
            <v>39</v>
          </cell>
          <cell r="BM69">
            <v>39</v>
          </cell>
          <cell r="BN69">
            <v>39</v>
          </cell>
          <cell r="BO69">
            <v>49</v>
          </cell>
          <cell r="BP69">
            <v>49</v>
          </cell>
          <cell r="BQ69">
            <v>49</v>
          </cell>
          <cell r="BR69">
            <v>49</v>
          </cell>
          <cell r="BS69">
            <v>49</v>
          </cell>
          <cell r="BT69">
            <v>49</v>
          </cell>
          <cell r="BU69">
            <v>49</v>
          </cell>
          <cell r="BV69">
            <v>49</v>
          </cell>
          <cell r="BW69">
            <v>49</v>
          </cell>
          <cell r="BX69">
            <v>49</v>
          </cell>
          <cell r="BY69">
            <v>49</v>
          </cell>
          <cell r="BZ69">
            <v>49</v>
          </cell>
          <cell r="CA69">
            <v>49</v>
          </cell>
          <cell r="CB69">
            <v>49</v>
          </cell>
          <cell r="CC69">
            <v>49</v>
          </cell>
          <cell r="CD69">
            <v>46</v>
          </cell>
          <cell r="CE69">
            <v>46</v>
          </cell>
          <cell r="CF69">
            <v>46</v>
          </cell>
          <cell r="CG69">
            <v>46</v>
          </cell>
          <cell r="CH69">
            <v>46</v>
          </cell>
          <cell r="CI69">
            <v>46</v>
          </cell>
          <cell r="CJ69">
            <v>46</v>
          </cell>
          <cell r="CK69">
            <v>46</v>
          </cell>
          <cell r="CL69">
            <v>46</v>
          </cell>
          <cell r="CM69">
            <v>46</v>
          </cell>
          <cell r="CN69">
            <v>49</v>
          </cell>
          <cell r="CO69">
            <v>49</v>
          </cell>
          <cell r="CP69">
            <v>49</v>
          </cell>
          <cell r="CQ69">
            <v>49</v>
          </cell>
          <cell r="CR69">
            <v>49</v>
          </cell>
          <cell r="CS69">
            <v>49</v>
          </cell>
          <cell r="CT69">
            <v>49</v>
          </cell>
          <cell r="CU69">
            <v>49</v>
          </cell>
          <cell r="CV69">
            <v>49</v>
          </cell>
          <cell r="CW69">
            <v>49</v>
          </cell>
          <cell r="CX69">
            <v>49</v>
          </cell>
          <cell r="CY69">
            <v>49</v>
          </cell>
          <cell r="CZ69">
            <v>49</v>
          </cell>
          <cell r="DA69">
            <v>49</v>
          </cell>
          <cell r="DB69">
            <v>49</v>
          </cell>
          <cell r="DC69">
            <v>49</v>
          </cell>
          <cell r="DD69">
            <v>49</v>
          </cell>
          <cell r="DE69">
            <v>49</v>
          </cell>
          <cell r="DF69">
            <v>49</v>
          </cell>
          <cell r="DG69">
            <v>49</v>
          </cell>
          <cell r="DH69">
            <v>49</v>
          </cell>
          <cell r="DI69">
            <v>49</v>
          </cell>
          <cell r="DJ69">
            <v>49</v>
          </cell>
          <cell r="DK69">
            <v>49</v>
          </cell>
          <cell r="DL69">
            <v>49</v>
          </cell>
          <cell r="DM69">
            <v>49</v>
          </cell>
          <cell r="DN69">
            <v>49</v>
          </cell>
          <cell r="DO69">
            <v>49</v>
          </cell>
          <cell r="DP69">
            <v>49</v>
          </cell>
          <cell r="DQ69">
            <v>49</v>
          </cell>
          <cell r="DR69">
            <v>49</v>
          </cell>
          <cell r="DS69">
            <v>49</v>
          </cell>
          <cell r="DT69">
            <v>49</v>
          </cell>
          <cell r="DU69">
            <v>49</v>
          </cell>
          <cell r="DV69">
            <v>49</v>
          </cell>
          <cell r="DW69">
            <v>49</v>
          </cell>
          <cell r="DX69">
            <v>49</v>
          </cell>
          <cell r="DY69">
            <v>49</v>
          </cell>
          <cell r="DZ69">
            <v>49</v>
          </cell>
          <cell r="EA69">
            <v>49</v>
          </cell>
          <cell r="EB69">
            <v>49</v>
          </cell>
          <cell r="EC69">
            <v>49</v>
          </cell>
          <cell r="ED69">
            <v>49</v>
          </cell>
          <cell r="EE69">
            <v>49</v>
          </cell>
          <cell r="EF69">
            <v>49</v>
          </cell>
          <cell r="EG69">
            <v>49</v>
          </cell>
          <cell r="EH69">
            <v>49</v>
          </cell>
          <cell r="EI69">
            <v>49</v>
          </cell>
          <cell r="EJ69">
            <v>49</v>
          </cell>
          <cell r="EK69">
            <v>49</v>
          </cell>
          <cell r="EL69">
            <v>49</v>
          </cell>
          <cell r="EM69">
            <v>49</v>
          </cell>
          <cell r="EN69">
            <v>49</v>
          </cell>
          <cell r="EO69">
            <v>49</v>
          </cell>
          <cell r="EP69">
            <v>49</v>
          </cell>
          <cell r="EQ69">
            <v>49</v>
          </cell>
          <cell r="ER69">
            <v>49</v>
          </cell>
          <cell r="ES69">
            <v>49</v>
          </cell>
          <cell r="ET69">
            <v>49</v>
          </cell>
          <cell r="EU69">
            <v>49</v>
          </cell>
          <cell r="EV69">
            <v>49</v>
          </cell>
          <cell r="EW69">
            <v>49</v>
          </cell>
          <cell r="EX69">
            <v>46</v>
          </cell>
          <cell r="EY69">
            <v>46</v>
          </cell>
          <cell r="EZ69">
            <v>46</v>
          </cell>
          <cell r="FA69">
            <v>46</v>
          </cell>
          <cell r="FB69">
            <v>46</v>
          </cell>
          <cell r="FC69">
            <v>46</v>
          </cell>
          <cell r="FD69">
            <v>46</v>
          </cell>
          <cell r="FE69">
            <v>46</v>
          </cell>
          <cell r="FF69">
            <v>46</v>
          </cell>
          <cell r="FG69">
            <v>46</v>
          </cell>
          <cell r="FH69">
            <v>49</v>
          </cell>
          <cell r="FI69">
            <v>49</v>
          </cell>
          <cell r="FJ69">
            <v>49</v>
          </cell>
          <cell r="FK69">
            <v>49</v>
          </cell>
          <cell r="FL69">
            <v>49</v>
          </cell>
          <cell r="FM69">
            <v>49</v>
          </cell>
          <cell r="FN69">
            <v>49</v>
          </cell>
        </row>
        <row r="70">
          <cell r="A70" t="str">
            <v>G3PELGUZ</v>
          </cell>
          <cell r="B70" t="str">
            <v>PARQUE EOLICO LOS GUZMANCITOS</v>
          </cell>
          <cell r="C70">
            <v>48.3</v>
          </cell>
          <cell r="D70">
            <v>48.3</v>
          </cell>
          <cell r="E70">
            <v>48.3</v>
          </cell>
          <cell r="F70">
            <v>48.3</v>
          </cell>
          <cell r="G70">
            <v>48.3</v>
          </cell>
          <cell r="H70">
            <v>48.3</v>
          </cell>
          <cell r="I70">
            <v>48.3</v>
          </cell>
          <cell r="J70">
            <v>48.3</v>
          </cell>
          <cell r="K70">
            <v>48.3</v>
          </cell>
          <cell r="L70">
            <v>48.3</v>
          </cell>
          <cell r="M70">
            <v>48.3</v>
          </cell>
          <cell r="N70">
            <v>48.3</v>
          </cell>
          <cell r="O70">
            <v>48.3</v>
          </cell>
          <cell r="P70">
            <v>48.3</v>
          </cell>
          <cell r="Q70">
            <v>48.3</v>
          </cell>
          <cell r="R70">
            <v>48.3</v>
          </cell>
          <cell r="S70">
            <v>48.3</v>
          </cell>
          <cell r="T70">
            <v>48.3</v>
          </cell>
          <cell r="U70">
            <v>48.3</v>
          </cell>
          <cell r="V70">
            <v>48.3</v>
          </cell>
          <cell r="W70">
            <v>48.3</v>
          </cell>
          <cell r="X70">
            <v>48.3</v>
          </cell>
          <cell r="Y70">
            <v>48.3</v>
          </cell>
          <cell r="Z70">
            <v>48.3</v>
          </cell>
          <cell r="AA70">
            <v>48.3</v>
          </cell>
          <cell r="AB70">
            <v>48.3</v>
          </cell>
          <cell r="AC70">
            <v>48.3</v>
          </cell>
          <cell r="AD70">
            <v>48.3</v>
          </cell>
          <cell r="AE70">
            <v>48.3</v>
          </cell>
          <cell r="AF70">
            <v>48.3</v>
          </cell>
          <cell r="AG70">
            <v>48.3</v>
          </cell>
          <cell r="AH70">
            <v>48.3</v>
          </cell>
          <cell r="AI70">
            <v>48.3</v>
          </cell>
          <cell r="AJ70">
            <v>48.3</v>
          </cell>
          <cell r="AK70">
            <v>48.3</v>
          </cell>
          <cell r="AL70">
            <v>48.3</v>
          </cell>
          <cell r="AM70">
            <v>48.3</v>
          </cell>
          <cell r="AN70">
            <v>48.3</v>
          </cell>
          <cell r="AO70">
            <v>48.3</v>
          </cell>
          <cell r="AP70">
            <v>48.3</v>
          </cell>
          <cell r="AQ70">
            <v>48.3</v>
          </cell>
          <cell r="AR70">
            <v>48.3</v>
          </cell>
          <cell r="AS70">
            <v>48.3</v>
          </cell>
          <cell r="AT70">
            <v>48.3</v>
          </cell>
          <cell r="AU70">
            <v>48.3</v>
          </cell>
          <cell r="AV70">
            <v>48.3</v>
          </cell>
          <cell r="AW70">
            <v>48.3</v>
          </cell>
          <cell r="AX70">
            <v>48.3</v>
          </cell>
          <cell r="AY70">
            <v>48.3</v>
          </cell>
          <cell r="AZ70">
            <v>48.3</v>
          </cell>
          <cell r="BA70">
            <v>48.3</v>
          </cell>
          <cell r="BB70">
            <v>48.3</v>
          </cell>
          <cell r="BC70">
            <v>48.3</v>
          </cell>
          <cell r="BD70">
            <v>48.3</v>
          </cell>
          <cell r="BE70">
            <v>48.3</v>
          </cell>
          <cell r="BF70">
            <v>48.3</v>
          </cell>
          <cell r="BG70">
            <v>48.3</v>
          </cell>
          <cell r="BH70">
            <v>48.3</v>
          </cell>
          <cell r="BI70">
            <v>48.3</v>
          </cell>
          <cell r="BJ70">
            <v>48.3</v>
          </cell>
          <cell r="BK70">
            <v>48.3</v>
          </cell>
          <cell r="BL70">
            <v>48.3</v>
          </cell>
          <cell r="BM70">
            <v>48.3</v>
          </cell>
          <cell r="BN70">
            <v>48.3</v>
          </cell>
          <cell r="BO70">
            <v>48.3</v>
          </cell>
          <cell r="BP70">
            <v>48.3</v>
          </cell>
          <cell r="BQ70">
            <v>48.3</v>
          </cell>
          <cell r="BR70">
            <v>48.3</v>
          </cell>
          <cell r="BS70">
            <v>48.3</v>
          </cell>
          <cell r="BT70">
            <v>48.3</v>
          </cell>
          <cell r="BU70">
            <v>48.3</v>
          </cell>
          <cell r="BV70">
            <v>48.3</v>
          </cell>
          <cell r="BW70">
            <v>48.3</v>
          </cell>
          <cell r="BX70">
            <v>48.3</v>
          </cell>
          <cell r="BY70">
            <v>48.3</v>
          </cell>
          <cell r="BZ70">
            <v>48.3</v>
          </cell>
          <cell r="CA70">
            <v>48.3</v>
          </cell>
          <cell r="CB70">
            <v>48.3</v>
          </cell>
          <cell r="CC70">
            <v>48.3</v>
          </cell>
          <cell r="CD70">
            <v>48.3</v>
          </cell>
          <cell r="CE70">
            <v>48.3</v>
          </cell>
          <cell r="CF70">
            <v>48.3</v>
          </cell>
          <cell r="CG70">
            <v>48.3</v>
          </cell>
          <cell r="CH70">
            <v>48.3</v>
          </cell>
          <cell r="CI70">
            <v>48.3</v>
          </cell>
          <cell r="CJ70">
            <v>48.3</v>
          </cell>
          <cell r="CK70">
            <v>48.3</v>
          </cell>
          <cell r="CL70">
            <v>48.3</v>
          </cell>
          <cell r="CM70">
            <v>48.3</v>
          </cell>
          <cell r="CN70">
            <v>48.3</v>
          </cell>
          <cell r="CO70">
            <v>48.3</v>
          </cell>
          <cell r="CP70">
            <v>48.3</v>
          </cell>
          <cell r="CQ70">
            <v>48.3</v>
          </cell>
          <cell r="CR70">
            <v>48.3</v>
          </cell>
          <cell r="CS70">
            <v>48.3</v>
          </cell>
          <cell r="CT70">
            <v>48.3</v>
          </cell>
          <cell r="CU70">
            <v>48.3</v>
          </cell>
          <cell r="CV70">
            <v>48.3</v>
          </cell>
          <cell r="CW70">
            <v>48.3</v>
          </cell>
          <cell r="CX70">
            <v>48.3</v>
          </cell>
          <cell r="CY70">
            <v>48.3</v>
          </cell>
          <cell r="CZ70">
            <v>48.3</v>
          </cell>
          <cell r="DA70">
            <v>48.3</v>
          </cell>
          <cell r="DB70">
            <v>48.3</v>
          </cell>
          <cell r="DC70">
            <v>48.3</v>
          </cell>
          <cell r="DD70">
            <v>48.3</v>
          </cell>
          <cell r="DE70">
            <v>48.3</v>
          </cell>
          <cell r="DF70">
            <v>48.3</v>
          </cell>
          <cell r="DG70">
            <v>48.3</v>
          </cell>
          <cell r="DH70">
            <v>48.3</v>
          </cell>
          <cell r="DI70">
            <v>48.3</v>
          </cell>
          <cell r="DJ70">
            <v>48.3</v>
          </cell>
          <cell r="DK70">
            <v>48.3</v>
          </cell>
          <cell r="DL70">
            <v>48.3</v>
          </cell>
          <cell r="DM70">
            <v>48.3</v>
          </cell>
          <cell r="DN70">
            <v>48.3</v>
          </cell>
          <cell r="DO70">
            <v>48.3</v>
          </cell>
          <cell r="DP70">
            <v>48.3</v>
          </cell>
          <cell r="DQ70">
            <v>48.3</v>
          </cell>
          <cell r="DR70">
            <v>48.3</v>
          </cell>
          <cell r="DS70">
            <v>48.3</v>
          </cell>
          <cell r="DT70">
            <v>48.3</v>
          </cell>
          <cell r="DU70">
            <v>48.3</v>
          </cell>
          <cell r="DV70">
            <v>48.3</v>
          </cell>
          <cell r="DW70">
            <v>48.3</v>
          </cell>
          <cell r="DX70">
            <v>48.3</v>
          </cell>
          <cell r="DY70">
            <v>48.3</v>
          </cell>
          <cell r="DZ70">
            <v>48.3</v>
          </cell>
          <cell r="EA70">
            <v>48.3</v>
          </cell>
          <cell r="EB70">
            <v>48.3</v>
          </cell>
          <cell r="EC70">
            <v>48.3</v>
          </cell>
          <cell r="ED70">
            <v>48.3</v>
          </cell>
          <cell r="EE70">
            <v>48.3</v>
          </cell>
          <cell r="EF70">
            <v>48.3</v>
          </cell>
          <cell r="EG70">
            <v>48.3</v>
          </cell>
          <cell r="EH70">
            <v>48.3</v>
          </cell>
          <cell r="EI70">
            <v>48.3</v>
          </cell>
          <cell r="EJ70">
            <v>48.3</v>
          </cell>
          <cell r="EK70">
            <v>48.3</v>
          </cell>
          <cell r="EL70">
            <v>48.3</v>
          </cell>
          <cell r="EM70">
            <v>48.3</v>
          </cell>
          <cell r="EN70">
            <v>48.3</v>
          </cell>
          <cell r="EO70">
            <v>48.3</v>
          </cell>
          <cell r="EP70">
            <v>48.3</v>
          </cell>
          <cell r="EQ70">
            <v>48.3</v>
          </cell>
          <cell r="ER70">
            <v>48.3</v>
          </cell>
          <cell r="ES70">
            <v>48.3</v>
          </cell>
          <cell r="ET70">
            <v>48.3</v>
          </cell>
          <cell r="EU70">
            <v>48.3</v>
          </cell>
          <cell r="EV70">
            <v>48.3</v>
          </cell>
          <cell r="EW70">
            <v>48.3</v>
          </cell>
          <cell r="EX70">
            <v>48.3</v>
          </cell>
          <cell r="EY70">
            <v>48.3</v>
          </cell>
          <cell r="EZ70">
            <v>48.3</v>
          </cell>
          <cell r="FA70">
            <v>48.3</v>
          </cell>
          <cell r="FB70">
            <v>48.3</v>
          </cell>
          <cell r="FC70">
            <v>48.3</v>
          </cell>
          <cell r="FD70">
            <v>48.3</v>
          </cell>
          <cell r="FE70">
            <v>48.3</v>
          </cell>
          <cell r="FF70">
            <v>48.3</v>
          </cell>
          <cell r="FG70">
            <v>48.3</v>
          </cell>
          <cell r="FH70">
            <v>48.3</v>
          </cell>
          <cell r="FI70">
            <v>48.3</v>
          </cell>
          <cell r="FJ70">
            <v>48.3</v>
          </cell>
          <cell r="FK70">
            <v>48.3</v>
          </cell>
          <cell r="FL70">
            <v>48.3</v>
          </cell>
          <cell r="FM70">
            <v>48.3</v>
          </cell>
          <cell r="FN70">
            <v>48.3</v>
          </cell>
        </row>
        <row r="71">
          <cell r="A71" t="str">
            <v>G3PEMATA</v>
          </cell>
          <cell r="B71" t="str">
            <v>PARQUE EOLICO MATAFONGO</v>
          </cell>
          <cell r="C71">
            <v>34</v>
          </cell>
          <cell r="D71">
            <v>34</v>
          </cell>
          <cell r="E71">
            <v>34</v>
          </cell>
          <cell r="F71">
            <v>34</v>
          </cell>
          <cell r="G71">
            <v>34</v>
          </cell>
          <cell r="H71">
            <v>34</v>
          </cell>
          <cell r="I71">
            <v>34</v>
          </cell>
          <cell r="J71">
            <v>34</v>
          </cell>
          <cell r="K71">
            <v>34</v>
          </cell>
          <cell r="L71">
            <v>34</v>
          </cell>
          <cell r="M71">
            <v>34</v>
          </cell>
          <cell r="N71">
            <v>34</v>
          </cell>
          <cell r="O71">
            <v>34</v>
          </cell>
          <cell r="P71">
            <v>34</v>
          </cell>
          <cell r="Q71">
            <v>34</v>
          </cell>
          <cell r="R71">
            <v>34</v>
          </cell>
          <cell r="S71">
            <v>34</v>
          </cell>
          <cell r="T71">
            <v>34</v>
          </cell>
          <cell r="U71">
            <v>34</v>
          </cell>
          <cell r="V71">
            <v>34</v>
          </cell>
          <cell r="W71">
            <v>34</v>
          </cell>
          <cell r="X71">
            <v>34</v>
          </cell>
          <cell r="Y71">
            <v>34</v>
          </cell>
          <cell r="Z71">
            <v>34</v>
          </cell>
          <cell r="AA71">
            <v>34</v>
          </cell>
          <cell r="AB71">
            <v>34</v>
          </cell>
          <cell r="AC71">
            <v>34</v>
          </cell>
          <cell r="AD71">
            <v>34</v>
          </cell>
          <cell r="AE71">
            <v>34</v>
          </cell>
          <cell r="AF71">
            <v>34</v>
          </cell>
          <cell r="AG71">
            <v>34</v>
          </cell>
          <cell r="AH71">
            <v>34</v>
          </cell>
          <cell r="AI71">
            <v>34</v>
          </cell>
          <cell r="AJ71">
            <v>34</v>
          </cell>
          <cell r="AK71">
            <v>34</v>
          </cell>
          <cell r="AL71">
            <v>34</v>
          </cell>
          <cell r="AM71">
            <v>34</v>
          </cell>
          <cell r="AN71">
            <v>34</v>
          </cell>
          <cell r="AO71">
            <v>34</v>
          </cell>
          <cell r="AP71">
            <v>34</v>
          </cell>
          <cell r="AQ71">
            <v>34</v>
          </cell>
          <cell r="AR71">
            <v>34</v>
          </cell>
          <cell r="AS71">
            <v>34</v>
          </cell>
          <cell r="AT71">
            <v>34</v>
          </cell>
          <cell r="AU71">
            <v>34</v>
          </cell>
          <cell r="AV71">
            <v>34</v>
          </cell>
          <cell r="AW71">
            <v>34</v>
          </cell>
          <cell r="AX71">
            <v>34</v>
          </cell>
          <cell r="AY71">
            <v>34</v>
          </cell>
          <cell r="AZ71">
            <v>34</v>
          </cell>
          <cell r="BA71">
            <v>34</v>
          </cell>
          <cell r="BB71">
            <v>34</v>
          </cell>
          <cell r="BC71">
            <v>34</v>
          </cell>
          <cell r="BD71">
            <v>34</v>
          </cell>
          <cell r="BE71">
            <v>34</v>
          </cell>
          <cell r="BF71">
            <v>34</v>
          </cell>
          <cell r="BG71">
            <v>32</v>
          </cell>
          <cell r="BH71">
            <v>32</v>
          </cell>
          <cell r="BI71">
            <v>32</v>
          </cell>
          <cell r="BJ71">
            <v>32</v>
          </cell>
          <cell r="BK71">
            <v>32</v>
          </cell>
          <cell r="BL71">
            <v>32</v>
          </cell>
          <cell r="BM71">
            <v>32</v>
          </cell>
          <cell r="BN71">
            <v>32</v>
          </cell>
          <cell r="BO71">
            <v>32</v>
          </cell>
          <cell r="BP71">
            <v>34</v>
          </cell>
          <cell r="BQ71">
            <v>34</v>
          </cell>
          <cell r="BR71">
            <v>34</v>
          </cell>
          <cell r="BS71">
            <v>34</v>
          </cell>
          <cell r="BT71">
            <v>34</v>
          </cell>
          <cell r="BU71">
            <v>34</v>
          </cell>
          <cell r="BV71">
            <v>34</v>
          </cell>
          <cell r="BW71">
            <v>34</v>
          </cell>
          <cell r="BX71">
            <v>34</v>
          </cell>
          <cell r="BY71">
            <v>34</v>
          </cell>
          <cell r="BZ71">
            <v>34</v>
          </cell>
          <cell r="CA71">
            <v>34</v>
          </cell>
          <cell r="CB71">
            <v>34</v>
          </cell>
          <cell r="CC71">
            <v>34</v>
          </cell>
          <cell r="CD71">
            <v>34</v>
          </cell>
          <cell r="CE71">
            <v>32</v>
          </cell>
          <cell r="CF71">
            <v>32</v>
          </cell>
          <cell r="CG71">
            <v>32</v>
          </cell>
          <cell r="CH71">
            <v>32</v>
          </cell>
          <cell r="CI71">
            <v>32</v>
          </cell>
          <cell r="CJ71">
            <v>32</v>
          </cell>
          <cell r="CK71">
            <v>32</v>
          </cell>
          <cell r="CL71">
            <v>32</v>
          </cell>
          <cell r="CM71">
            <v>32</v>
          </cell>
          <cell r="CN71">
            <v>34</v>
          </cell>
          <cell r="CO71">
            <v>34</v>
          </cell>
          <cell r="CP71">
            <v>34</v>
          </cell>
          <cell r="CQ71">
            <v>34</v>
          </cell>
          <cell r="CR71">
            <v>34</v>
          </cell>
          <cell r="CS71">
            <v>34</v>
          </cell>
          <cell r="CT71">
            <v>34</v>
          </cell>
          <cell r="CU71">
            <v>34</v>
          </cell>
          <cell r="CV71">
            <v>34</v>
          </cell>
          <cell r="CW71">
            <v>34</v>
          </cell>
          <cell r="CX71">
            <v>34</v>
          </cell>
          <cell r="CY71">
            <v>34</v>
          </cell>
          <cell r="CZ71">
            <v>34</v>
          </cell>
          <cell r="DA71">
            <v>34</v>
          </cell>
          <cell r="DB71">
            <v>34</v>
          </cell>
          <cell r="DC71">
            <v>32</v>
          </cell>
          <cell r="DD71">
            <v>32</v>
          </cell>
          <cell r="DE71">
            <v>32</v>
          </cell>
          <cell r="DF71">
            <v>32</v>
          </cell>
          <cell r="DG71">
            <v>32</v>
          </cell>
          <cell r="DH71">
            <v>32</v>
          </cell>
          <cell r="DI71">
            <v>32</v>
          </cell>
          <cell r="DJ71">
            <v>32</v>
          </cell>
          <cell r="DK71">
            <v>32</v>
          </cell>
          <cell r="DL71">
            <v>34</v>
          </cell>
          <cell r="DM71">
            <v>34</v>
          </cell>
          <cell r="DN71">
            <v>34</v>
          </cell>
          <cell r="DO71">
            <v>34</v>
          </cell>
          <cell r="DP71">
            <v>34</v>
          </cell>
          <cell r="DQ71">
            <v>34</v>
          </cell>
          <cell r="DR71">
            <v>34</v>
          </cell>
          <cell r="DS71">
            <v>34</v>
          </cell>
          <cell r="DT71">
            <v>34</v>
          </cell>
          <cell r="DU71">
            <v>34</v>
          </cell>
          <cell r="DV71">
            <v>34</v>
          </cell>
          <cell r="DW71">
            <v>34</v>
          </cell>
          <cell r="DX71">
            <v>34</v>
          </cell>
          <cell r="DY71">
            <v>34</v>
          </cell>
          <cell r="DZ71">
            <v>34</v>
          </cell>
          <cell r="EA71">
            <v>32</v>
          </cell>
          <cell r="EB71">
            <v>32</v>
          </cell>
          <cell r="EC71">
            <v>32</v>
          </cell>
          <cell r="ED71">
            <v>32</v>
          </cell>
          <cell r="EE71">
            <v>32</v>
          </cell>
          <cell r="EF71">
            <v>32</v>
          </cell>
          <cell r="EG71">
            <v>32</v>
          </cell>
          <cell r="EH71">
            <v>32</v>
          </cell>
          <cell r="EI71">
            <v>32</v>
          </cell>
          <cell r="EJ71">
            <v>34</v>
          </cell>
          <cell r="EK71">
            <v>34</v>
          </cell>
          <cell r="EL71">
            <v>34</v>
          </cell>
          <cell r="EM71">
            <v>34</v>
          </cell>
          <cell r="EN71">
            <v>34</v>
          </cell>
          <cell r="EO71">
            <v>34</v>
          </cell>
          <cell r="EP71">
            <v>34</v>
          </cell>
          <cell r="EQ71">
            <v>34</v>
          </cell>
          <cell r="ER71">
            <v>34</v>
          </cell>
          <cell r="ES71">
            <v>34</v>
          </cell>
          <cell r="ET71">
            <v>34</v>
          </cell>
          <cell r="EU71">
            <v>34</v>
          </cell>
          <cell r="EV71">
            <v>34</v>
          </cell>
          <cell r="EW71">
            <v>34</v>
          </cell>
          <cell r="EX71">
            <v>34</v>
          </cell>
          <cell r="EY71">
            <v>32</v>
          </cell>
          <cell r="EZ71">
            <v>32</v>
          </cell>
          <cell r="FA71">
            <v>32</v>
          </cell>
          <cell r="FB71">
            <v>32</v>
          </cell>
          <cell r="FC71">
            <v>32</v>
          </cell>
          <cell r="FD71">
            <v>32</v>
          </cell>
          <cell r="FE71">
            <v>32</v>
          </cell>
          <cell r="FF71">
            <v>32</v>
          </cell>
          <cell r="FG71">
            <v>32</v>
          </cell>
          <cell r="FH71">
            <v>34</v>
          </cell>
          <cell r="FI71">
            <v>34</v>
          </cell>
          <cell r="FJ71">
            <v>34</v>
          </cell>
          <cell r="FK71">
            <v>34</v>
          </cell>
          <cell r="FL71">
            <v>34</v>
          </cell>
          <cell r="FM71">
            <v>34</v>
          </cell>
          <cell r="FN71">
            <v>34</v>
          </cell>
        </row>
        <row r="72">
          <cell r="A72" t="str">
            <v>G3PEMCP</v>
          </cell>
          <cell r="B72" t="str">
            <v>PARQUE ENERGETICO LOS MINA CC PARCIAL</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EL72">
            <v>0</v>
          </cell>
          <cell r="EM72">
            <v>0</v>
          </cell>
          <cell r="EN72">
            <v>0</v>
          </cell>
          <cell r="EO72">
            <v>0</v>
          </cell>
          <cell r="EP72">
            <v>0</v>
          </cell>
          <cell r="EQ72">
            <v>0</v>
          </cell>
          <cell r="ER72">
            <v>0</v>
          </cell>
          <cell r="ES72">
            <v>0</v>
          </cell>
          <cell r="ET72">
            <v>0</v>
          </cell>
          <cell r="EU72">
            <v>0</v>
          </cell>
          <cell r="EV72">
            <v>0</v>
          </cell>
          <cell r="EW72">
            <v>0</v>
          </cell>
          <cell r="EX72">
            <v>0</v>
          </cell>
          <cell r="EY72">
            <v>0</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row>
        <row r="73">
          <cell r="A73" t="str">
            <v>G3PEMCT</v>
          </cell>
          <cell r="B73" t="str">
            <v>PARQUE ENERGETICO LOS MINA CC TOTAL</v>
          </cell>
          <cell r="C73">
            <v>315</v>
          </cell>
          <cell r="D73">
            <v>315</v>
          </cell>
          <cell r="E73">
            <v>315</v>
          </cell>
          <cell r="F73">
            <v>315</v>
          </cell>
          <cell r="G73">
            <v>315</v>
          </cell>
          <cell r="H73">
            <v>315</v>
          </cell>
          <cell r="I73">
            <v>315</v>
          </cell>
          <cell r="J73">
            <v>315</v>
          </cell>
          <cell r="K73">
            <v>315</v>
          </cell>
          <cell r="L73">
            <v>315</v>
          </cell>
          <cell r="M73">
            <v>315</v>
          </cell>
          <cell r="N73">
            <v>315</v>
          </cell>
          <cell r="O73">
            <v>315</v>
          </cell>
          <cell r="P73">
            <v>315</v>
          </cell>
          <cell r="Q73">
            <v>315</v>
          </cell>
          <cell r="R73">
            <v>315</v>
          </cell>
          <cell r="S73">
            <v>315</v>
          </cell>
          <cell r="T73">
            <v>315</v>
          </cell>
          <cell r="U73">
            <v>315</v>
          </cell>
          <cell r="V73">
            <v>315</v>
          </cell>
          <cell r="W73">
            <v>315</v>
          </cell>
          <cell r="X73">
            <v>315</v>
          </cell>
          <cell r="Y73">
            <v>315</v>
          </cell>
          <cell r="Z73">
            <v>315</v>
          </cell>
          <cell r="AA73">
            <v>315</v>
          </cell>
          <cell r="AB73">
            <v>315</v>
          </cell>
          <cell r="AC73">
            <v>315</v>
          </cell>
          <cell r="AD73">
            <v>315</v>
          </cell>
          <cell r="AE73">
            <v>315</v>
          </cell>
          <cell r="AF73">
            <v>315</v>
          </cell>
          <cell r="AG73">
            <v>315</v>
          </cell>
          <cell r="AH73">
            <v>315</v>
          </cell>
          <cell r="AI73">
            <v>315</v>
          </cell>
          <cell r="AJ73">
            <v>315</v>
          </cell>
          <cell r="AK73">
            <v>315</v>
          </cell>
          <cell r="AL73">
            <v>315</v>
          </cell>
          <cell r="AM73">
            <v>315</v>
          </cell>
          <cell r="AN73">
            <v>315</v>
          </cell>
          <cell r="AO73">
            <v>315</v>
          </cell>
          <cell r="AP73">
            <v>315</v>
          </cell>
          <cell r="AQ73">
            <v>315</v>
          </cell>
          <cell r="AR73">
            <v>315</v>
          </cell>
          <cell r="AS73">
            <v>315</v>
          </cell>
          <cell r="AT73">
            <v>315</v>
          </cell>
          <cell r="AU73">
            <v>315</v>
          </cell>
          <cell r="AV73">
            <v>315</v>
          </cell>
          <cell r="AW73">
            <v>315</v>
          </cell>
          <cell r="AX73">
            <v>315</v>
          </cell>
          <cell r="AY73">
            <v>315</v>
          </cell>
          <cell r="AZ73">
            <v>315</v>
          </cell>
          <cell r="BA73">
            <v>315</v>
          </cell>
          <cell r="BB73">
            <v>315</v>
          </cell>
          <cell r="BC73">
            <v>315</v>
          </cell>
          <cell r="BD73">
            <v>315</v>
          </cell>
          <cell r="BE73">
            <v>315</v>
          </cell>
          <cell r="BF73">
            <v>315</v>
          </cell>
          <cell r="BG73">
            <v>315</v>
          </cell>
          <cell r="BH73">
            <v>315</v>
          </cell>
          <cell r="BI73">
            <v>315</v>
          </cell>
          <cell r="BJ73">
            <v>315</v>
          </cell>
          <cell r="BK73">
            <v>315</v>
          </cell>
          <cell r="BL73">
            <v>315</v>
          </cell>
          <cell r="BM73">
            <v>315</v>
          </cell>
          <cell r="BN73">
            <v>315</v>
          </cell>
          <cell r="BO73">
            <v>315</v>
          </cell>
          <cell r="BP73">
            <v>315</v>
          </cell>
          <cell r="BQ73">
            <v>315</v>
          </cell>
          <cell r="BR73">
            <v>315</v>
          </cell>
          <cell r="BS73">
            <v>315</v>
          </cell>
          <cell r="BT73">
            <v>315</v>
          </cell>
          <cell r="BU73">
            <v>315</v>
          </cell>
          <cell r="BV73">
            <v>315</v>
          </cell>
          <cell r="BW73">
            <v>315</v>
          </cell>
          <cell r="BX73">
            <v>315</v>
          </cell>
          <cell r="BY73">
            <v>315</v>
          </cell>
          <cell r="BZ73">
            <v>315</v>
          </cell>
          <cell r="CA73">
            <v>315</v>
          </cell>
          <cell r="CB73">
            <v>315</v>
          </cell>
          <cell r="CC73">
            <v>315</v>
          </cell>
          <cell r="CD73">
            <v>315</v>
          </cell>
          <cell r="CE73">
            <v>315</v>
          </cell>
          <cell r="CF73">
            <v>315</v>
          </cell>
          <cell r="CG73">
            <v>315</v>
          </cell>
          <cell r="CH73">
            <v>315</v>
          </cell>
          <cell r="CI73">
            <v>315</v>
          </cell>
          <cell r="CJ73">
            <v>315</v>
          </cell>
          <cell r="CK73">
            <v>315</v>
          </cell>
          <cell r="CL73">
            <v>315</v>
          </cell>
          <cell r="CM73">
            <v>315</v>
          </cell>
          <cell r="CN73">
            <v>315</v>
          </cell>
          <cell r="CO73">
            <v>315</v>
          </cell>
          <cell r="CP73">
            <v>315</v>
          </cell>
          <cell r="CQ73">
            <v>315</v>
          </cell>
          <cell r="CR73">
            <v>315</v>
          </cell>
          <cell r="CS73">
            <v>315</v>
          </cell>
          <cell r="CT73">
            <v>315</v>
          </cell>
          <cell r="CU73">
            <v>315</v>
          </cell>
          <cell r="CV73">
            <v>315</v>
          </cell>
          <cell r="CW73">
            <v>315</v>
          </cell>
          <cell r="CX73">
            <v>315</v>
          </cell>
          <cell r="CY73">
            <v>315</v>
          </cell>
          <cell r="CZ73">
            <v>315</v>
          </cell>
          <cell r="DA73">
            <v>315</v>
          </cell>
          <cell r="DB73">
            <v>315</v>
          </cell>
          <cell r="DC73">
            <v>315</v>
          </cell>
          <cell r="DD73">
            <v>315</v>
          </cell>
          <cell r="DE73">
            <v>315</v>
          </cell>
          <cell r="DF73">
            <v>315</v>
          </cell>
          <cell r="DG73">
            <v>315</v>
          </cell>
          <cell r="DH73">
            <v>315</v>
          </cell>
          <cell r="DI73">
            <v>315</v>
          </cell>
          <cell r="DJ73">
            <v>315</v>
          </cell>
          <cell r="DK73">
            <v>315</v>
          </cell>
          <cell r="DL73">
            <v>315</v>
          </cell>
          <cell r="DM73">
            <v>315</v>
          </cell>
          <cell r="DN73">
            <v>315</v>
          </cell>
          <cell r="DO73">
            <v>315</v>
          </cell>
          <cell r="DP73">
            <v>315</v>
          </cell>
          <cell r="DQ73">
            <v>315</v>
          </cell>
          <cell r="DR73">
            <v>315</v>
          </cell>
          <cell r="DS73">
            <v>315</v>
          </cell>
          <cell r="DT73">
            <v>315</v>
          </cell>
          <cell r="DU73">
            <v>315</v>
          </cell>
          <cell r="DV73">
            <v>315</v>
          </cell>
          <cell r="DW73">
            <v>315</v>
          </cell>
          <cell r="DX73">
            <v>315</v>
          </cell>
          <cell r="DY73">
            <v>315</v>
          </cell>
          <cell r="DZ73">
            <v>315</v>
          </cell>
          <cell r="EA73">
            <v>315</v>
          </cell>
          <cell r="EB73">
            <v>315</v>
          </cell>
          <cell r="EC73">
            <v>315</v>
          </cell>
          <cell r="ED73">
            <v>315</v>
          </cell>
          <cell r="EE73">
            <v>315</v>
          </cell>
          <cell r="EF73">
            <v>315</v>
          </cell>
          <cell r="EG73">
            <v>315</v>
          </cell>
          <cell r="EH73">
            <v>315</v>
          </cell>
          <cell r="EI73">
            <v>315</v>
          </cell>
          <cell r="EJ73">
            <v>315</v>
          </cell>
          <cell r="EK73">
            <v>315</v>
          </cell>
          <cell r="EL73">
            <v>315</v>
          </cell>
          <cell r="EM73">
            <v>315</v>
          </cell>
          <cell r="EN73">
            <v>315</v>
          </cell>
          <cell r="EO73">
            <v>315</v>
          </cell>
          <cell r="EP73">
            <v>315</v>
          </cell>
          <cell r="EQ73">
            <v>315</v>
          </cell>
          <cell r="ER73">
            <v>315</v>
          </cell>
          <cell r="ES73">
            <v>315</v>
          </cell>
          <cell r="ET73">
            <v>315</v>
          </cell>
          <cell r="EU73">
            <v>315</v>
          </cell>
          <cell r="EV73">
            <v>315</v>
          </cell>
          <cell r="EW73">
            <v>315</v>
          </cell>
          <cell r="EX73">
            <v>315</v>
          </cell>
          <cell r="EY73">
            <v>315</v>
          </cell>
          <cell r="EZ73">
            <v>315</v>
          </cell>
          <cell r="FA73">
            <v>315</v>
          </cell>
          <cell r="FB73">
            <v>315</v>
          </cell>
          <cell r="FC73">
            <v>315</v>
          </cell>
          <cell r="FD73">
            <v>315</v>
          </cell>
          <cell r="FE73">
            <v>315</v>
          </cell>
          <cell r="FF73">
            <v>315</v>
          </cell>
          <cell r="FG73">
            <v>315</v>
          </cell>
          <cell r="FH73">
            <v>315</v>
          </cell>
          <cell r="FI73">
            <v>315</v>
          </cell>
          <cell r="FJ73">
            <v>315</v>
          </cell>
          <cell r="FK73">
            <v>315</v>
          </cell>
          <cell r="FL73">
            <v>315</v>
          </cell>
          <cell r="FM73">
            <v>315</v>
          </cell>
          <cell r="FN73">
            <v>315</v>
          </cell>
        </row>
        <row r="74">
          <cell r="A74" t="str">
            <v>G3PFBAYA</v>
          </cell>
          <cell r="B74" t="str">
            <v>PARQUE FOTOVOLTAICO BAYAHONDA (BAYASOL)</v>
          </cell>
          <cell r="C74">
            <v>0</v>
          </cell>
          <cell r="D74">
            <v>0</v>
          </cell>
          <cell r="E74">
            <v>0</v>
          </cell>
          <cell r="F74">
            <v>0</v>
          </cell>
          <cell r="G74">
            <v>0</v>
          </cell>
          <cell r="H74">
            <v>0</v>
          </cell>
          <cell r="I74">
            <v>0.04</v>
          </cell>
          <cell r="J74">
            <v>4.22</v>
          </cell>
          <cell r="K74">
            <v>12.42</v>
          </cell>
          <cell r="L74">
            <v>23.91</v>
          </cell>
          <cell r="M74">
            <v>34.69</v>
          </cell>
          <cell r="N74">
            <v>40.549999999999997</v>
          </cell>
          <cell r="O74">
            <v>42.18</v>
          </cell>
          <cell r="P74">
            <v>42.27</v>
          </cell>
          <cell r="Q74">
            <v>39.520000000000003</v>
          </cell>
          <cell r="R74">
            <v>32.42</v>
          </cell>
          <cell r="S74">
            <v>21.18</v>
          </cell>
          <cell r="T74">
            <v>8.2100000000000009</v>
          </cell>
          <cell r="U74">
            <v>1.17</v>
          </cell>
          <cell r="V74">
            <v>0</v>
          </cell>
          <cell r="W74">
            <v>0</v>
          </cell>
          <cell r="X74">
            <v>0</v>
          </cell>
          <cell r="Y74">
            <v>0</v>
          </cell>
          <cell r="Z74">
            <v>0</v>
          </cell>
          <cell r="AA74">
            <v>0</v>
          </cell>
          <cell r="AB74">
            <v>0</v>
          </cell>
          <cell r="AC74">
            <v>0</v>
          </cell>
          <cell r="AD74">
            <v>0</v>
          </cell>
          <cell r="AE74">
            <v>0</v>
          </cell>
          <cell r="AF74">
            <v>0</v>
          </cell>
          <cell r="AG74">
            <v>0.04</v>
          </cell>
          <cell r="AH74">
            <v>4.22</v>
          </cell>
          <cell r="AI74">
            <v>12.42</v>
          </cell>
          <cell r="AJ74">
            <v>23.91</v>
          </cell>
          <cell r="AK74">
            <v>34.69</v>
          </cell>
          <cell r="AL74">
            <v>40.549999999999997</v>
          </cell>
          <cell r="AM74">
            <v>42.18</v>
          </cell>
          <cell r="AN74">
            <v>42.27</v>
          </cell>
          <cell r="AO74">
            <v>39.520000000000003</v>
          </cell>
          <cell r="AP74">
            <v>32.42</v>
          </cell>
          <cell r="AQ74">
            <v>21.18</v>
          </cell>
          <cell r="AR74">
            <v>8.2100000000000009</v>
          </cell>
          <cell r="AS74">
            <v>1.17</v>
          </cell>
          <cell r="AT74">
            <v>0</v>
          </cell>
          <cell r="AU74">
            <v>0</v>
          </cell>
          <cell r="AV74">
            <v>0</v>
          </cell>
          <cell r="AW74">
            <v>0</v>
          </cell>
          <cell r="AX74">
            <v>0</v>
          </cell>
          <cell r="AY74">
            <v>0</v>
          </cell>
          <cell r="AZ74">
            <v>0</v>
          </cell>
          <cell r="BA74">
            <v>0</v>
          </cell>
          <cell r="BB74">
            <v>0</v>
          </cell>
          <cell r="BC74">
            <v>0</v>
          </cell>
          <cell r="BD74">
            <v>0</v>
          </cell>
          <cell r="BE74">
            <v>0.04</v>
          </cell>
          <cell r="BF74">
            <v>4.22</v>
          </cell>
          <cell r="BG74">
            <v>12.42</v>
          </cell>
          <cell r="BH74">
            <v>23.91</v>
          </cell>
          <cell r="BI74">
            <v>34.69</v>
          </cell>
          <cell r="BJ74">
            <v>40.549999999999997</v>
          </cell>
          <cell r="BK74">
            <v>42.18</v>
          </cell>
          <cell r="BL74">
            <v>42.27</v>
          </cell>
          <cell r="BM74">
            <v>39.520000000000003</v>
          </cell>
          <cell r="BN74">
            <v>32.42</v>
          </cell>
          <cell r="BO74">
            <v>21.18</v>
          </cell>
          <cell r="BP74">
            <v>8.2100000000000009</v>
          </cell>
          <cell r="BQ74">
            <v>1.17</v>
          </cell>
          <cell r="BR74">
            <v>0</v>
          </cell>
          <cell r="BS74">
            <v>0</v>
          </cell>
          <cell r="BT74">
            <v>0</v>
          </cell>
          <cell r="BU74">
            <v>0</v>
          </cell>
          <cell r="BV74">
            <v>0</v>
          </cell>
          <cell r="BW74">
            <v>0</v>
          </cell>
          <cell r="BX74">
            <v>0</v>
          </cell>
          <cell r="BY74">
            <v>0</v>
          </cell>
          <cell r="BZ74">
            <v>0</v>
          </cell>
          <cell r="CA74">
            <v>0</v>
          </cell>
          <cell r="CB74">
            <v>0</v>
          </cell>
          <cell r="CC74">
            <v>0.04</v>
          </cell>
          <cell r="CD74">
            <v>4.22</v>
          </cell>
          <cell r="CE74">
            <v>12.42</v>
          </cell>
          <cell r="CF74">
            <v>23.91</v>
          </cell>
          <cell r="CG74">
            <v>34.69</v>
          </cell>
          <cell r="CH74">
            <v>40.549999999999997</v>
          </cell>
          <cell r="CI74">
            <v>42.18</v>
          </cell>
          <cell r="CJ74">
            <v>42.27</v>
          </cell>
          <cell r="CK74">
            <v>39.520000000000003</v>
          </cell>
          <cell r="CL74">
            <v>32.42</v>
          </cell>
          <cell r="CM74">
            <v>21.18</v>
          </cell>
          <cell r="CN74">
            <v>8.2100000000000009</v>
          </cell>
          <cell r="CO74">
            <v>1.17</v>
          </cell>
          <cell r="CP74">
            <v>0</v>
          </cell>
          <cell r="CQ74">
            <v>0</v>
          </cell>
          <cell r="CR74">
            <v>0</v>
          </cell>
          <cell r="CS74">
            <v>0</v>
          </cell>
          <cell r="CT74">
            <v>0</v>
          </cell>
          <cell r="CU74">
            <v>0</v>
          </cell>
          <cell r="CV74">
            <v>0</v>
          </cell>
          <cell r="CW74">
            <v>0</v>
          </cell>
          <cell r="CX74">
            <v>0</v>
          </cell>
          <cell r="CY74">
            <v>0</v>
          </cell>
          <cell r="CZ74">
            <v>0</v>
          </cell>
          <cell r="DA74">
            <v>0.04</v>
          </cell>
          <cell r="DB74">
            <v>4.22</v>
          </cell>
          <cell r="DC74">
            <v>12.42</v>
          </cell>
          <cell r="DD74">
            <v>23.91</v>
          </cell>
          <cell r="DE74">
            <v>34.69</v>
          </cell>
          <cell r="DF74">
            <v>40.549999999999997</v>
          </cell>
          <cell r="DG74">
            <v>42.18</v>
          </cell>
          <cell r="DH74">
            <v>42.27</v>
          </cell>
          <cell r="DI74">
            <v>39.520000000000003</v>
          </cell>
          <cell r="DJ74">
            <v>32.42</v>
          </cell>
          <cell r="DK74">
            <v>21.18</v>
          </cell>
          <cell r="DL74">
            <v>8.2100000000000009</v>
          </cell>
          <cell r="DM74">
            <v>1.17</v>
          </cell>
          <cell r="DN74">
            <v>0</v>
          </cell>
          <cell r="DO74">
            <v>0</v>
          </cell>
          <cell r="DP74">
            <v>0</v>
          </cell>
          <cell r="DQ74">
            <v>0</v>
          </cell>
          <cell r="DR74">
            <v>0</v>
          </cell>
          <cell r="DS74">
            <v>0</v>
          </cell>
          <cell r="DT74">
            <v>0</v>
          </cell>
          <cell r="DU74">
            <v>0</v>
          </cell>
          <cell r="DV74">
            <v>0</v>
          </cell>
          <cell r="DW74">
            <v>0</v>
          </cell>
          <cell r="DX74">
            <v>0</v>
          </cell>
          <cell r="DY74">
            <v>0.04</v>
          </cell>
          <cell r="DZ74">
            <v>4.22</v>
          </cell>
          <cell r="EA74">
            <v>12.42</v>
          </cell>
          <cell r="EB74">
            <v>23.91</v>
          </cell>
          <cell r="EC74">
            <v>34.69</v>
          </cell>
          <cell r="ED74">
            <v>40.549999999999997</v>
          </cell>
          <cell r="EE74">
            <v>42.18</v>
          </cell>
          <cell r="EF74">
            <v>42.27</v>
          </cell>
          <cell r="EG74">
            <v>39.520000000000003</v>
          </cell>
          <cell r="EH74">
            <v>32.42</v>
          </cell>
          <cell r="EI74">
            <v>21.18</v>
          </cell>
          <cell r="EJ74">
            <v>8.2100000000000009</v>
          </cell>
          <cell r="EK74">
            <v>1.17</v>
          </cell>
          <cell r="EL74">
            <v>0</v>
          </cell>
          <cell r="EM74">
            <v>0</v>
          </cell>
          <cell r="EN74">
            <v>0</v>
          </cell>
          <cell r="EO74">
            <v>0</v>
          </cell>
          <cell r="EP74">
            <v>0</v>
          </cell>
          <cell r="EQ74">
            <v>0</v>
          </cell>
          <cell r="ER74">
            <v>0</v>
          </cell>
          <cell r="ES74">
            <v>0</v>
          </cell>
          <cell r="ET74">
            <v>0</v>
          </cell>
          <cell r="EU74">
            <v>0</v>
          </cell>
          <cell r="EV74">
            <v>0</v>
          </cell>
          <cell r="EW74">
            <v>0.04</v>
          </cell>
          <cell r="EX74">
            <v>4.22</v>
          </cell>
          <cell r="EY74">
            <v>12.42</v>
          </cell>
          <cell r="EZ74">
            <v>23.91</v>
          </cell>
          <cell r="FA74">
            <v>34.69</v>
          </cell>
          <cell r="FB74">
            <v>40.549999999999997</v>
          </cell>
          <cell r="FC74">
            <v>42.18</v>
          </cell>
          <cell r="FD74">
            <v>42.27</v>
          </cell>
          <cell r="FE74">
            <v>39.520000000000003</v>
          </cell>
          <cell r="FF74">
            <v>32.42</v>
          </cell>
          <cell r="FG74">
            <v>21.18</v>
          </cell>
          <cell r="FH74">
            <v>8.2100000000000009</v>
          </cell>
          <cell r="FI74">
            <v>1.17</v>
          </cell>
          <cell r="FJ74">
            <v>0</v>
          </cell>
          <cell r="FK74">
            <v>0</v>
          </cell>
          <cell r="FL74">
            <v>0</v>
          </cell>
          <cell r="FM74">
            <v>0</v>
          </cell>
          <cell r="FN74">
            <v>0</v>
          </cell>
        </row>
        <row r="75">
          <cell r="A75" t="str">
            <v>G3PFMPAL</v>
          </cell>
          <cell r="B75" t="str">
            <v>PARQUE FOTOVOLTAICO MATA DE PALMA</v>
          </cell>
          <cell r="C75">
            <v>49</v>
          </cell>
          <cell r="D75">
            <v>49</v>
          </cell>
          <cell r="E75">
            <v>49</v>
          </cell>
          <cell r="F75">
            <v>49</v>
          </cell>
          <cell r="G75">
            <v>49</v>
          </cell>
          <cell r="H75">
            <v>49</v>
          </cell>
          <cell r="I75">
            <v>49</v>
          </cell>
          <cell r="J75">
            <v>49</v>
          </cell>
          <cell r="K75">
            <v>49</v>
          </cell>
          <cell r="L75">
            <v>49</v>
          </cell>
          <cell r="M75">
            <v>49</v>
          </cell>
          <cell r="N75">
            <v>49</v>
          </cell>
          <cell r="O75">
            <v>49</v>
          </cell>
          <cell r="P75">
            <v>49</v>
          </cell>
          <cell r="Q75">
            <v>49</v>
          </cell>
          <cell r="R75">
            <v>49</v>
          </cell>
          <cell r="S75">
            <v>49</v>
          </cell>
          <cell r="T75">
            <v>49</v>
          </cell>
          <cell r="U75">
            <v>49</v>
          </cell>
          <cell r="V75">
            <v>49</v>
          </cell>
          <cell r="W75">
            <v>49</v>
          </cell>
          <cell r="X75">
            <v>49</v>
          </cell>
          <cell r="Y75">
            <v>49</v>
          </cell>
          <cell r="Z75">
            <v>49</v>
          </cell>
          <cell r="AA75">
            <v>49</v>
          </cell>
          <cell r="AB75">
            <v>49</v>
          </cell>
          <cell r="AC75">
            <v>49</v>
          </cell>
          <cell r="AD75">
            <v>49</v>
          </cell>
          <cell r="AE75">
            <v>49</v>
          </cell>
          <cell r="AF75">
            <v>49</v>
          </cell>
          <cell r="AG75">
            <v>49</v>
          </cell>
          <cell r="AH75">
            <v>49</v>
          </cell>
          <cell r="AI75">
            <v>49</v>
          </cell>
          <cell r="AJ75">
            <v>49</v>
          </cell>
          <cell r="AK75">
            <v>49</v>
          </cell>
          <cell r="AL75">
            <v>49</v>
          </cell>
          <cell r="AM75">
            <v>49</v>
          </cell>
          <cell r="AN75">
            <v>49</v>
          </cell>
          <cell r="AO75">
            <v>49</v>
          </cell>
          <cell r="AP75">
            <v>49</v>
          </cell>
          <cell r="AQ75">
            <v>49</v>
          </cell>
          <cell r="AR75">
            <v>49</v>
          </cell>
          <cell r="AS75">
            <v>49</v>
          </cell>
          <cell r="AT75">
            <v>49</v>
          </cell>
          <cell r="AU75">
            <v>49</v>
          </cell>
          <cell r="AV75">
            <v>49</v>
          </cell>
          <cell r="AW75">
            <v>49</v>
          </cell>
          <cell r="AX75">
            <v>49</v>
          </cell>
          <cell r="AY75">
            <v>49</v>
          </cell>
          <cell r="AZ75">
            <v>49</v>
          </cell>
          <cell r="BA75">
            <v>49</v>
          </cell>
          <cell r="BB75">
            <v>49</v>
          </cell>
          <cell r="BC75">
            <v>49</v>
          </cell>
          <cell r="BD75">
            <v>49</v>
          </cell>
          <cell r="BE75">
            <v>49</v>
          </cell>
          <cell r="BF75">
            <v>49</v>
          </cell>
          <cell r="BG75">
            <v>49</v>
          </cell>
          <cell r="BH75">
            <v>49</v>
          </cell>
          <cell r="BI75">
            <v>49</v>
          </cell>
          <cell r="BJ75">
            <v>49</v>
          </cell>
          <cell r="BK75">
            <v>49</v>
          </cell>
          <cell r="BL75">
            <v>49</v>
          </cell>
          <cell r="BM75">
            <v>49</v>
          </cell>
          <cell r="BN75">
            <v>49</v>
          </cell>
          <cell r="BO75">
            <v>49</v>
          </cell>
          <cell r="BP75">
            <v>49</v>
          </cell>
          <cell r="BQ75">
            <v>49</v>
          </cell>
          <cell r="BR75">
            <v>49</v>
          </cell>
          <cell r="BS75">
            <v>49</v>
          </cell>
          <cell r="BT75">
            <v>49</v>
          </cell>
          <cell r="BU75">
            <v>49</v>
          </cell>
          <cell r="BV75">
            <v>49</v>
          </cell>
          <cell r="BW75">
            <v>49</v>
          </cell>
          <cell r="BX75">
            <v>49</v>
          </cell>
          <cell r="BY75">
            <v>49</v>
          </cell>
          <cell r="BZ75">
            <v>49</v>
          </cell>
          <cell r="CA75">
            <v>49</v>
          </cell>
          <cell r="CB75">
            <v>49</v>
          </cell>
          <cell r="CC75">
            <v>49</v>
          </cell>
          <cell r="CD75">
            <v>49</v>
          </cell>
          <cell r="CE75">
            <v>49</v>
          </cell>
          <cell r="CF75">
            <v>49</v>
          </cell>
          <cell r="CG75">
            <v>49</v>
          </cell>
          <cell r="CH75">
            <v>49</v>
          </cell>
          <cell r="CI75">
            <v>49</v>
          </cell>
          <cell r="CJ75">
            <v>49</v>
          </cell>
          <cell r="CK75">
            <v>49</v>
          </cell>
          <cell r="CL75">
            <v>49</v>
          </cell>
          <cell r="CM75">
            <v>49</v>
          </cell>
          <cell r="CN75">
            <v>49</v>
          </cell>
          <cell r="CO75">
            <v>49</v>
          </cell>
          <cell r="CP75">
            <v>49</v>
          </cell>
          <cell r="CQ75">
            <v>49</v>
          </cell>
          <cell r="CR75">
            <v>49</v>
          </cell>
          <cell r="CS75">
            <v>49</v>
          </cell>
          <cell r="CT75">
            <v>49</v>
          </cell>
          <cell r="CU75">
            <v>49</v>
          </cell>
          <cell r="CV75">
            <v>49</v>
          </cell>
          <cell r="CW75">
            <v>49</v>
          </cell>
          <cell r="CX75">
            <v>49</v>
          </cell>
          <cell r="CY75">
            <v>49</v>
          </cell>
          <cell r="CZ75">
            <v>49</v>
          </cell>
          <cell r="DA75">
            <v>49</v>
          </cell>
          <cell r="DB75">
            <v>49</v>
          </cell>
          <cell r="DC75">
            <v>49</v>
          </cell>
          <cell r="DD75">
            <v>49</v>
          </cell>
          <cell r="DE75">
            <v>49</v>
          </cell>
          <cell r="DF75">
            <v>49</v>
          </cell>
          <cell r="DG75">
            <v>49</v>
          </cell>
          <cell r="DH75">
            <v>49</v>
          </cell>
          <cell r="DI75">
            <v>49</v>
          </cell>
          <cell r="DJ75">
            <v>49</v>
          </cell>
          <cell r="DK75">
            <v>49</v>
          </cell>
          <cell r="DL75">
            <v>49</v>
          </cell>
          <cell r="DM75">
            <v>49</v>
          </cell>
          <cell r="DN75">
            <v>49</v>
          </cell>
          <cell r="DO75">
            <v>49</v>
          </cell>
          <cell r="DP75">
            <v>49</v>
          </cell>
          <cell r="DQ75">
            <v>49</v>
          </cell>
          <cell r="DR75">
            <v>49</v>
          </cell>
          <cell r="DS75">
            <v>49</v>
          </cell>
          <cell r="DT75">
            <v>49</v>
          </cell>
          <cell r="DU75">
            <v>49</v>
          </cell>
          <cell r="DV75">
            <v>49</v>
          </cell>
          <cell r="DW75">
            <v>49</v>
          </cell>
          <cell r="DX75">
            <v>49</v>
          </cell>
          <cell r="DY75">
            <v>49</v>
          </cell>
          <cell r="DZ75">
            <v>49</v>
          </cell>
          <cell r="EA75">
            <v>49</v>
          </cell>
          <cell r="EB75">
            <v>49</v>
          </cell>
          <cell r="EC75">
            <v>49</v>
          </cell>
          <cell r="ED75">
            <v>49</v>
          </cell>
          <cell r="EE75">
            <v>49</v>
          </cell>
          <cell r="EF75">
            <v>49</v>
          </cell>
          <cell r="EG75">
            <v>49</v>
          </cell>
          <cell r="EH75">
            <v>49</v>
          </cell>
          <cell r="EI75">
            <v>49</v>
          </cell>
          <cell r="EJ75">
            <v>49</v>
          </cell>
          <cell r="EK75">
            <v>49</v>
          </cell>
          <cell r="EL75">
            <v>49</v>
          </cell>
          <cell r="EM75">
            <v>49</v>
          </cell>
          <cell r="EN75">
            <v>49</v>
          </cell>
          <cell r="EO75">
            <v>49</v>
          </cell>
          <cell r="EP75">
            <v>49</v>
          </cell>
          <cell r="EQ75">
            <v>49</v>
          </cell>
          <cell r="ER75">
            <v>49</v>
          </cell>
          <cell r="ES75">
            <v>49</v>
          </cell>
          <cell r="ET75">
            <v>49</v>
          </cell>
          <cell r="EU75">
            <v>49</v>
          </cell>
          <cell r="EV75">
            <v>49</v>
          </cell>
          <cell r="EW75">
            <v>49</v>
          </cell>
          <cell r="EX75">
            <v>49</v>
          </cell>
          <cell r="EY75">
            <v>49</v>
          </cell>
          <cell r="EZ75">
            <v>49</v>
          </cell>
          <cell r="FA75">
            <v>49</v>
          </cell>
          <cell r="FB75">
            <v>49</v>
          </cell>
          <cell r="FC75">
            <v>49</v>
          </cell>
          <cell r="FD75">
            <v>49</v>
          </cell>
          <cell r="FE75">
            <v>49</v>
          </cell>
          <cell r="FF75">
            <v>49</v>
          </cell>
          <cell r="FG75">
            <v>49</v>
          </cell>
          <cell r="FH75">
            <v>49</v>
          </cell>
          <cell r="FI75">
            <v>49</v>
          </cell>
          <cell r="FJ75">
            <v>49</v>
          </cell>
          <cell r="FK75">
            <v>49</v>
          </cell>
          <cell r="FL75">
            <v>49</v>
          </cell>
          <cell r="FM75">
            <v>49</v>
          </cell>
          <cell r="FN75">
            <v>49</v>
          </cell>
        </row>
        <row r="76">
          <cell r="A76" t="str">
            <v>G3PFMSO1</v>
          </cell>
          <cell r="B76" t="str">
            <v>PARQUE FOTOVOLTAICO MONTECRISTI SOLAR1</v>
          </cell>
          <cell r="C76">
            <v>50</v>
          </cell>
          <cell r="D76">
            <v>50</v>
          </cell>
          <cell r="E76">
            <v>50</v>
          </cell>
          <cell r="F76">
            <v>50</v>
          </cell>
          <cell r="G76">
            <v>50</v>
          </cell>
          <cell r="H76">
            <v>50</v>
          </cell>
          <cell r="I76">
            <v>50</v>
          </cell>
          <cell r="J76">
            <v>50</v>
          </cell>
          <cell r="K76">
            <v>50</v>
          </cell>
          <cell r="L76">
            <v>50</v>
          </cell>
          <cell r="M76">
            <v>50</v>
          </cell>
          <cell r="N76">
            <v>50</v>
          </cell>
          <cell r="O76">
            <v>50</v>
          </cell>
          <cell r="P76">
            <v>50</v>
          </cell>
          <cell r="Q76">
            <v>50</v>
          </cell>
          <cell r="R76">
            <v>50</v>
          </cell>
          <cell r="S76">
            <v>50</v>
          </cell>
          <cell r="T76">
            <v>50</v>
          </cell>
          <cell r="U76">
            <v>50</v>
          </cell>
          <cell r="V76">
            <v>50</v>
          </cell>
          <cell r="W76">
            <v>50</v>
          </cell>
          <cell r="X76">
            <v>50</v>
          </cell>
          <cell r="Y76">
            <v>50</v>
          </cell>
          <cell r="Z76">
            <v>50</v>
          </cell>
          <cell r="AA76">
            <v>50</v>
          </cell>
          <cell r="AB76">
            <v>50</v>
          </cell>
          <cell r="AC76">
            <v>50</v>
          </cell>
          <cell r="AD76">
            <v>50</v>
          </cell>
          <cell r="AE76">
            <v>50</v>
          </cell>
          <cell r="AF76">
            <v>50</v>
          </cell>
          <cell r="AG76">
            <v>50</v>
          </cell>
          <cell r="AH76">
            <v>50</v>
          </cell>
          <cell r="AI76">
            <v>50</v>
          </cell>
          <cell r="AJ76">
            <v>50</v>
          </cell>
          <cell r="AK76">
            <v>50</v>
          </cell>
          <cell r="AL76">
            <v>50</v>
          </cell>
          <cell r="AM76">
            <v>50</v>
          </cell>
          <cell r="AN76">
            <v>50</v>
          </cell>
          <cell r="AO76">
            <v>50</v>
          </cell>
          <cell r="AP76">
            <v>50</v>
          </cell>
          <cell r="AQ76">
            <v>50</v>
          </cell>
          <cell r="AR76">
            <v>50</v>
          </cell>
          <cell r="AS76">
            <v>50</v>
          </cell>
          <cell r="AT76">
            <v>50</v>
          </cell>
          <cell r="AU76">
            <v>50</v>
          </cell>
          <cell r="AV76">
            <v>50</v>
          </cell>
          <cell r="AW76">
            <v>50</v>
          </cell>
          <cell r="AX76">
            <v>50</v>
          </cell>
          <cell r="AY76">
            <v>50</v>
          </cell>
          <cell r="AZ76">
            <v>50</v>
          </cell>
          <cell r="BA76">
            <v>50</v>
          </cell>
          <cell r="BB76">
            <v>50</v>
          </cell>
          <cell r="BC76">
            <v>50</v>
          </cell>
          <cell r="BD76">
            <v>50</v>
          </cell>
          <cell r="BE76">
            <v>50</v>
          </cell>
          <cell r="BF76">
            <v>50</v>
          </cell>
          <cell r="BG76">
            <v>50</v>
          </cell>
          <cell r="BH76">
            <v>50</v>
          </cell>
          <cell r="BI76">
            <v>50</v>
          </cell>
          <cell r="BJ76">
            <v>50</v>
          </cell>
          <cell r="BK76">
            <v>50</v>
          </cell>
          <cell r="BL76">
            <v>50</v>
          </cell>
          <cell r="BM76">
            <v>50</v>
          </cell>
          <cell r="BN76">
            <v>50</v>
          </cell>
          <cell r="BO76">
            <v>50</v>
          </cell>
          <cell r="BP76">
            <v>50</v>
          </cell>
          <cell r="BQ76">
            <v>50</v>
          </cell>
          <cell r="BR76">
            <v>50</v>
          </cell>
          <cell r="BS76">
            <v>50</v>
          </cell>
          <cell r="BT76">
            <v>50</v>
          </cell>
          <cell r="BU76">
            <v>50</v>
          </cell>
          <cell r="BV76">
            <v>50</v>
          </cell>
          <cell r="BW76">
            <v>50</v>
          </cell>
          <cell r="BX76">
            <v>50</v>
          </cell>
          <cell r="BY76">
            <v>50</v>
          </cell>
          <cell r="BZ76">
            <v>50</v>
          </cell>
          <cell r="CA76">
            <v>50</v>
          </cell>
          <cell r="CB76">
            <v>50</v>
          </cell>
          <cell r="CC76">
            <v>50</v>
          </cell>
          <cell r="CD76">
            <v>50</v>
          </cell>
          <cell r="CE76">
            <v>50</v>
          </cell>
          <cell r="CF76">
            <v>50</v>
          </cell>
          <cell r="CG76">
            <v>50</v>
          </cell>
          <cell r="CH76">
            <v>50</v>
          </cell>
          <cell r="CI76">
            <v>50</v>
          </cell>
          <cell r="CJ76">
            <v>50</v>
          </cell>
          <cell r="CK76">
            <v>50</v>
          </cell>
          <cell r="CL76">
            <v>50</v>
          </cell>
          <cell r="CM76">
            <v>50</v>
          </cell>
          <cell r="CN76">
            <v>50</v>
          </cell>
          <cell r="CO76">
            <v>50</v>
          </cell>
          <cell r="CP76">
            <v>50</v>
          </cell>
          <cell r="CQ76">
            <v>50</v>
          </cell>
          <cell r="CR76">
            <v>50</v>
          </cell>
          <cell r="CS76">
            <v>50</v>
          </cell>
          <cell r="CT76">
            <v>50</v>
          </cell>
          <cell r="CU76">
            <v>50</v>
          </cell>
          <cell r="CV76">
            <v>50</v>
          </cell>
          <cell r="CW76">
            <v>50</v>
          </cell>
          <cell r="CX76">
            <v>50</v>
          </cell>
          <cell r="CY76">
            <v>50</v>
          </cell>
          <cell r="CZ76">
            <v>50</v>
          </cell>
          <cell r="DA76">
            <v>50</v>
          </cell>
          <cell r="DB76">
            <v>50</v>
          </cell>
          <cell r="DC76">
            <v>50</v>
          </cell>
          <cell r="DD76">
            <v>50</v>
          </cell>
          <cell r="DE76">
            <v>50</v>
          </cell>
          <cell r="DF76">
            <v>50</v>
          </cell>
          <cell r="DG76">
            <v>50</v>
          </cell>
          <cell r="DH76">
            <v>50</v>
          </cell>
          <cell r="DI76">
            <v>50</v>
          </cell>
          <cell r="DJ76">
            <v>50</v>
          </cell>
          <cell r="DK76">
            <v>50</v>
          </cell>
          <cell r="DL76">
            <v>50</v>
          </cell>
          <cell r="DM76">
            <v>50</v>
          </cell>
          <cell r="DN76">
            <v>50</v>
          </cell>
          <cell r="DO76">
            <v>50</v>
          </cell>
          <cell r="DP76">
            <v>50</v>
          </cell>
          <cell r="DQ76">
            <v>50</v>
          </cell>
          <cell r="DR76">
            <v>50</v>
          </cell>
          <cell r="DS76">
            <v>50</v>
          </cell>
          <cell r="DT76">
            <v>50</v>
          </cell>
          <cell r="DU76">
            <v>50</v>
          </cell>
          <cell r="DV76">
            <v>50</v>
          </cell>
          <cell r="DW76">
            <v>50</v>
          </cell>
          <cell r="DX76">
            <v>50</v>
          </cell>
          <cell r="DY76">
            <v>50</v>
          </cell>
          <cell r="DZ76">
            <v>50</v>
          </cell>
          <cell r="EA76">
            <v>50</v>
          </cell>
          <cell r="EB76">
            <v>50</v>
          </cell>
          <cell r="EC76">
            <v>50</v>
          </cell>
          <cell r="ED76">
            <v>50</v>
          </cell>
          <cell r="EE76">
            <v>50</v>
          </cell>
          <cell r="EF76">
            <v>50</v>
          </cell>
          <cell r="EG76">
            <v>50</v>
          </cell>
          <cell r="EH76">
            <v>50</v>
          </cell>
          <cell r="EI76">
            <v>50</v>
          </cell>
          <cell r="EJ76">
            <v>50</v>
          </cell>
          <cell r="EK76">
            <v>50</v>
          </cell>
          <cell r="EL76">
            <v>50</v>
          </cell>
          <cell r="EM76">
            <v>50</v>
          </cell>
          <cell r="EN76">
            <v>50</v>
          </cell>
          <cell r="EO76">
            <v>50</v>
          </cell>
          <cell r="EP76">
            <v>50</v>
          </cell>
          <cell r="EQ76">
            <v>50</v>
          </cell>
          <cell r="ER76">
            <v>50</v>
          </cell>
          <cell r="ES76">
            <v>50</v>
          </cell>
          <cell r="ET76">
            <v>50</v>
          </cell>
          <cell r="EU76">
            <v>50</v>
          </cell>
          <cell r="EV76">
            <v>50</v>
          </cell>
          <cell r="EW76">
            <v>50</v>
          </cell>
          <cell r="EX76">
            <v>50</v>
          </cell>
          <cell r="EY76">
            <v>50</v>
          </cell>
          <cell r="EZ76">
            <v>50</v>
          </cell>
          <cell r="FA76">
            <v>50</v>
          </cell>
          <cell r="FB76">
            <v>50</v>
          </cell>
          <cell r="FC76">
            <v>50</v>
          </cell>
          <cell r="FD76">
            <v>50</v>
          </cell>
          <cell r="FE76">
            <v>50</v>
          </cell>
          <cell r="FF76">
            <v>50</v>
          </cell>
          <cell r="FG76">
            <v>50</v>
          </cell>
          <cell r="FH76">
            <v>50</v>
          </cell>
          <cell r="FI76">
            <v>50</v>
          </cell>
          <cell r="FJ76">
            <v>50</v>
          </cell>
          <cell r="FK76">
            <v>50</v>
          </cell>
          <cell r="FL76">
            <v>50</v>
          </cell>
          <cell r="FM76">
            <v>50</v>
          </cell>
          <cell r="FN76">
            <v>50</v>
          </cell>
        </row>
        <row r="77">
          <cell r="A77" t="str">
            <v>G3PIMEN1</v>
          </cell>
          <cell r="B77" t="str">
            <v>PIMENTEL 1</v>
          </cell>
          <cell r="C77">
            <v>31.42</v>
          </cell>
          <cell r="D77">
            <v>31.42</v>
          </cell>
          <cell r="E77">
            <v>31.42</v>
          </cell>
          <cell r="F77">
            <v>31.42</v>
          </cell>
          <cell r="G77">
            <v>31.42</v>
          </cell>
          <cell r="H77">
            <v>31.42</v>
          </cell>
          <cell r="I77">
            <v>31.42</v>
          </cell>
          <cell r="J77">
            <v>31.42</v>
          </cell>
          <cell r="K77">
            <v>31.42</v>
          </cell>
          <cell r="L77">
            <v>31.42</v>
          </cell>
          <cell r="M77">
            <v>31.42</v>
          </cell>
          <cell r="N77">
            <v>31.42</v>
          </cell>
          <cell r="O77">
            <v>31.42</v>
          </cell>
          <cell r="P77">
            <v>31.42</v>
          </cell>
          <cell r="Q77">
            <v>31.42</v>
          </cell>
          <cell r="R77">
            <v>31.42</v>
          </cell>
          <cell r="S77">
            <v>31.42</v>
          </cell>
          <cell r="T77">
            <v>31.42</v>
          </cell>
          <cell r="U77">
            <v>31.42</v>
          </cell>
          <cell r="V77">
            <v>31.42</v>
          </cell>
          <cell r="W77">
            <v>31.42</v>
          </cell>
          <cell r="X77">
            <v>31.42</v>
          </cell>
          <cell r="Y77">
            <v>31.42</v>
          </cell>
          <cell r="Z77">
            <v>31.42</v>
          </cell>
          <cell r="AA77">
            <v>31.42</v>
          </cell>
          <cell r="AB77">
            <v>31.42</v>
          </cell>
          <cell r="AC77">
            <v>31.42</v>
          </cell>
          <cell r="AD77">
            <v>31.42</v>
          </cell>
          <cell r="AE77">
            <v>31.42</v>
          </cell>
          <cell r="AF77">
            <v>31.42</v>
          </cell>
          <cell r="AG77">
            <v>31.42</v>
          </cell>
          <cell r="AH77">
            <v>31.42</v>
          </cell>
          <cell r="AI77">
            <v>31.42</v>
          </cell>
          <cell r="AJ77">
            <v>31.42</v>
          </cell>
          <cell r="AK77">
            <v>31.42</v>
          </cell>
          <cell r="AL77">
            <v>31.42</v>
          </cell>
          <cell r="AM77">
            <v>31.42</v>
          </cell>
          <cell r="AN77">
            <v>31.42</v>
          </cell>
          <cell r="AO77">
            <v>31.42</v>
          </cell>
          <cell r="AP77">
            <v>31.42</v>
          </cell>
          <cell r="AQ77">
            <v>31.42</v>
          </cell>
          <cell r="AR77">
            <v>31.42</v>
          </cell>
          <cell r="AS77">
            <v>31.42</v>
          </cell>
          <cell r="AT77">
            <v>31.42</v>
          </cell>
          <cell r="AU77">
            <v>31.42</v>
          </cell>
          <cell r="AV77">
            <v>31.42</v>
          </cell>
          <cell r="AW77">
            <v>31.42</v>
          </cell>
          <cell r="AX77">
            <v>31.42</v>
          </cell>
          <cell r="AY77">
            <v>31.42</v>
          </cell>
          <cell r="AZ77">
            <v>31.42</v>
          </cell>
          <cell r="BA77">
            <v>31.42</v>
          </cell>
          <cell r="BB77">
            <v>31.42</v>
          </cell>
          <cell r="BC77">
            <v>31.42</v>
          </cell>
          <cell r="BD77">
            <v>31.42</v>
          </cell>
          <cell r="BE77">
            <v>31.42</v>
          </cell>
          <cell r="BF77">
            <v>31.42</v>
          </cell>
          <cell r="BG77">
            <v>31.42</v>
          </cell>
          <cell r="BH77">
            <v>31.42</v>
          </cell>
          <cell r="BI77">
            <v>31.42</v>
          </cell>
          <cell r="BJ77">
            <v>31.42</v>
          </cell>
          <cell r="BK77">
            <v>31.42</v>
          </cell>
          <cell r="BL77">
            <v>31.42</v>
          </cell>
          <cell r="BM77">
            <v>31.42</v>
          </cell>
          <cell r="BN77">
            <v>31.42</v>
          </cell>
          <cell r="BO77">
            <v>31.42</v>
          </cell>
          <cell r="BP77">
            <v>31.42</v>
          </cell>
          <cell r="BQ77">
            <v>31.42</v>
          </cell>
          <cell r="BR77">
            <v>31.42</v>
          </cell>
          <cell r="BS77">
            <v>31.42</v>
          </cell>
          <cell r="BT77">
            <v>31.42</v>
          </cell>
          <cell r="BU77">
            <v>31.42</v>
          </cell>
          <cell r="BV77">
            <v>31.42</v>
          </cell>
          <cell r="BW77">
            <v>31.42</v>
          </cell>
          <cell r="BX77">
            <v>31.42</v>
          </cell>
          <cell r="BY77">
            <v>31.42</v>
          </cell>
          <cell r="BZ77">
            <v>31.42</v>
          </cell>
          <cell r="CA77">
            <v>31.42</v>
          </cell>
          <cell r="CB77">
            <v>31.42</v>
          </cell>
          <cell r="CC77">
            <v>31.42</v>
          </cell>
          <cell r="CD77">
            <v>31.42</v>
          </cell>
          <cell r="CE77">
            <v>31.42</v>
          </cell>
          <cell r="CF77">
            <v>31.42</v>
          </cell>
          <cell r="CG77">
            <v>31.42</v>
          </cell>
          <cell r="CH77">
            <v>31.42</v>
          </cell>
          <cell r="CI77">
            <v>31.42</v>
          </cell>
          <cell r="CJ77">
            <v>31.42</v>
          </cell>
          <cell r="CK77">
            <v>31.42</v>
          </cell>
          <cell r="CL77">
            <v>31.42</v>
          </cell>
          <cell r="CM77">
            <v>31.42</v>
          </cell>
          <cell r="CN77">
            <v>31.42</v>
          </cell>
          <cell r="CO77">
            <v>31.42</v>
          </cell>
          <cell r="CP77">
            <v>31.42</v>
          </cell>
          <cell r="CQ77">
            <v>31.42</v>
          </cell>
          <cell r="CR77">
            <v>31.42</v>
          </cell>
          <cell r="CS77">
            <v>31.42</v>
          </cell>
          <cell r="CT77">
            <v>31.42</v>
          </cell>
          <cell r="CU77">
            <v>31.42</v>
          </cell>
          <cell r="CV77">
            <v>31.42</v>
          </cell>
          <cell r="CW77">
            <v>31.42</v>
          </cell>
          <cell r="CX77">
            <v>31.42</v>
          </cell>
          <cell r="CY77">
            <v>31.42</v>
          </cell>
          <cell r="CZ77">
            <v>31.42</v>
          </cell>
          <cell r="DA77">
            <v>31.42</v>
          </cell>
          <cell r="DB77">
            <v>31.42</v>
          </cell>
          <cell r="DC77">
            <v>31.42</v>
          </cell>
          <cell r="DD77">
            <v>31.42</v>
          </cell>
          <cell r="DE77">
            <v>31.42</v>
          </cell>
          <cell r="DF77">
            <v>31.42</v>
          </cell>
          <cell r="DG77">
            <v>31.42</v>
          </cell>
          <cell r="DH77">
            <v>31.42</v>
          </cell>
          <cell r="DI77">
            <v>31.42</v>
          </cell>
          <cell r="DJ77">
            <v>31.42</v>
          </cell>
          <cell r="DK77">
            <v>31.42</v>
          </cell>
          <cell r="DL77">
            <v>31.42</v>
          </cell>
          <cell r="DM77">
            <v>31.42</v>
          </cell>
          <cell r="DN77">
            <v>31.42</v>
          </cell>
          <cell r="DO77">
            <v>31.42</v>
          </cell>
          <cell r="DP77">
            <v>31.42</v>
          </cell>
          <cell r="DQ77">
            <v>31.42</v>
          </cell>
          <cell r="DR77">
            <v>31.42</v>
          </cell>
          <cell r="DS77">
            <v>31.42</v>
          </cell>
          <cell r="DT77">
            <v>31.42</v>
          </cell>
          <cell r="DU77">
            <v>31.42</v>
          </cell>
          <cell r="DV77">
            <v>31.42</v>
          </cell>
          <cell r="DW77">
            <v>31.42</v>
          </cell>
          <cell r="DX77">
            <v>31.42</v>
          </cell>
          <cell r="DY77">
            <v>31.42</v>
          </cell>
          <cell r="DZ77">
            <v>31.42</v>
          </cell>
          <cell r="EA77">
            <v>31.42</v>
          </cell>
          <cell r="EB77">
            <v>31.42</v>
          </cell>
          <cell r="EC77">
            <v>31.42</v>
          </cell>
          <cell r="ED77">
            <v>31.42</v>
          </cell>
          <cell r="EE77">
            <v>31.42</v>
          </cell>
          <cell r="EF77">
            <v>31.42</v>
          </cell>
          <cell r="EG77">
            <v>31.42</v>
          </cell>
          <cell r="EH77">
            <v>31.42</v>
          </cell>
          <cell r="EI77">
            <v>31.42</v>
          </cell>
          <cell r="EJ77">
            <v>31.42</v>
          </cell>
          <cell r="EK77">
            <v>31.42</v>
          </cell>
          <cell r="EL77">
            <v>31.42</v>
          </cell>
          <cell r="EM77">
            <v>31.42</v>
          </cell>
          <cell r="EN77">
            <v>31.42</v>
          </cell>
          <cell r="EO77">
            <v>31.42</v>
          </cell>
          <cell r="EP77">
            <v>31.42</v>
          </cell>
          <cell r="EQ77">
            <v>31.42</v>
          </cell>
          <cell r="ER77">
            <v>31.42</v>
          </cell>
          <cell r="ES77">
            <v>31.42</v>
          </cell>
          <cell r="ET77">
            <v>31.42</v>
          </cell>
          <cell r="EU77">
            <v>31.42</v>
          </cell>
          <cell r="EV77">
            <v>31.42</v>
          </cell>
          <cell r="EW77">
            <v>31.42</v>
          </cell>
          <cell r="EX77">
            <v>31.42</v>
          </cell>
          <cell r="EY77">
            <v>31.42</v>
          </cell>
          <cell r="EZ77">
            <v>31.42</v>
          </cell>
          <cell r="FA77">
            <v>31.42</v>
          </cell>
          <cell r="FB77">
            <v>31.42</v>
          </cell>
          <cell r="FC77">
            <v>31.42</v>
          </cell>
          <cell r="FD77">
            <v>31.42</v>
          </cell>
          <cell r="FE77">
            <v>31.42</v>
          </cell>
          <cell r="FF77">
            <v>31.42</v>
          </cell>
          <cell r="FG77">
            <v>31.42</v>
          </cell>
          <cell r="FH77">
            <v>31.42</v>
          </cell>
          <cell r="FI77">
            <v>31.42</v>
          </cell>
          <cell r="FJ77">
            <v>31.42</v>
          </cell>
          <cell r="FK77">
            <v>31.42</v>
          </cell>
          <cell r="FL77">
            <v>31.42</v>
          </cell>
          <cell r="FM77">
            <v>31.42</v>
          </cell>
          <cell r="FN77">
            <v>31.42</v>
          </cell>
        </row>
        <row r="78">
          <cell r="A78" t="str">
            <v>G3PIMEN2</v>
          </cell>
          <cell r="B78" t="str">
            <v>PIMENTEL 2</v>
          </cell>
          <cell r="C78">
            <v>27.88</v>
          </cell>
          <cell r="D78">
            <v>27.88</v>
          </cell>
          <cell r="E78">
            <v>27.88</v>
          </cell>
          <cell r="F78">
            <v>27.88</v>
          </cell>
          <cell r="G78">
            <v>27.88</v>
          </cell>
          <cell r="H78">
            <v>27.88</v>
          </cell>
          <cell r="I78">
            <v>27.88</v>
          </cell>
          <cell r="J78">
            <v>27.88</v>
          </cell>
          <cell r="K78">
            <v>27.88</v>
          </cell>
          <cell r="L78">
            <v>27.88</v>
          </cell>
          <cell r="M78">
            <v>27.88</v>
          </cell>
          <cell r="N78">
            <v>27.88</v>
          </cell>
          <cell r="O78">
            <v>27.88</v>
          </cell>
          <cell r="P78">
            <v>27.88</v>
          </cell>
          <cell r="Q78">
            <v>27.88</v>
          </cell>
          <cell r="R78">
            <v>27.88</v>
          </cell>
          <cell r="S78">
            <v>27.88</v>
          </cell>
          <cell r="T78">
            <v>27.88</v>
          </cell>
          <cell r="U78">
            <v>27.88</v>
          </cell>
          <cell r="V78">
            <v>27.88</v>
          </cell>
          <cell r="W78">
            <v>27.88</v>
          </cell>
          <cell r="X78">
            <v>27.88</v>
          </cell>
          <cell r="Y78">
            <v>27.88</v>
          </cell>
          <cell r="Z78">
            <v>27.88</v>
          </cell>
          <cell r="AA78">
            <v>27.88</v>
          </cell>
          <cell r="AB78">
            <v>27.88</v>
          </cell>
          <cell r="AC78">
            <v>27.88</v>
          </cell>
          <cell r="AD78">
            <v>27.88</v>
          </cell>
          <cell r="AE78">
            <v>27.88</v>
          </cell>
          <cell r="AF78">
            <v>27.88</v>
          </cell>
          <cell r="AG78">
            <v>27.88</v>
          </cell>
          <cell r="AH78">
            <v>27.88</v>
          </cell>
          <cell r="AI78">
            <v>27.88</v>
          </cell>
          <cell r="AJ78">
            <v>27.88</v>
          </cell>
          <cell r="AK78">
            <v>27.88</v>
          </cell>
          <cell r="AL78">
            <v>27.88</v>
          </cell>
          <cell r="AM78">
            <v>27.88</v>
          </cell>
          <cell r="AN78">
            <v>27.88</v>
          </cell>
          <cell r="AO78">
            <v>27.88</v>
          </cell>
          <cell r="AP78">
            <v>27.88</v>
          </cell>
          <cell r="AQ78">
            <v>27.88</v>
          </cell>
          <cell r="AR78">
            <v>27.88</v>
          </cell>
          <cell r="AS78">
            <v>27.88</v>
          </cell>
          <cell r="AT78">
            <v>27.88</v>
          </cell>
          <cell r="AU78">
            <v>27.88</v>
          </cell>
          <cell r="AV78">
            <v>27.88</v>
          </cell>
          <cell r="AW78">
            <v>27.88</v>
          </cell>
          <cell r="AX78">
            <v>27.88</v>
          </cell>
          <cell r="AY78">
            <v>27.88</v>
          </cell>
          <cell r="AZ78">
            <v>27.88</v>
          </cell>
          <cell r="BA78">
            <v>27.88</v>
          </cell>
          <cell r="BB78">
            <v>27.88</v>
          </cell>
          <cell r="BC78">
            <v>27.88</v>
          </cell>
          <cell r="BD78">
            <v>27.88</v>
          </cell>
          <cell r="BE78">
            <v>27.88</v>
          </cell>
          <cell r="BF78">
            <v>27.88</v>
          </cell>
          <cell r="BG78">
            <v>27.88</v>
          </cell>
          <cell r="BH78">
            <v>27.88</v>
          </cell>
          <cell r="BI78">
            <v>27.88</v>
          </cell>
          <cell r="BJ78">
            <v>27.88</v>
          </cell>
          <cell r="BK78">
            <v>27.88</v>
          </cell>
          <cell r="BL78">
            <v>27.88</v>
          </cell>
          <cell r="BM78">
            <v>27.88</v>
          </cell>
          <cell r="BN78">
            <v>27.88</v>
          </cell>
          <cell r="BO78">
            <v>27.88</v>
          </cell>
          <cell r="BP78">
            <v>27.88</v>
          </cell>
          <cell r="BQ78">
            <v>27.88</v>
          </cell>
          <cell r="BR78">
            <v>27.88</v>
          </cell>
          <cell r="BS78">
            <v>27.88</v>
          </cell>
          <cell r="BT78">
            <v>27.88</v>
          </cell>
          <cell r="BU78">
            <v>27.88</v>
          </cell>
          <cell r="BV78">
            <v>27.88</v>
          </cell>
          <cell r="BW78">
            <v>27.88</v>
          </cell>
          <cell r="BX78">
            <v>27.88</v>
          </cell>
          <cell r="BY78">
            <v>27.88</v>
          </cell>
          <cell r="BZ78">
            <v>27.88</v>
          </cell>
          <cell r="CA78">
            <v>27.88</v>
          </cell>
          <cell r="CB78">
            <v>27.88</v>
          </cell>
          <cell r="CC78">
            <v>27.88</v>
          </cell>
          <cell r="CD78">
            <v>27.88</v>
          </cell>
          <cell r="CE78">
            <v>27.88</v>
          </cell>
          <cell r="CF78">
            <v>27.88</v>
          </cell>
          <cell r="CG78">
            <v>27.88</v>
          </cell>
          <cell r="CH78">
            <v>27.88</v>
          </cell>
          <cell r="CI78">
            <v>27.88</v>
          </cell>
          <cell r="CJ78">
            <v>27.88</v>
          </cell>
          <cell r="CK78">
            <v>27.88</v>
          </cell>
          <cell r="CL78">
            <v>27.88</v>
          </cell>
          <cell r="CM78">
            <v>27.88</v>
          </cell>
          <cell r="CN78">
            <v>27.88</v>
          </cell>
          <cell r="CO78">
            <v>27.88</v>
          </cell>
          <cell r="CP78">
            <v>27.88</v>
          </cell>
          <cell r="CQ78">
            <v>27.88</v>
          </cell>
          <cell r="CR78">
            <v>27.88</v>
          </cell>
          <cell r="CS78">
            <v>27.88</v>
          </cell>
          <cell r="CT78">
            <v>27.88</v>
          </cell>
          <cell r="CU78">
            <v>27.88</v>
          </cell>
          <cell r="CV78">
            <v>27.88</v>
          </cell>
          <cell r="CW78">
            <v>27.88</v>
          </cell>
          <cell r="CX78">
            <v>27.88</v>
          </cell>
          <cell r="CY78">
            <v>27.88</v>
          </cell>
          <cell r="CZ78">
            <v>27.88</v>
          </cell>
          <cell r="DA78">
            <v>27.88</v>
          </cell>
          <cell r="DB78">
            <v>27.88</v>
          </cell>
          <cell r="DC78">
            <v>27.88</v>
          </cell>
          <cell r="DD78">
            <v>27.88</v>
          </cell>
          <cell r="DE78">
            <v>27.88</v>
          </cell>
          <cell r="DF78">
            <v>27.88</v>
          </cell>
          <cell r="DG78">
            <v>27.88</v>
          </cell>
          <cell r="DH78">
            <v>27.88</v>
          </cell>
          <cell r="DI78">
            <v>27.88</v>
          </cell>
          <cell r="DJ78">
            <v>27.88</v>
          </cell>
          <cell r="DK78">
            <v>27.88</v>
          </cell>
          <cell r="DL78">
            <v>27.88</v>
          </cell>
          <cell r="DM78">
            <v>27.88</v>
          </cell>
          <cell r="DN78">
            <v>27.88</v>
          </cell>
          <cell r="DO78">
            <v>27.88</v>
          </cell>
          <cell r="DP78">
            <v>27.88</v>
          </cell>
          <cell r="DQ78">
            <v>27.88</v>
          </cell>
          <cell r="DR78">
            <v>27.88</v>
          </cell>
          <cell r="DS78">
            <v>27.88</v>
          </cell>
          <cell r="DT78">
            <v>27.88</v>
          </cell>
          <cell r="DU78">
            <v>27.88</v>
          </cell>
          <cell r="DV78">
            <v>27.88</v>
          </cell>
          <cell r="DW78">
            <v>27.88</v>
          </cell>
          <cell r="DX78">
            <v>27.88</v>
          </cell>
          <cell r="DY78">
            <v>27.88</v>
          </cell>
          <cell r="DZ78">
            <v>27.88</v>
          </cell>
          <cell r="EA78">
            <v>27.88</v>
          </cell>
          <cell r="EB78">
            <v>27.88</v>
          </cell>
          <cell r="EC78">
            <v>27.88</v>
          </cell>
          <cell r="ED78">
            <v>27.88</v>
          </cell>
          <cell r="EE78">
            <v>27.88</v>
          </cell>
          <cell r="EF78">
            <v>27.88</v>
          </cell>
          <cell r="EG78">
            <v>27.88</v>
          </cell>
          <cell r="EH78">
            <v>27.88</v>
          </cell>
          <cell r="EI78">
            <v>27.88</v>
          </cell>
          <cell r="EJ78">
            <v>27.88</v>
          </cell>
          <cell r="EK78">
            <v>27.88</v>
          </cell>
          <cell r="EL78">
            <v>27.88</v>
          </cell>
          <cell r="EM78">
            <v>27.88</v>
          </cell>
          <cell r="EN78">
            <v>27.88</v>
          </cell>
          <cell r="EO78">
            <v>27.88</v>
          </cell>
          <cell r="EP78">
            <v>27.88</v>
          </cell>
          <cell r="EQ78">
            <v>27.88</v>
          </cell>
          <cell r="ER78">
            <v>27.88</v>
          </cell>
          <cell r="ES78">
            <v>27.88</v>
          </cell>
          <cell r="ET78">
            <v>27.88</v>
          </cell>
          <cell r="EU78">
            <v>27.88</v>
          </cell>
          <cell r="EV78">
            <v>27.88</v>
          </cell>
          <cell r="EW78">
            <v>27.88</v>
          </cell>
          <cell r="EX78">
            <v>27.88</v>
          </cell>
          <cell r="EY78">
            <v>27.88</v>
          </cell>
          <cell r="EZ78">
            <v>27.88</v>
          </cell>
          <cell r="FA78">
            <v>27.88</v>
          </cell>
          <cell r="FB78">
            <v>27.88</v>
          </cell>
          <cell r="FC78">
            <v>27.88</v>
          </cell>
          <cell r="FD78">
            <v>27.88</v>
          </cell>
          <cell r="FE78">
            <v>27.88</v>
          </cell>
          <cell r="FF78">
            <v>27.88</v>
          </cell>
          <cell r="FG78">
            <v>27.88</v>
          </cell>
          <cell r="FH78">
            <v>27.88</v>
          </cell>
          <cell r="FI78">
            <v>27.88</v>
          </cell>
          <cell r="FJ78">
            <v>27.88</v>
          </cell>
          <cell r="FK78">
            <v>27.88</v>
          </cell>
          <cell r="FL78">
            <v>27.88</v>
          </cell>
          <cell r="FM78">
            <v>27.88</v>
          </cell>
          <cell r="FN78">
            <v>27.88</v>
          </cell>
        </row>
        <row r="79">
          <cell r="A79" t="str">
            <v>G3PIMEN3</v>
          </cell>
          <cell r="B79" t="str">
            <v>PIMENTEL 3</v>
          </cell>
          <cell r="C79">
            <v>51.23</v>
          </cell>
          <cell r="D79">
            <v>51.23</v>
          </cell>
          <cell r="E79">
            <v>51.23</v>
          </cell>
          <cell r="F79">
            <v>51.23</v>
          </cell>
          <cell r="G79">
            <v>51.23</v>
          </cell>
          <cell r="H79">
            <v>51.23</v>
          </cell>
          <cell r="I79">
            <v>51.23</v>
          </cell>
          <cell r="J79">
            <v>51.23</v>
          </cell>
          <cell r="K79">
            <v>51.23</v>
          </cell>
          <cell r="L79">
            <v>51.23</v>
          </cell>
          <cell r="M79">
            <v>51.23</v>
          </cell>
          <cell r="N79">
            <v>51.23</v>
          </cell>
          <cell r="O79">
            <v>51.23</v>
          </cell>
          <cell r="P79">
            <v>51.23</v>
          </cell>
          <cell r="Q79">
            <v>51.23</v>
          </cell>
          <cell r="R79">
            <v>51.23</v>
          </cell>
          <cell r="S79">
            <v>51.23</v>
          </cell>
          <cell r="T79">
            <v>51.23</v>
          </cell>
          <cell r="U79">
            <v>51.23</v>
          </cell>
          <cell r="V79">
            <v>51.23</v>
          </cell>
          <cell r="W79">
            <v>51.23</v>
          </cell>
          <cell r="X79">
            <v>51.23</v>
          </cell>
          <cell r="Y79">
            <v>51.23</v>
          </cell>
          <cell r="Z79">
            <v>51.23</v>
          </cell>
          <cell r="AA79">
            <v>51.23</v>
          </cell>
          <cell r="AB79">
            <v>51.23</v>
          </cell>
          <cell r="AC79">
            <v>51.23</v>
          </cell>
          <cell r="AD79">
            <v>51.23</v>
          </cell>
          <cell r="AE79">
            <v>51.23</v>
          </cell>
          <cell r="AF79">
            <v>51.23</v>
          </cell>
          <cell r="AG79">
            <v>51.23</v>
          </cell>
          <cell r="AH79">
            <v>51.23</v>
          </cell>
          <cell r="AI79">
            <v>51.23</v>
          </cell>
          <cell r="AJ79">
            <v>51.23</v>
          </cell>
          <cell r="AK79">
            <v>51.23</v>
          </cell>
          <cell r="AL79">
            <v>51.23</v>
          </cell>
          <cell r="AM79">
            <v>51.23</v>
          </cell>
          <cell r="AN79">
            <v>51.23</v>
          </cell>
          <cell r="AO79">
            <v>51.23</v>
          </cell>
          <cell r="AP79">
            <v>51.23</v>
          </cell>
          <cell r="AQ79">
            <v>51.23</v>
          </cell>
          <cell r="AR79">
            <v>51.23</v>
          </cell>
          <cell r="AS79">
            <v>51.23</v>
          </cell>
          <cell r="AT79">
            <v>51.23</v>
          </cell>
          <cell r="AU79">
            <v>51.23</v>
          </cell>
          <cell r="AV79">
            <v>51.23</v>
          </cell>
          <cell r="AW79">
            <v>51.23</v>
          </cell>
          <cell r="AX79">
            <v>51.23</v>
          </cell>
          <cell r="AY79">
            <v>51.23</v>
          </cell>
          <cell r="AZ79">
            <v>51.23</v>
          </cell>
          <cell r="BA79">
            <v>51.23</v>
          </cell>
          <cell r="BB79">
            <v>51.23</v>
          </cell>
          <cell r="BC79">
            <v>51.23</v>
          </cell>
          <cell r="BD79">
            <v>51.23</v>
          </cell>
          <cell r="BE79">
            <v>51.23</v>
          </cell>
          <cell r="BF79">
            <v>51.23</v>
          </cell>
          <cell r="BG79">
            <v>51.23</v>
          </cell>
          <cell r="BH79">
            <v>51.23</v>
          </cell>
          <cell r="BI79">
            <v>51.23</v>
          </cell>
          <cell r="BJ79">
            <v>51.23</v>
          </cell>
          <cell r="BK79">
            <v>51.23</v>
          </cell>
          <cell r="BL79">
            <v>51.23</v>
          </cell>
          <cell r="BM79">
            <v>51.23</v>
          </cell>
          <cell r="BN79">
            <v>51.23</v>
          </cell>
          <cell r="BO79">
            <v>51.23</v>
          </cell>
          <cell r="BP79">
            <v>51.23</v>
          </cell>
          <cell r="BQ79">
            <v>51.23</v>
          </cell>
          <cell r="BR79">
            <v>51.23</v>
          </cell>
          <cell r="BS79">
            <v>51.23</v>
          </cell>
          <cell r="BT79">
            <v>51.23</v>
          </cell>
          <cell r="BU79">
            <v>51.23</v>
          </cell>
          <cell r="BV79">
            <v>51.23</v>
          </cell>
          <cell r="BW79">
            <v>51.23</v>
          </cell>
          <cell r="BX79">
            <v>51.23</v>
          </cell>
          <cell r="BY79">
            <v>51.23</v>
          </cell>
          <cell r="BZ79">
            <v>51.23</v>
          </cell>
          <cell r="CA79">
            <v>51.23</v>
          </cell>
          <cell r="CB79">
            <v>51.23</v>
          </cell>
          <cell r="CC79">
            <v>51.23</v>
          </cell>
          <cell r="CD79">
            <v>51.23</v>
          </cell>
          <cell r="CE79">
            <v>51.23</v>
          </cell>
          <cell r="CF79">
            <v>51.23</v>
          </cell>
          <cell r="CG79">
            <v>51.23</v>
          </cell>
          <cell r="CH79">
            <v>51.23</v>
          </cell>
          <cell r="CI79">
            <v>51.23</v>
          </cell>
          <cell r="CJ79">
            <v>51.23</v>
          </cell>
          <cell r="CK79">
            <v>51.23</v>
          </cell>
          <cell r="CL79">
            <v>51.23</v>
          </cell>
          <cell r="CM79">
            <v>51.23</v>
          </cell>
          <cell r="CN79">
            <v>51.23</v>
          </cell>
          <cell r="CO79">
            <v>51.23</v>
          </cell>
          <cell r="CP79">
            <v>51.23</v>
          </cell>
          <cell r="CQ79">
            <v>51.23</v>
          </cell>
          <cell r="CR79">
            <v>51.23</v>
          </cell>
          <cell r="CS79">
            <v>51.23</v>
          </cell>
          <cell r="CT79">
            <v>51.23</v>
          </cell>
          <cell r="CU79">
            <v>51.23</v>
          </cell>
          <cell r="CV79">
            <v>51.23</v>
          </cell>
          <cell r="CW79">
            <v>51.23</v>
          </cell>
          <cell r="CX79">
            <v>51.23</v>
          </cell>
          <cell r="CY79">
            <v>51.23</v>
          </cell>
          <cell r="CZ79">
            <v>51.23</v>
          </cell>
          <cell r="DA79">
            <v>51.23</v>
          </cell>
          <cell r="DB79">
            <v>51.23</v>
          </cell>
          <cell r="DC79">
            <v>51.23</v>
          </cell>
          <cell r="DD79">
            <v>51.23</v>
          </cell>
          <cell r="DE79">
            <v>51.23</v>
          </cell>
          <cell r="DF79">
            <v>51.23</v>
          </cell>
          <cell r="DG79">
            <v>51.23</v>
          </cell>
          <cell r="DH79">
            <v>51.23</v>
          </cell>
          <cell r="DI79">
            <v>51.23</v>
          </cell>
          <cell r="DJ79">
            <v>51.23</v>
          </cell>
          <cell r="DK79">
            <v>51.23</v>
          </cell>
          <cell r="DL79">
            <v>51.23</v>
          </cell>
          <cell r="DM79">
            <v>51.23</v>
          </cell>
          <cell r="DN79">
            <v>51.23</v>
          </cell>
          <cell r="DO79">
            <v>51.23</v>
          </cell>
          <cell r="DP79">
            <v>51.23</v>
          </cell>
          <cell r="DQ79">
            <v>51.23</v>
          </cell>
          <cell r="DR79">
            <v>51.23</v>
          </cell>
          <cell r="DS79">
            <v>51.23</v>
          </cell>
          <cell r="DT79">
            <v>51.23</v>
          </cell>
          <cell r="DU79">
            <v>51.23</v>
          </cell>
          <cell r="DV79">
            <v>51.23</v>
          </cell>
          <cell r="DW79">
            <v>51.23</v>
          </cell>
          <cell r="DX79">
            <v>51.23</v>
          </cell>
          <cell r="DY79">
            <v>51.23</v>
          </cell>
          <cell r="DZ79">
            <v>51.23</v>
          </cell>
          <cell r="EA79">
            <v>51.23</v>
          </cell>
          <cell r="EB79">
            <v>51.23</v>
          </cell>
          <cell r="EC79">
            <v>51.23</v>
          </cell>
          <cell r="ED79">
            <v>51.23</v>
          </cell>
          <cell r="EE79">
            <v>51.23</v>
          </cell>
          <cell r="EF79">
            <v>51.23</v>
          </cell>
          <cell r="EG79">
            <v>51.23</v>
          </cell>
          <cell r="EH79">
            <v>51.23</v>
          </cell>
          <cell r="EI79">
            <v>51.23</v>
          </cell>
          <cell r="EJ79">
            <v>51.23</v>
          </cell>
          <cell r="EK79">
            <v>51.23</v>
          </cell>
          <cell r="EL79">
            <v>51.23</v>
          </cell>
          <cell r="EM79">
            <v>51.23</v>
          </cell>
          <cell r="EN79">
            <v>51.23</v>
          </cell>
          <cell r="EO79">
            <v>51.23</v>
          </cell>
          <cell r="EP79">
            <v>51.23</v>
          </cell>
          <cell r="EQ79">
            <v>51.23</v>
          </cell>
          <cell r="ER79">
            <v>51.23</v>
          </cell>
          <cell r="ES79">
            <v>51.23</v>
          </cell>
          <cell r="ET79">
            <v>51.23</v>
          </cell>
          <cell r="EU79">
            <v>51.23</v>
          </cell>
          <cell r="EV79">
            <v>51.23</v>
          </cell>
          <cell r="EW79">
            <v>51.23</v>
          </cell>
          <cell r="EX79">
            <v>51.23</v>
          </cell>
          <cell r="EY79">
            <v>51.23</v>
          </cell>
          <cell r="EZ79">
            <v>51.23</v>
          </cell>
          <cell r="FA79">
            <v>51.23</v>
          </cell>
          <cell r="FB79">
            <v>51.23</v>
          </cell>
          <cell r="FC79">
            <v>51.23</v>
          </cell>
          <cell r="FD79">
            <v>51.23</v>
          </cell>
          <cell r="FE79">
            <v>51.23</v>
          </cell>
          <cell r="FF79">
            <v>51.23</v>
          </cell>
          <cell r="FG79">
            <v>51.23</v>
          </cell>
          <cell r="FH79">
            <v>51.23</v>
          </cell>
          <cell r="FI79">
            <v>51.23</v>
          </cell>
          <cell r="FJ79">
            <v>51.23</v>
          </cell>
          <cell r="FK79">
            <v>51.23</v>
          </cell>
          <cell r="FL79">
            <v>51.23</v>
          </cell>
          <cell r="FM79">
            <v>51.23</v>
          </cell>
          <cell r="FN79">
            <v>51.23</v>
          </cell>
        </row>
        <row r="80">
          <cell r="A80" t="str">
            <v>G3PINAL1</v>
          </cell>
          <cell r="B80" t="str">
            <v>PINALITO 1</v>
          </cell>
          <cell r="C80">
            <v>0</v>
          </cell>
          <cell r="D80">
            <v>0</v>
          </cell>
          <cell r="E80">
            <v>0</v>
          </cell>
          <cell r="F80">
            <v>0</v>
          </cell>
          <cell r="G80">
            <v>0</v>
          </cell>
          <cell r="H80">
            <v>0</v>
          </cell>
          <cell r="I80">
            <v>0</v>
          </cell>
          <cell r="J80">
            <v>0</v>
          </cell>
          <cell r="K80">
            <v>25</v>
          </cell>
          <cell r="L80">
            <v>25</v>
          </cell>
          <cell r="M80">
            <v>25</v>
          </cell>
          <cell r="N80">
            <v>25</v>
          </cell>
          <cell r="O80">
            <v>25</v>
          </cell>
          <cell r="P80">
            <v>0</v>
          </cell>
          <cell r="Q80">
            <v>0</v>
          </cell>
          <cell r="R80">
            <v>0</v>
          </cell>
          <cell r="S80">
            <v>0</v>
          </cell>
          <cell r="T80">
            <v>0</v>
          </cell>
          <cell r="U80">
            <v>25</v>
          </cell>
          <cell r="V80">
            <v>25</v>
          </cell>
          <cell r="W80">
            <v>25</v>
          </cell>
          <cell r="X80">
            <v>25</v>
          </cell>
          <cell r="Y80">
            <v>25</v>
          </cell>
          <cell r="Z80">
            <v>25</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25</v>
          </cell>
          <cell r="BH80">
            <v>25</v>
          </cell>
          <cell r="BI80">
            <v>25</v>
          </cell>
          <cell r="BJ80">
            <v>25</v>
          </cell>
          <cell r="BK80">
            <v>25</v>
          </cell>
          <cell r="BL80">
            <v>0</v>
          </cell>
          <cell r="BM80">
            <v>0</v>
          </cell>
          <cell r="BN80">
            <v>0</v>
          </cell>
          <cell r="BO80">
            <v>0</v>
          </cell>
          <cell r="BP80">
            <v>0</v>
          </cell>
          <cell r="BQ80">
            <v>25</v>
          </cell>
          <cell r="BR80">
            <v>25</v>
          </cell>
          <cell r="BS80">
            <v>25</v>
          </cell>
          <cell r="BT80">
            <v>25</v>
          </cell>
          <cell r="BU80">
            <v>25</v>
          </cell>
          <cell r="BV80">
            <v>25</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25</v>
          </cell>
          <cell r="DD80">
            <v>25</v>
          </cell>
          <cell r="DE80">
            <v>25</v>
          </cell>
          <cell r="DF80">
            <v>25</v>
          </cell>
          <cell r="DG80">
            <v>25</v>
          </cell>
          <cell r="DH80">
            <v>0</v>
          </cell>
          <cell r="DI80">
            <v>0</v>
          </cell>
          <cell r="DJ80">
            <v>0</v>
          </cell>
          <cell r="DK80">
            <v>0</v>
          </cell>
          <cell r="DL80">
            <v>0</v>
          </cell>
          <cell r="DM80">
            <v>25</v>
          </cell>
          <cell r="DN80">
            <v>25</v>
          </cell>
          <cell r="DO80">
            <v>25</v>
          </cell>
          <cell r="DP80">
            <v>25</v>
          </cell>
          <cell r="DQ80">
            <v>25</v>
          </cell>
          <cell r="DR80">
            <v>25</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25</v>
          </cell>
          <cell r="EZ80">
            <v>25</v>
          </cell>
          <cell r="FA80">
            <v>25</v>
          </cell>
          <cell r="FB80">
            <v>25</v>
          </cell>
          <cell r="FC80">
            <v>25</v>
          </cell>
          <cell r="FD80">
            <v>0</v>
          </cell>
          <cell r="FE80">
            <v>0</v>
          </cell>
          <cell r="FF80">
            <v>0</v>
          </cell>
          <cell r="FG80">
            <v>0</v>
          </cell>
          <cell r="FH80">
            <v>0</v>
          </cell>
          <cell r="FI80">
            <v>25</v>
          </cell>
          <cell r="FJ80">
            <v>25</v>
          </cell>
          <cell r="FK80">
            <v>25</v>
          </cell>
          <cell r="FL80">
            <v>25</v>
          </cell>
          <cell r="FM80">
            <v>25</v>
          </cell>
          <cell r="FN80">
            <v>25</v>
          </cell>
        </row>
        <row r="81">
          <cell r="A81" t="str">
            <v>G3PINAL2</v>
          </cell>
          <cell r="B81" t="str">
            <v>PINALITO 2</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25</v>
          </cell>
          <cell r="AJ81">
            <v>25</v>
          </cell>
          <cell r="AK81">
            <v>25</v>
          </cell>
          <cell r="AL81">
            <v>25</v>
          </cell>
          <cell r="AM81">
            <v>25</v>
          </cell>
          <cell r="AN81">
            <v>0</v>
          </cell>
          <cell r="AO81">
            <v>0</v>
          </cell>
          <cell r="AP81">
            <v>0</v>
          </cell>
          <cell r="AQ81">
            <v>0</v>
          </cell>
          <cell r="AR81">
            <v>0</v>
          </cell>
          <cell r="AS81">
            <v>25</v>
          </cell>
          <cell r="AT81">
            <v>25</v>
          </cell>
          <cell r="AU81">
            <v>25</v>
          </cell>
          <cell r="AV81">
            <v>25</v>
          </cell>
          <cell r="AW81">
            <v>25</v>
          </cell>
          <cell r="AX81">
            <v>25</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25</v>
          </cell>
          <cell r="CF81">
            <v>25</v>
          </cell>
          <cell r="CG81">
            <v>25</v>
          </cell>
          <cell r="CH81">
            <v>25</v>
          </cell>
          <cell r="CI81">
            <v>25</v>
          </cell>
          <cell r="CJ81">
            <v>0</v>
          </cell>
          <cell r="CK81">
            <v>0</v>
          </cell>
          <cell r="CL81">
            <v>0</v>
          </cell>
          <cell r="CM81">
            <v>0</v>
          </cell>
          <cell r="CN81">
            <v>0</v>
          </cell>
          <cell r="CO81">
            <v>25</v>
          </cell>
          <cell r="CP81">
            <v>25</v>
          </cell>
          <cell r="CQ81">
            <v>25</v>
          </cell>
          <cell r="CR81">
            <v>25</v>
          </cell>
          <cell r="CS81">
            <v>25</v>
          </cell>
          <cell r="CT81">
            <v>25</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v>0</v>
          </cell>
          <cell r="DU81">
            <v>0</v>
          </cell>
          <cell r="DV81">
            <v>0</v>
          </cell>
          <cell r="DW81">
            <v>0</v>
          </cell>
          <cell r="DX81">
            <v>0</v>
          </cell>
          <cell r="DY81">
            <v>0</v>
          </cell>
          <cell r="DZ81">
            <v>0</v>
          </cell>
          <cell r="EA81">
            <v>25</v>
          </cell>
          <cell r="EB81">
            <v>25</v>
          </cell>
          <cell r="EC81">
            <v>25</v>
          </cell>
          <cell r="ED81">
            <v>25</v>
          </cell>
          <cell r="EE81">
            <v>25</v>
          </cell>
          <cell r="EF81">
            <v>0</v>
          </cell>
          <cell r="EG81">
            <v>0</v>
          </cell>
          <cell r="EH81">
            <v>0</v>
          </cell>
          <cell r="EI81">
            <v>0</v>
          </cell>
          <cell r="EJ81">
            <v>0</v>
          </cell>
          <cell r="EK81">
            <v>25</v>
          </cell>
          <cell r="EL81">
            <v>25</v>
          </cell>
          <cell r="EM81">
            <v>25</v>
          </cell>
          <cell r="EN81">
            <v>25</v>
          </cell>
          <cell r="EO81">
            <v>25</v>
          </cell>
          <cell r="EP81">
            <v>25</v>
          </cell>
          <cell r="EQ81">
            <v>0</v>
          </cell>
          <cell r="ER81">
            <v>0</v>
          </cell>
          <cell r="ES81">
            <v>0</v>
          </cell>
          <cell r="ET81">
            <v>0</v>
          </cell>
          <cell r="EU81">
            <v>0</v>
          </cell>
          <cell r="EV81">
            <v>0</v>
          </cell>
          <cell r="EW81">
            <v>0</v>
          </cell>
          <cell r="EX81">
            <v>0</v>
          </cell>
          <cell r="EY81">
            <v>0</v>
          </cell>
          <cell r="EZ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row>
        <row r="82">
          <cell r="A82" t="str">
            <v>G3PSCANO</v>
          </cell>
          <cell r="B82" t="str">
            <v>PARQUE SOLAR CANOA</v>
          </cell>
          <cell r="C82">
            <v>25</v>
          </cell>
          <cell r="D82">
            <v>25</v>
          </cell>
          <cell r="E82">
            <v>25</v>
          </cell>
          <cell r="F82">
            <v>25</v>
          </cell>
          <cell r="G82">
            <v>25</v>
          </cell>
          <cell r="H82">
            <v>25</v>
          </cell>
          <cell r="I82">
            <v>25</v>
          </cell>
          <cell r="J82">
            <v>25</v>
          </cell>
          <cell r="K82">
            <v>25</v>
          </cell>
          <cell r="L82">
            <v>25</v>
          </cell>
          <cell r="M82">
            <v>25</v>
          </cell>
          <cell r="N82">
            <v>25</v>
          </cell>
          <cell r="O82">
            <v>25</v>
          </cell>
          <cell r="P82">
            <v>25</v>
          </cell>
          <cell r="Q82">
            <v>25</v>
          </cell>
          <cell r="R82">
            <v>25</v>
          </cell>
          <cell r="S82">
            <v>25</v>
          </cell>
          <cell r="T82">
            <v>25</v>
          </cell>
          <cell r="U82">
            <v>25</v>
          </cell>
          <cell r="V82">
            <v>25</v>
          </cell>
          <cell r="W82">
            <v>25</v>
          </cell>
          <cell r="X82">
            <v>25</v>
          </cell>
          <cell r="Y82">
            <v>25</v>
          </cell>
          <cell r="Z82">
            <v>25</v>
          </cell>
          <cell r="AA82">
            <v>25</v>
          </cell>
          <cell r="AB82">
            <v>25</v>
          </cell>
          <cell r="AC82">
            <v>25</v>
          </cell>
          <cell r="AD82">
            <v>25</v>
          </cell>
          <cell r="AE82">
            <v>25</v>
          </cell>
          <cell r="AF82">
            <v>25</v>
          </cell>
          <cell r="AG82">
            <v>25</v>
          </cell>
          <cell r="AH82">
            <v>25</v>
          </cell>
          <cell r="AI82">
            <v>25</v>
          </cell>
          <cell r="AJ82">
            <v>25</v>
          </cell>
          <cell r="AK82">
            <v>25</v>
          </cell>
          <cell r="AL82">
            <v>25</v>
          </cell>
          <cell r="AM82">
            <v>25</v>
          </cell>
          <cell r="AN82">
            <v>25</v>
          </cell>
          <cell r="AO82">
            <v>25</v>
          </cell>
          <cell r="AP82">
            <v>25</v>
          </cell>
          <cell r="AQ82">
            <v>25</v>
          </cell>
          <cell r="AR82">
            <v>25</v>
          </cell>
          <cell r="AS82">
            <v>25</v>
          </cell>
          <cell r="AT82">
            <v>25</v>
          </cell>
          <cell r="AU82">
            <v>25</v>
          </cell>
          <cell r="AV82">
            <v>25</v>
          </cell>
          <cell r="AW82">
            <v>25</v>
          </cell>
          <cell r="AX82">
            <v>25</v>
          </cell>
          <cell r="AY82">
            <v>25</v>
          </cell>
          <cell r="AZ82">
            <v>25</v>
          </cell>
          <cell r="BA82">
            <v>25</v>
          </cell>
          <cell r="BB82">
            <v>25</v>
          </cell>
          <cell r="BC82">
            <v>25</v>
          </cell>
          <cell r="BD82">
            <v>25</v>
          </cell>
          <cell r="BE82">
            <v>25</v>
          </cell>
          <cell r="BF82">
            <v>25</v>
          </cell>
          <cell r="BG82">
            <v>25</v>
          </cell>
          <cell r="BH82">
            <v>25</v>
          </cell>
          <cell r="BI82">
            <v>25</v>
          </cell>
          <cell r="BJ82">
            <v>25</v>
          </cell>
          <cell r="BK82">
            <v>25</v>
          </cell>
          <cell r="BL82">
            <v>25</v>
          </cell>
          <cell r="BM82">
            <v>25</v>
          </cell>
          <cell r="BN82">
            <v>25</v>
          </cell>
          <cell r="BO82">
            <v>25</v>
          </cell>
          <cell r="BP82">
            <v>25</v>
          </cell>
          <cell r="BQ82">
            <v>25</v>
          </cell>
          <cell r="BR82">
            <v>25</v>
          </cell>
          <cell r="BS82">
            <v>25</v>
          </cell>
          <cell r="BT82">
            <v>25</v>
          </cell>
          <cell r="BU82">
            <v>25</v>
          </cell>
          <cell r="BV82">
            <v>25</v>
          </cell>
          <cell r="BW82">
            <v>25</v>
          </cell>
          <cell r="BX82">
            <v>25</v>
          </cell>
          <cell r="BY82">
            <v>25</v>
          </cell>
          <cell r="BZ82">
            <v>25</v>
          </cell>
          <cell r="CA82">
            <v>25</v>
          </cell>
          <cell r="CB82">
            <v>25</v>
          </cell>
          <cell r="CC82">
            <v>25</v>
          </cell>
          <cell r="CD82">
            <v>25</v>
          </cell>
          <cell r="CE82">
            <v>25</v>
          </cell>
          <cell r="CF82">
            <v>25</v>
          </cell>
          <cell r="CG82">
            <v>25</v>
          </cell>
          <cell r="CH82">
            <v>25</v>
          </cell>
          <cell r="CI82">
            <v>25</v>
          </cell>
          <cell r="CJ82">
            <v>25</v>
          </cell>
          <cell r="CK82">
            <v>25</v>
          </cell>
          <cell r="CL82">
            <v>25</v>
          </cell>
          <cell r="CM82">
            <v>25</v>
          </cell>
          <cell r="CN82">
            <v>25</v>
          </cell>
          <cell r="CO82">
            <v>25</v>
          </cell>
          <cell r="CP82">
            <v>25</v>
          </cell>
          <cell r="CQ82">
            <v>25</v>
          </cell>
          <cell r="CR82">
            <v>25</v>
          </cell>
          <cell r="CS82">
            <v>25</v>
          </cell>
          <cell r="CT82">
            <v>25</v>
          </cell>
          <cell r="CU82">
            <v>25</v>
          </cell>
          <cell r="CV82">
            <v>25</v>
          </cell>
          <cell r="CW82">
            <v>25</v>
          </cell>
          <cell r="CX82">
            <v>25</v>
          </cell>
          <cell r="CY82">
            <v>25</v>
          </cell>
          <cell r="CZ82">
            <v>25</v>
          </cell>
          <cell r="DA82">
            <v>25</v>
          </cell>
          <cell r="DB82">
            <v>25</v>
          </cell>
          <cell r="DC82">
            <v>25</v>
          </cell>
          <cell r="DD82">
            <v>25</v>
          </cell>
          <cell r="DE82">
            <v>25</v>
          </cell>
          <cell r="DF82">
            <v>25</v>
          </cell>
          <cell r="DG82">
            <v>25</v>
          </cell>
          <cell r="DH82">
            <v>25</v>
          </cell>
          <cell r="DI82">
            <v>25</v>
          </cell>
          <cell r="DJ82">
            <v>25</v>
          </cell>
          <cell r="DK82">
            <v>25</v>
          </cell>
          <cell r="DL82">
            <v>25</v>
          </cell>
          <cell r="DM82">
            <v>25</v>
          </cell>
          <cell r="DN82">
            <v>25</v>
          </cell>
          <cell r="DO82">
            <v>25</v>
          </cell>
          <cell r="DP82">
            <v>25</v>
          </cell>
          <cell r="DQ82">
            <v>25</v>
          </cell>
          <cell r="DR82">
            <v>25</v>
          </cell>
          <cell r="DS82">
            <v>25</v>
          </cell>
          <cell r="DT82">
            <v>25</v>
          </cell>
          <cell r="DU82">
            <v>25</v>
          </cell>
          <cell r="DV82">
            <v>25</v>
          </cell>
          <cell r="DW82">
            <v>25</v>
          </cell>
          <cell r="DX82">
            <v>25</v>
          </cell>
          <cell r="DY82">
            <v>25</v>
          </cell>
          <cell r="DZ82">
            <v>25</v>
          </cell>
          <cell r="EA82">
            <v>25</v>
          </cell>
          <cell r="EB82">
            <v>25</v>
          </cell>
          <cell r="EC82">
            <v>25</v>
          </cell>
          <cell r="ED82">
            <v>25</v>
          </cell>
          <cell r="EE82">
            <v>25</v>
          </cell>
          <cell r="EF82">
            <v>25</v>
          </cell>
          <cell r="EG82">
            <v>25</v>
          </cell>
          <cell r="EH82">
            <v>25</v>
          </cell>
          <cell r="EI82">
            <v>25</v>
          </cell>
          <cell r="EJ82">
            <v>25</v>
          </cell>
          <cell r="EK82">
            <v>25</v>
          </cell>
          <cell r="EL82">
            <v>25</v>
          </cell>
          <cell r="EM82">
            <v>25</v>
          </cell>
          <cell r="EN82">
            <v>25</v>
          </cell>
          <cell r="EO82">
            <v>25</v>
          </cell>
          <cell r="EP82">
            <v>25</v>
          </cell>
          <cell r="EQ82">
            <v>25</v>
          </cell>
          <cell r="ER82">
            <v>25</v>
          </cell>
          <cell r="ES82">
            <v>25</v>
          </cell>
          <cell r="ET82">
            <v>25</v>
          </cell>
          <cell r="EU82">
            <v>25</v>
          </cell>
          <cell r="EV82">
            <v>25</v>
          </cell>
          <cell r="EW82">
            <v>25</v>
          </cell>
          <cell r="EX82">
            <v>25</v>
          </cell>
          <cell r="EY82">
            <v>25</v>
          </cell>
          <cell r="EZ82">
            <v>25</v>
          </cell>
          <cell r="FA82">
            <v>25</v>
          </cell>
          <cell r="FB82">
            <v>25</v>
          </cell>
          <cell r="FC82">
            <v>25</v>
          </cell>
          <cell r="FD82">
            <v>25</v>
          </cell>
          <cell r="FE82">
            <v>25</v>
          </cell>
          <cell r="FF82">
            <v>25</v>
          </cell>
          <cell r="FG82">
            <v>25</v>
          </cell>
          <cell r="FH82">
            <v>25</v>
          </cell>
          <cell r="FI82">
            <v>25</v>
          </cell>
          <cell r="FJ82">
            <v>25</v>
          </cell>
          <cell r="FK82">
            <v>25</v>
          </cell>
          <cell r="FL82">
            <v>25</v>
          </cell>
          <cell r="FM82">
            <v>25</v>
          </cell>
          <cell r="FN82">
            <v>25</v>
          </cell>
        </row>
        <row r="83">
          <cell r="A83" t="str">
            <v>G3PSGIRA</v>
          </cell>
          <cell r="B83" t="str">
            <v>PARQUE SOLAR GIRASOL</v>
          </cell>
          <cell r="C83">
            <v>105</v>
          </cell>
          <cell r="D83">
            <v>105</v>
          </cell>
          <cell r="E83">
            <v>105</v>
          </cell>
          <cell r="F83">
            <v>105</v>
          </cell>
          <cell r="G83">
            <v>105</v>
          </cell>
          <cell r="H83">
            <v>105</v>
          </cell>
          <cell r="I83">
            <v>105</v>
          </cell>
          <cell r="J83">
            <v>105</v>
          </cell>
          <cell r="K83">
            <v>105</v>
          </cell>
          <cell r="L83">
            <v>105</v>
          </cell>
          <cell r="M83">
            <v>105</v>
          </cell>
          <cell r="N83">
            <v>105</v>
          </cell>
          <cell r="O83">
            <v>105</v>
          </cell>
          <cell r="P83">
            <v>105</v>
          </cell>
          <cell r="Q83">
            <v>105</v>
          </cell>
          <cell r="R83">
            <v>105</v>
          </cell>
          <cell r="S83">
            <v>105</v>
          </cell>
          <cell r="T83">
            <v>105</v>
          </cell>
          <cell r="U83">
            <v>105</v>
          </cell>
          <cell r="V83">
            <v>105</v>
          </cell>
          <cell r="W83">
            <v>105</v>
          </cell>
          <cell r="X83">
            <v>105</v>
          </cell>
          <cell r="Y83">
            <v>105</v>
          </cell>
          <cell r="Z83">
            <v>105</v>
          </cell>
          <cell r="AA83">
            <v>105</v>
          </cell>
          <cell r="AB83">
            <v>105</v>
          </cell>
          <cell r="AC83">
            <v>105</v>
          </cell>
          <cell r="AD83">
            <v>105</v>
          </cell>
          <cell r="AE83">
            <v>105</v>
          </cell>
          <cell r="AF83">
            <v>105</v>
          </cell>
          <cell r="AG83">
            <v>105</v>
          </cell>
          <cell r="AH83">
            <v>105</v>
          </cell>
          <cell r="AI83">
            <v>105</v>
          </cell>
          <cell r="AJ83">
            <v>105</v>
          </cell>
          <cell r="AK83">
            <v>105</v>
          </cell>
          <cell r="AL83">
            <v>105</v>
          </cell>
          <cell r="AM83">
            <v>105</v>
          </cell>
          <cell r="AN83">
            <v>105</v>
          </cell>
          <cell r="AO83">
            <v>105</v>
          </cell>
          <cell r="AP83">
            <v>105</v>
          </cell>
          <cell r="AQ83">
            <v>105</v>
          </cell>
          <cell r="AR83">
            <v>105</v>
          </cell>
          <cell r="AS83">
            <v>105</v>
          </cell>
          <cell r="AT83">
            <v>105</v>
          </cell>
          <cell r="AU83">
            <v>105</v>
          </cell>
          <cell r="AV83">
            <v>105</v>
          </cell>
          <cell r="AW83">
            <v>105</v>
          </cell>
          <cell r="AX83">
            <v>105</v>
          </cell>
          <cell r="AY83">
            <v>105</v>
          </cell>
          <cell r="AZ83">
            <v>105</v>
          </cell>
          <cell r="BA83">
            <v>105</v>
          </cell>
          <cell r="BB83">
            <v>105</v>
          </cell>
          <cell r="BC83">
            <v>105</v>
          </cell>
          <cell r="BD83">
            <v>105</v>
          </cell>
          <cell r="BE83">
            <v>105</v>
          </cell>
          <cell r="BF83">
            <v>105</v>
          </cell>
          <cell r="BG83">
            <v>105</v>
          </cell>
          <cell r="BH83">
            <v>105</v>
          </cell>
          <cell r="BI83">
            <v>105</v>
          </cell>
          <cell r="BJ83">
            <v>105</v>
          </cell>
          <cell r="BK83">
            <v>105</v>
          </cell>
          <cell r="BL83">
            <v>105</v>
          </cell>
          <cell r="BM83">
            <v>105</v>
          </cell>
          <cell r="BN83">
            <v>105</v>
          </cell>
          <cell r="BO83">
            <v>105</v>
          </cell>
          <cell r="BP83">
            <v>105</v>
          </cell>
          <cell r="BQ83">
            <v>105</v>
          </cell>
          <cell r="BR83">
            <v>105</v>
          </cell>
          <cell r="BS83">
            <v>105</v>
          </cell>
          <cell r="BT83">
            <v>105</v>
          </cell>
          <cell r="BU83">
            <v>105</v>
          </cell>
          <cell r="BV83">
            <v>105</v>
          </cell>
          <cell r="BW83">
            <v>105</v>
          </cell>
          <cell r="BX83">
            <v>105</v>
          </cell>
          <cell r="BY83">
            <v>105</v>
          </cell>
          <cell r="BZ83">
            <v>105</v>
          </cell>
          <cell r="CA83">
            <v>105</v>
          </cell>
          <cell r="CB83">
            <v>105</v>
          </cell>
          <cell r="CC83">
            <v>105</v>
          </cell>
          <cell r="CD83">
            <v>105</v>
          </cell>
          <cell r="CE83">
            <v>105</v>
          </cell>
          <cell r="CF83">
            <v>105</v>
          </cell>
          <cell r="CG83">
            <v>105</v>
          </cell>
          <cell r="CH83">
            <v>105</v>
          </cell>
          <cell r="CI83">
            <v>105</v>
          </cell>
          <cell r="CJ83">
            <v>105</v>
          </cell>
          <cell r="CK83">
            <v>105</v>
          </cell>
          <cell r="CL83">
            <v>105</v>
          </cell>
          <cell r="CM83">
            <v>105</v>
          </cell>
          <cell r="CN83">
            <v>105</v>
          </cell>
          <cell r="CO83">
            <v>105</v>
          </cell>
          <cell r="CP83">
            <v>105</v>
          </cell>
          <cell r="CQ83">
            <v>105</v>
          </cell>
          <cell r="CR83">
            <v>105</v>
          </cell>
          <cell r="CS83">
            <v>105</v>
          </cell>
          <cell r="CT83">
            <v>105</v>
          </cell>
          <cell r="CU83">
            <v>105</v>
          </cell>
          <cell r="CV83">
            <v>105</v>
          </cell>
          <cell r="CW83">
            <v>105</v>
          </cell>
          <cell r="CX83">
            <v>105</v>
          </cell>
          <cell r="CY83">
            <v>105</v>
          </cell>
          <cell r="CZ83">
            <v>105</v>
          </cell>
          <cell r="DA83">
            <v>105</v>
          </cell>
          <cell r="DB83">
            <v>105</v>
          </cell>
          <cell r="DC83">
            <v>105</v>
          </cell>
          <cell r="DD83">
            <v>105</v>
          </cell>
          <cell r="DE83">
            <v>105</v>
          </cell>
          <cell r="DF83">
            <v>105</v>
          </cell>
          <cell r="DG83">
            <v>105</v>
          </cell>
          <cell r="DH83">
            <v>105</v>
          </cell>
          <cell r="DI83">
            <v>105</v>
          </cell>
          <cell r="DJ83">
            <v>105</v>
          </cell>
          <cell r="DK83">
            <v>105</v>
          </cell>
          <cell r="DL83">
            <v>105</v>
          </cell>
          <cell r="DM83">
            <v>105</v>
          </cell>
          <cell r="DN83">
            <v>105</v>
          </cell>
          <cell r="DO83">
            <v>105</v>
          </cell>
          <cell r="DP83">
            <v>105</v>
          </cell>
          <cell r="DQ83">
            <v>105</v>
          </cell>
          <cell r="DR83">
            <v>105</v>
          </cell>
          <cell r="DS83">
            <v>105</v>
          </cell>
          <cell r="DT83">
            <v>105</v>
          </cell>
          <cell r="DU83">
            <v>105</v>
          </cell>
          <cell r="DV83">
            <v>105</v>
          </cell>
          <cell r="DW83">
            <v>105</v>
          </cell>
          <cell r="DX83">
            <v>105</v>
          </cell>
          <cell r="DY83">
            <v>105</v>
          </cell>
          <cell r="DZ83">
            <v>105</v>
          </cell>
          <cell r="EA83">
            <v>105</v>
          </cell>
          <cell r="EB83">
            <v>105</v>
          </cell>
          <cell r="EC83">
            <v>105</v>
          </cell>
          <cell r="ED83">
            <v>105</v>
          </cell>
          <cell r="EE83">
            <v>105</v>
          </cell>
          <cell r="EF83">
            <v>105</v>
          </cell>
          <cell r="EG83">
            <v>105</v>
          </cell>
          <cell r="EH83">
            <v>105</v>
          </cell>
          <cell r="EI83">
            <v>105</v>
          </cell>
          <cell r="EJ83">
            <v>105</v>
          </cell>
          <cell r="EK83">
            <v>105</v>
          </cell>
          <cell r="EL83">
            <v>105</v>
          </cell>
          <cell r="EM83">
            <v>105</v>
          </cell>
          <cell r="EN83">
            <v>105</v>
          </cell>
          <cell r="EO83">
            <v>105</v>
          </cell>
          <cell r="EP83">
            <v>105</v>
          </cell>
          <cell r="EQ83">
            <v>105</v>
          </cell>
          <cell r="ER83">
            <v>105</v>
          </cell>
          <cell r="ES83">
            <v>105</v>
          </cell>
          <cell r="ET83">
            <v>105</v>
          </cell>
          <cell r="EU83">
            <v>105</v>
          </cell>
          <cell r="EV83">
            <v>105</v>
          </cell>
          <cell r="EW83">
            <v>105</v>
          </cell>
          <cell r="EX83">
            <v>105</v>
          </cell>
          <cell r="EY83">
            <v>105</v>
          </cell>
          <cell r="EZ83">
            <v>105</v>
          </cell>
          <cell r="FA83">
            <v>105</v>
          </cell>
          <cell r="FB83">
            <v>105</v>
          </cell>
          <cell r="FC83">
            <v>105</v>
          </cell>
          <cell r="FD83">
            <v>105</v>
          </cell>
          <cell r="FE83">
            <v>105</v>
          </cell>
          <cell r="FF83">
            <v>105</v>
          </cell>
          <cell r="FG83">
            <v>105</v>
          </cell>
          <cell r="FH83">
            <v>105</v>
          </cell>
          <cell r="FI83">
            <v>105</v>
          </cell>
          <cell r="FJ83">
            <v>105</v>
          </cell>
          <cell r="FK83">
            <v>105</v>
          </cell>
          <cell r="FL83">
            <v>105</v>
          </cell>
          <cell r="FM83">
            <v>105</v>
          </cell>
          <cell r="FN83">
            <v>105</v>
          </cell>
        </row>
        <row r="84">
          <cell r="A84" t="str">
            <v>G3Q1SPFO</v>
          </cell>
          <cell r="B84" t="str">
            <v>QUISQUEYA 1 SAN PEDRO FO</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0</v>
          </cell>
          <cell r="FI84">
            <v>0</v>
          </cell>
          <cell r="FJ84">
            <v>0</v>
          </cell>
          <cell r="FK84">
            <v>0</v>
          </cell>
          <cell r="FL84">
            <v>0</v>
          </cell>
          <cell r="FM84">
            <v>0</v>
          </cell>
          <cell r="FN84">
            <v>0</v>
          </cell>
        </row>
        <row r="85">
          <cell r="A85" t="str">
            <v>G3Q1SPGN</v>
          </cell>
          <cell r="B85" t="str">
            <v>QUISQUEYA 1 SAN PEDRO GN</v>
          </cell>
          <cell r="C85">
            <v>68</v>
          </cell>
          <cell r="D85">
            <v>68</v>
          </cell>
          <cell r="E85">
            <v>68</v>
          </cell>
          <cell r="F85">
            <v>68</v>
          </cell>
          <cell r="G85">
            <v>68</v>
          </cell>
          <cell r="H85">
            <v>68</v>
          </cell>
          <cell r="I85">
            <v>68</v>
          </cell>
          <cell r="J85">
            <v>68</v>
          </cell>
          <cell r="K85">
            <v>68</v>
          </cell>
          <cell r="L85">
            <v>68</v>
          </cell>
          <cell r="M85">
            <v>68</v>
          </cell>
          <cell r="N85">
            <v>68</v>
          </cell>
          <cell r="O85">
            <v>68</v>
          </cell>
          <cell r="P85">
            <v>68</v>
          </cell>
          <cell r="Q85">
            <v>68</v>
          </cell>
          <cell r="R85">
            <v>68</v>
          </cell>
          <cell r="S85">
            <v>68</v>
          </cell>
          <cell r="T85">
            <v>68</v>
          </cell>
          <cell r="U85">
            <v>68</v>
          </cell>
          <cell r="V85">
            <v>68</v>
          </cell>
          <cell r="W85">
            <v>68</v>
          </cell>
          <cell r="X85">
            <v>68</v>
          </cell>
          <cell r="Y85">
            <v>68</v>
          </cell>
          <cell r="Z85">
            <v>68</v>
          </cell>
          <cell r="AA85">
            <v>68</v>
          </cell>
          <cell r="AB85">
            <v>68</v>
          </cell>
          <cell r="AC85">
            <v>68</v>
          </cell>
          <cell r="AD85">
            <v>68</v>
          </cell>
          <cell r="AE85">
            <v>68</v>
          </cell>
          <cell r="AF85">
            <v>68</v>
          </cell>
          <cell r="AG85">
            <v>68</v>
          </cell>
          <cell r="AH85">
            <v>68</v>
          </cell>
          <cell r="AI85">
            <v>68</v>
          </cell>
          <cell r="AJ85">
            <v>68</v>
          </cell>
          <cell r="AK85">
            <v>68</v>
          </cell>
          <cell r="AL85">
            <v>68</v>
          </cell>
          <cell r="AM85">
            <v>68</v>
          </cell>
          <cell r="AN85">
            <v>68</v>
          </cell>
          <cell r="AO85">
            <v>68</v>
          </cell>
          <cell r="AP85">
            <v>68</v>
          </cell>
          <cell r="AQ85">
            <v>68</v>
          </cell>
          <cell r="AR85">
            <v>68</v>
          </cell>
          <cell r="AS85">
            <v>68</v>
          </cell>
          <cell r="AT85">
            <v>68</v>
          </cell>
          <cell r="AU85">
            <v>68</v>
          </cell>
          <cell r="AV85">
            <v>68</v>
          </cell>
          <cell r="AW85">
            <v>68</v>
          </cell>
          <cell r="AX85">
            <v>68</v>
          </cell>
          <cell r="AY85">
            <v>68</v>
          </cell>
          <cell r="AZ85">
            <v>68</v>
          </cell>
          <cell r="BA85">
            <v>68</v>
          </cell>
          <cell r="BB85">
            <v>68</v>
          </cell>
          <cell r="BC85">
            <v>68</v>
          </cell>
          <cell r="BD85">
            <v>68</v>
          </cell>
          <cell r="BE85">
            <v>68</v>
          </cell>
          <cell r="BF85">
            <v>68</v>
          </cell>
          <cell r="BG85">
            <v>68</v>
          </cell>
          <cell r="BH85">
            <v>68</v>
          </cell>
          <cell r="BI85">
            <v>68</v>
          </cell>
          <cell r="BJ85">
            <v>68</v>
          </cell>
          <cell r="BK85">
            <v>68</v>
          </cell>
          <cell r="BL85">
            <v>68</v>
          </cell>
          <cell r="BM85">
            <v>68</v>
          </cell>
          <cell r="BN85">
            <v>68</v>
          </cell>
          <cell r="BO85">
            <v>68</v>
          </cell>
          <cell r="BP85">
            <v>68</v>
          </cell>
          <cell r="BQ85">
            <v>68</v>
          </cell>
          <cell r="BR85">
            <v>68</v>
          </cell>
          <cell r="BS85">
            <v>68</v>
          </cell>
          <cell r="BT85">
            <v>68</v>
          </cell>
          <cell r="BU85">
            <v>68</v>
          </cell>
          <cell r="BV85">
            <v>68</v>
          </cell>
          <cell r="BW85">
            <v>68</v>
          </cell>
          <cell r="BX85">
            <v>68</v>
          </cell>
          <cell r="BY85">
            <v>68</v>
          </cell>
          <cell r="BZ85">
            <v>68</v>
          </cell>
          <cell r="CA85">
            <v>68</v>
          </cell>
          <cell r="CB85">
            <v>68</v>
          </cell>
          <cell r="CC85">
            <v>68</v>
          </cell>
          <cell r="CD85">
            <v>68</v>
          </cell>
          <cell r="CE85">
            <v>68</v>
          </cell>
          <cell r="CF85">
            <v>68</v>
          </cell>
          <cell r="CG85">
            <v>68</v>
          </cell>
          <cell r="CH85">
            <v>68</v>
          </cell>
          <cell r="CI85">
            <v>68</v>
          </cell>
          <cell r="CJ85">
            <v>68</v>
          </cell>
          <cell r="CK85">
            <v>68</v>
          </cell>
          <cell r="CL85">
            <v>68</v>
          </cell>
          <cell r="CM85">
            <v>68</v>
          </cell>
          <cell r="CN85">
            <v>68</v>
          </cell>
          <cell r="CO85">
            <v>68</v>
          </cell>
          <cell r="CP85">
            <v>68</v>
          </cell>
          <cell r="CQ85">
            <v>68</v>
          </cell>
          <cell r="CR85">
            <v>68</v>
          </cell>
          <cell r="CS85">
            <v>68</v>
          </cell>
          <cell r="CT85">
            <v>68</v>
          </cell>
          <cell r="CU85">
            <v>68</v>
          </cell>
          <cell r="CV85">
            <v>68</v>
          </cell>
          <cell r="CW85">
            <v>68</v>
          </cell>
          <cell r="CX85">
            <v>68</v>
          </cell>
          <cell r="CY85">
            <v>68</v>
          </cell>
          <cell r="CZ85">
            <v>68</v>
          </cell>
          <cell r="DA85">
            <v>68</v>
          </cell>
          <cell r="DB85">
            <v>68</v>
          </cell>
          <cell r="DC85">
            <v>68</v>
          </cell>
          <cell r="DD85">
            <v>68</v>
          </cell>
          <cell r="DE85">
            <v>68</v>
          </cell>
          <cell r="DF85">
            <v>68</v>
          </cell>
          <cell r="DG85">
            <v>68</v>
          </cell>
          <cell r="DH85">
            <v>68</v>
          </cell>
          <cell r="DI85">
            <v>68</v>
          </cell>
          <cell r="DJ85">
            <v>68</v>
          </cell>
          <cell r="DK85">
            <v>68</v>
          </cell>
          <cell r="DL85">
            <v>68</v>
          </cell>
          <cell r="DM85">
            <v>68</v>
          </cell>
          <cell r="DN85">
            <v>68</v>
          </cell>
          <cell r="DO85">
            <v>68</v>
          </cell>
          <cell r="DP85">
            <v>68</v>
          </cell>
          <cell r="DQ85">
            <v>68</v>
          </cell>
          <cell r="DR85">
            <v>68</v>
          </cell>
          <cell r="DS85">
            <v>68</v>
          </cell>
          <cell r="DT85">
            <v>68</v>
          </cell>
          <cell r="DU85">
            <v>68</v>
          </cell>
          <cell r="DV85">
            <v>68</v>
          </cell>
          <cell r="DW85">
            <v>68</v>
          </cell>
          <cell r="DX85">
            <v>68</v>
          </cell>
          <cell r="DY85">
            <v>68</v>
          </cell>
          <cell r="DZ85">
            <v>68</v>
          </cell>
          <cell r="EA85">
            <v>68</v>
          </cell>
          <cell r="EB85">
            <v>68</v>
          </cell>
          <cell r="EC85">
            <v>68</v>
          </cell>
          <cell r="ED85">
            <v>68</v>
          </cell>
          <cell r="EE85">
            <v>68</v>
          </cell>
          <cell r="EF85">
            <v>68</v>
          </cell>
          <cell r="EG85">
            <v>68</v>
          </cell>
          <cell r="EH85">
            <v>68</v>
          </cell>
          <cell r="EI85">
            <v>68</v>
          </cell>
          <cell r="EJ85">
            <v>68</v>
          </cell>
          <cell r="EK85">
            <v>68</v>
          </cell>
          <cell r="EL85">
            <v>68</v>
          </cell>
          <cell r="EM85">
            <v>68</v>
          </cell>
          <cell r="EN85">
            <v>68</v>
          </cell>
          <cell r="EO85">
            <v>68</v>
          </cell>
          <cell r="EP85">
            <v>68</v>
          </cell>
          <cell r="EQ85">
            <v>68</v>
          </cell>
          <cell r="ER85">
            <v>68</v>
          </cell>
          <cell r="ES85">
            <v>68</v>
          </cell>
          <cell r="ET85">
            <v>68</v>
          </cell>
          <cell r="EU85">
            <v>68</v>
          </cell>
          <cell r="EV85">
            <v>68</v>
          </cell>
          <cell r="EW85">
            <v>68</v>
          </cell>
          <cell r="EX85">
            <v>68</v>
          </cell>
          <cell r="EY85">
            <v>68</v>
          </cell>
          <cell r="EZ85">
            <v>68</v>
          </cell>
          <cell r="FA85">
            <v>68</v>
          </cell>
          <cell r="FB85">
            <v>68</v>
          </cell>
          <cell r="FC85">
            <v>68</v>
          </cell>
          <cell r="FD85">
            <v>68</v>
          </cell>
          <cell r="FE85">
            <v>68</v>
          </cell>
          <cell r="FF85">
            <v>68</v>
          </cell>
          <cell r="FG85">
            <v>68</v>
          </cell>
          <cell r="FH85">
            <v>68</v>
          </cell>
          <cell r="FI85">
            <v>68</v>
          </cell>
          <cell r="FJ85">
            <v>68</v>
          </cell>
          <cell r="FK85">
            <v>68</v>
          </cell>
          <cell r="FL85">
            <v>68</v>
          </cell>
          <cell r="FM85">
            <v>68</v>
          </cell>
          <cell r="FN85">
            <v>68</v>
          </cell>
        </row>
        <row r="86">
          <cell r="A86" t="str">
            <v>G3QCABRE</v>
          </cell>
          <cell r="B86" t="str">
            <v>QUILVIO CABRERA</v>
          </cell>
          <cell r="C86">
            <v>6</v>
          </cell>
          <cell r="D86">
            <v>6</v>
          </cell>
          <cell r="E86">
            <v>6</v>
          </cell>
          <cell r="F86">
            <v>6</v>
          </cell>
          <cell r="G86">
            <v>6</v>
          </cell>
          <cell r="H86">
            <v>6</v>
          </cell>
          <cell r="I86">
            <v>6</v>
          </cell>
          <cell r="J86">
            <v>6</v>
          </cell>
          <cell r="K86">
            <v>6</v>
          </cell>
          <cell r="L86">
            <v>6</v>
          </cell>
          <cell r="M86">
            <v>6</v>
          </cell>
          <cell r="N86">
            <v>6</v>
          </cell>
          <cell r="O86">
            <v>6</v>
          </cell>
          <cell r="P86">
            <v>6</v>
          </cell>
          <cell r="Q86">
            <v>6</v>
          </cell>
          <cell r="R86">
            <v>6</v>
          </cell>
          <cell r="S86">
            <v>6</v>
          </cell>
          <cell r="T86">
            <v>6</v>
          </cell>
          <cell r="U86">
            <v>6</v>
          </cell>
          <cell r="V86">
            <v>6</v>
          </cell>
          <cell r="W86">
            <v>6</v>
          </cell>
          <cell r="X86">
            <v>6</v>
          </cell>
          <cell r="Y86">
            <v>6</v>
          </cell>
          <cell r="Z86">
            <v>6</v>
          </cell>
          <cell r="AA86">
            <v>6</v>
          </cell>
          <cell r="AB86">
            <v>6</v>
          </cell>
          <cell r="AC86">
            <v>6</v>
          </cell>
          <cell r="AD86">
            <v>6</v>
          </cell>
          <cell r="AE86">
            <v>6</v>
          </cell>
          <cell r="AF86">
            <v>6</v>
          </cell>
          <cell r="AG86">
            <v>6</v>
          </cell>
          <cell r="AH86">
            <v>6</v>
          </cell>
          <cell r="AI86">
            <v>6</v>
          </cell>
          <cell r="AJ86">
            <v>6</v>
          </cell>
          <cell r="AK86">
            <v>6</v>
          </cell>
          <cell r="AL86">
            <v>6</v>
          </cell>
          <cell r="AM86">
            <v>6</v>
          </cell>
          <cell r="AN86">
            <v>6</v>
          </cell>
          <cell r="AO86">
            <v>6</v>
          </cell>
          <cell r="AP86">
            <v>6</v>
          </cell>
          <cell r="AQ86">
            <v>6</v>
          </cell>
          <cell r="AR86">
            <v>6</v>
          </cell>
          <cell r="AS86">
            <v>6</v>
          </cell>
          <cell r="AT86">
            <v>6</v>
          </cell>
          <cell r="AU86">
            <v>6</v>
          </cell>
          <cell r="AV86">
            <v>6</v>
          </cell>
          <cell r="AW86">
            <v>6</v>
          </cell>
          <cell r="AX86">
            <v>6</v>
          </cell>
          <cell r="AY86">
            <v>6</v>
          </cell>
          <cell r="AZ86">
            <v>6</v>
          </cell>
          <cell r="BA86">
            <v>6</v>
          </cell>
          <cell r="BB86">
            <v>6</v>
          </cell>
          <cell r="BC86">
            <v>6</v>
          </cell>
          <cell r="BD86">
            <v>6</v>
          </cell>
          <cell r="BE86">
            <v>6</v>
          </cell>
          <cell r="BF86">
            <v>6</v>
          </cell>
          <cell r="BG86">
            <v>6</v>
          </cell>
          <cell r="BH86">
            <v>6</v>
          </cell>
          <cell r="BI86">
            <v>6</v>
          </cell>
          <cell r="BJ86">
            <v>6</v>
          </cell>
          <cell r="BK86">
            <v>6</v>
          </cell>
          <cell r="BL86">
            <v>6</v>
          </cell>
          <cell r="BM86">
            <v>6</v>
          </cell>
          <cell r="BN86">
            <v>6</v>
          </cell>
          <cell r="BO86">
            <v>6</v>
          </cell>
          <cell r="BP86">
            <v>6</v>
          </cell>
          <cell r="BQ86">
            <v>6</v>
          </cell>
          <cell r="BR86">
            <v>6</v>
          </cell>
          <cell r="BS86">
            <v>6</v>
          </cell>
          <cell r="BT86">
            <v>6</v>
          </cell>
          <cell r="BU86">
            <v>6</v>
          </cell>
          <cell r="BV86">
            <v>6</v>
          </cell>
          <cell r="BW86">
            <v>6</v>
          </cell>
          <cell r="BX86">
            <v>6</v>
          </cell>
          <cell r="BY86">
            <v>6</v>
          </cell>
          <cell r="BZ86">
            <v>6</v>
          </cell>
          <cell r="CA86">
            <v>6</v>
          </cell>
          <cell r="CB86">
            <v>6</v>
          </cell>
          <cell r="CC86">
            <v>6</v>
          </cell>
          <cell r="CD86">
            <v>6</v>
          </cell>
          <cell r="CE86">
            <v>6</v>
          </cell>
          <cell r="CF86">
            <v>6</v>
          </cell>
          <cell r="CG86">
            <v>6</v>
          </cell>
          <cell r="CH86">
            <v>6</v>
          </cell>
          <cell r="CI86">
            <v>6</v>
          </cell>
          <cell r="CJ86">
            <v>6</v>
          </cell>
          <cell r="CK86">
            <v>6</v>
          </cell>
          <cell r="CL86">
            <v>6</v>
          </cell>
          <cell r="CM86">
            <v>6</v>
          </cell>
          <cell r="CN86">
            <v>6</v>
          </cell>
          <cell r="CO86">
            <v>6</v>
          </cell>
          <cell r="CP86">
            <v>6</v>
          </cell>
          <cell r="CQ86">
            <v>6</v>
          </cell>
          <cell r="CR86">
            <v>6</v>
          </cell>
          <cell r="CS86">
            <v>6</v>
          </cell>
          <cell r="CT86">
            <v>6</v>
          </cell>
          <cell r="CU86">
            <v>6</v>
          </cell>
          <cell r="CV86">
            <v>6</v>
          </cell>
          <cell r="CW86">
            <v>6</v>
          </cell>
          <cell r="CX86">
            <v>6</v>
          </cell>
          <cell r="CY86">
            <v>6</v>
          </cell>
          <cell r="CZ86">
            <v>6</v>
          </cell>
          <cell r="DA86">
            <v>6</v>
          </cell>
          <cell r="DB86">
            <v>6</v>
          </cell>
          <cell r="DC86">
            <v>6</v>
          </cell>
          <cell r="DD86">
            <v>6</v>
          </cell>
          <cell r="DE86">
            <v>6</v>
          </cell>
          <cell r="DF86">
            <v>6</v>
          </cell>
          <cell r="DG86">
            <v>6</v>
          </cell>
          <cell r="DH86">
            <v>6</v>
          </cell>
          <cell r="DI86">
            <v>6</v>
          </cell>
          <cell r="DJ86">
            <v>6</v>
          </cell>
          <cell r="DK86">
            <v>6</v>
          </cell>
          <cell r="DL86">
            <v>6</v>
          </cell>
          <cell r="DM86">
            <v>6</v>
          </cell>
          <cell r="DN86">
            <v>6</v>
          </cell>
          <cell r="DO86">
            <v>6</v>
          </cell>
          <cell r="DP86">
            <v>6</v>
          </cell>
          <cell r="DQ86">
            <v>6</v>
          </cell>
          <cell r="DR86">
            <v>6</v>
          </cell>
          <cell r="DS86">
            <v>6</v>
          </cell>
          <cell r="DT86">
            <v>6</v>
          </cell>
          <cell r="DU86">
            <v>6</v>
          </cell>
          <cell r="DV86">
            <v>6</v>
          </cell>
          <cell r="DW86">
            <v>6</v>
          </cell>
          <cell r="DX86">
            <v>6</v>
          </cell>
          <cell r="DY86">
            <v>6</v>
          </cell>
          <cell r="DZ86">
            <v>6</v>
          </cell>
          <cell r="EA86">
            <v>6</v>
          </cell>
          <cell r="EB86">
            <v>6</v>
          </cell>
          <cell r="EC86">
            <v>6</v>
          </cell>
          <cell r="ED86">
            <v>6</v>
          </cell>
          <cell r="EE86">
            <v>6</v>
          </cell>
          <cell r="EF86">
            <v>6</v>
          </cell>
          <cell r="EG86">
            <v>6</v>
          </cell>
          <cell r="EH86">
            <v>6</v>
          </cell>
          <cell r="EI86">
            <v>6</v>
          </cell>
          <cell r="EJ86">
            <v>6</v>
          </cell>
          <cell r="EK86">
            <v>6</v>
          </cell>
          <cell r="EL86">
            <v>6</v>
          </cell>
          <cell r="EM86">
            <v>6</v>
          </cell>
          <cell r="EN86">
            <v>6</v>
          </cell>
          <cell r="EO86">
            <v>6</v>
          </cell>
          <cell r="EP86">
            <v>6</v>
          </cell>
          <cell r="EQ86">
            <v>6</v>
          </cell>
          <cell r="ER86">
            <v>6</v>
          </cell>
          <cell r="ES86">
            <v>6</v>
          </cell>
          <cell r="ET86">
            <v>6</v>
          </cell>
          <cell r="EU86">
            <v>6</v>
          </cell>
          <cell r="EV86">
            <v>6</v>
          </cell>
          <cell r="EW86">
            <v>6</v>
          </cell>
          <cell r="EX86">
            <v>6</v>
          </cell>
          <cell r="EY86">
            <v>6</v>
          </cell>
          <cell r="EZ86">
            <v>6</v>
          </cell>
          <cell r="FA86">
            <v>6</v>
          </cell>
          <cell r="FB86">
            <v>6</v>
          </cell>
          <cell r="FC86">
            <v>6</v>
          </cell>
          <cell r="FD86">
            <v>6</v>
          </cell>
          <cell r="FE86">
            <v>6</v>
          </cell>
          <cell r="FF86">
            <v>6</v>
          </cell>
          <cell r="FG86">
            <v>6</v>
          </cell>
          <cell r="FH86">
            <v>6</v>
          </cell>
          <cell r="FI86">
            <v>6</v>
          </cell>
          <cell r="FJ86">
            <v>6</v>
          </cell>
          <cell r="FK86">
            <v>6</v>
          </cell>
          <cell r="FL86">
            <v>6</v>
          </cell>
          <cell r="FM86">
            <v>6</v>
          </cell>
          <cell r="FN86">
            <v>6</v>
          </cell>
        </row>
        <row r="87">
          <cell r="A87" t="str">
            <v>G3QUI1FO</v>
          </cell>
          <cell r="B87" t="str">
            <v>QUISQUEYA 1 FO</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v>0</v>
          </cell>
          <cell r="DU87">
            <v>0</v>
          </cell>
          <cell r="DV87">
            <v>0</v>
          </cell>
          <cell r="DW87">
            <v>0</v>
          </cell>
          <cell r="DX87">
            <v>0</v>
          </cell>
          <cell r="DY87">
            <v>0</v>
          </cell>
          <cell r="DZ87">
            <v>0</v>
          </cell>
          <cell r="EA87">
            <v>0</v>
          </cell>
          <cell r="EB87">
            <v>0</v>
          </cell>
          <cell r="EC87">
            <v>0</v>
          </cell>
          <cell r="ED87">
            <v>0</v>
          </cell>
          <cell r="EE87">
            <v>0</v>
          </cell>
          <cell r="EF87">
            <v>0</v>
          </cell>
          <cell r="EG87">
            <v>0</v>
          </cell>
          <cell r="EH87">
            <v>0</v>
          </cell>
          <cell r="EI87">
            <v>0</v>
          </cell>
          <cell r="EJ87">
            <v>0</v>
          </cell>
          <cell r="EK87">
            <v>0</v>
          </cell>
          <cell r="EL87">
            <v>0</v>
          </cell>
          <cell r="EM87">
            <v>0</v>
          </cell>
          <cell r="EN87">
            <v>0</v>
          </cell>
          <cell r="EO87">
            <v>0</v>
          </cell>
          <cell r="EP87">
            <v>0</v>
          </cell>
          <cell r="EQ87">
            <v>0</v>
          </cell>
          <cell r="ER87">
            <v>0</v>
          </cell>
          <cell r="ES87">
            <v>0</v>
          </cell>
          <cell r="ET87">
            <v>0</v>
          </cell>
          <cell r="EU87">
            <v>0</v>
          </cell>
          <cell r="EV87">
            <v>0</v>
          </cell>
          <cell r="EW87">
            <v>0</v>
          </cell>
          <cell r="EX87">
            <v>0</v>
          </cell>
          <cell r="EY87">
            <v>0</v>
          </cell>
          <cell r="EZ87">
            <v>0</v>
          </cell>
          <cell r="FA87">
            <v>0</v>
          </cell>
          <cell r="FB87">
            <v>0</v>
          </cell>
          <cell r="FC87">
            <v>0</v>
          </cell>
          <cell r="FD87">
            <v>0</v>
          </cell>
          <cell r="FE87">
            <v>0</v>
          </cell>
          <cell r="FF87">
            <v>0</v>
          </cell>
          <cell r="FG87">
            <v>0</v>
          </cell>
          <cell r="FH87">
            <v>0</v>
          </cell>
          <cell r="FI87">
            <v>0</v>
          </cell>
          <cell r="FJ87">
            <v>0</v>
          </cell>
          <cell r="FK87">
            <v>0</v>
          </cell>
          <cell r="FL87">
            <v>0</v>
          </cell>
          <cell r="FM87">
            <v>0</v>
          </cell>
          <cell r="FN87">
            <v>0</v>
          </cell>
        </row>
        <row r="88">
          <cell r="A88" t="str">
            <v>G3QUI1GN</v>
          </cell>
          <cell r="B88" t="str">
            <v>QUISQUEYA 1 GN</v>
          </cell>
          <cell r="C88">
            <v>133</v>
          </cell>
          <cell r="D88">
            <v>133</v>
          </cell>
          <cell r="E88">
            <v>133</v>
          </cell>
          <cell r="F88">
            <v>133</v>
          </cell>
          <cell r="G88">
            <v>133</v>
          </cell>
          <cell r="H88">
            <v>133</v>
          </cell>
          <cell r="I88">
            <v>133</v>
          </cell>
          <cell r="J88">
            <v>133</v>
          </cell>
          <cell r="K88">
            <v>133</v>
          </cell>
          <cell r="L88">
            <v>133</v>
          </cell>
          <cell r="M88">
            <v>133</v>
          </cell>
          <cell r="N88">
            <v>133</v>
          </cell>
          <cell r="O88">
            <v>133</v>
          </cell>
          <cell r="P88">
            <v>133</v>
          </cell>
          <cell r="Q88">
            <v>133</v>
          </cell>
          <cell r="R88">
            <v>133</v>
          </cell>
          <cell r="S88">
            <v>133</v>
          </cell>
          <cell r="T88">
            <v>133</v>
          </cell>
          <cell r="U88">
            <v>133</v>
          </cell>
          <cell r="V88">
            <v>133</v>
          </cell>
          <cell r="W88">
            <v>133</v>
          </cell>
          <cell r="X88">
            <v>133</v>
          </cell>
          <cell r="Y88">
            <v>133</v>
          </cell>
          <cell r="Z88">
            <v>133</v>
          </cell>
          <cell r="AA88">
            <v>133</v>
          </cell>
          <cell r="AB88">
            <v>133</v>
          </cell>
          <cell r="AC88">
            <v>133</v>
          </cell>
          <cell r="AD88">
            <v>133</v>
          </cell>
          <cell r="AE88">
            <v>133</v>
          </cell>
          <cell r="AF88">
            <v>133</v>
          </cell>
          <cell r="AG88">
            <v>133</v>
          </cell>
          <cell r="AH88">
            <v>133</v>
          </cell>
          <cell r="AI88">
            <v>133</v>
          </cell>
          <cell r="AJ88">
            <v>133</v>
          </cell>
          <cell r="AK88">
            <v>133</v>
          </cell>
          <cell r="AL88">
            <v>133</v>
          </cell>
          <cell r="AM88">
            <v>133</v>
          </cell>
          <cell r="AN88">
            <v>133</v>
          </cell>
          <cell r="AO88">
            <v>133</v>
          </cell>
          <cell r="AP88">
            <v>133</v>
          </cell>
          <cell r="AQ88">
            <v>133</v>
          </cell>
          <cell r="AR88">
            <v>133</v>
          </cell>
          <cell r="AS88">
            <v>133</v>
          </cell>
          <cell r="AT88">
            <v>133</v>
          </cell>
          <cell r="AU88">
            <v>133</v>
          </cell>
          <cell r="AV88">
            <v>133</v>
          </cell>
          <cell r="AW88">
            <v>133</v>
          </cell>
          <cell r="AX88">
            <v>133</v>
          </cell>
          <cell r="AY88">
            <v>133</v>
          </cell>
          <cell r="AZ88">
            <v>133</v>
          </cell>
          <cell r="BA88">
            <v>133</v>
          </cell>
          <cell r="BB88">
            <v>133</v>
          </cell>
          <cell r="BC88">
            <v>133</v>
          </cell>
          <cell r="BD88">
            <v>133</v>
          </cell>
          <cell r="BE88">
            <v>133</v>
          </cell>
          <cell r="BF88">
            <v>133</v>
          </cell>
          <cell r="BG88">
            <v>133</v>
          </cell>
          <cell r="BH88">
            <v>133</v>
          </cell>
          <cell r="BI88">
            <v>133</v>
          </cell>
          <cell r="BJ88">
            <v>133</v>
          </cell>
          <cell r="BK88">
            <v>133</v>
          </cell>
          <cell r="BL88">
            <v>133</v>
          </cell>
          <cell r="BM88">
            <v>133</v>
          </cell>
          <cell r="BN88">
            <v>133</v>
          </cell>
          <cell r="BO88">
            <v>133</v>
          </cell>
          <cell r="BP88">
            <v>133</v>
          </cell>
          <cell r="BQ88">
            <v>133</v>
          </cell>
          <cell r="BR88">
            <v>133</v>
          </cell>
          <cell r="BS88">
            <v>133</v>
          </cell>
          <cell r="BT88">
            <v>133</v>
          </cell>
          <cell r="BU88">
            <v>133</v>
          </cell>
          <cell r="BV88">
            <v>133</v>
          </cell>
          <cell r="BW88">
            <v>133</v>
          </cell>
          <cell r="BX88">
            <v>133</v>
          </cell>
          <cell r="BY88">
            <v>133</v>
          </cell>
          <cell r="BZ88">
            <v>133</v>
          </cell>
          <cell r="CA88">
            <v>133</v>
          </cell>
          <cell r="CB88">
            <v>133</v>
          </cell>
          <cell r="CC88">
            <v>133</v>
          </cell>
          <cell r="CD88">
            <v>133</v>
          </cell>
          <cell r="CE88">
            <v>133</v>
          </cell>
          <cell r="CF88">
            <v>133</v>
          </cell>
          <cell r="CG88">
            <v>133</v>
          </cell>
          <cell r="CH88">
            <v>133</v>
          </cell>
          <cell r="CI88">
            <v>133</v>
          </cell>
          <cell r="CJ88">
            <v>133</v>
          </cell>
          <cell r="CK88">
            <v>133</v>
          </cell>
          <cell r="CL88">
            <v>133</v>
          </cell>
          <cell r="CM88">
            <v>133</v>
          </cell>
          <cell r="CN88">
            <v>133</v>
          </cell>
          <cell r="CO88">
            <v>133</v>
          </cell>
          <cell r="CP88">
            <v>133</v>
          </cell>
          <cell r="CQ88">
            <v>133</v>
          </cell>
          <cell r="CR88">
            <v>133</v>
          </cell>
          <cell r="CS88">
            <v>133</v>
          </cell>
          <cell r="CT88">
            <v>133</v>
          </cell>
          <cell r="CU88">
            <v>133</v>
          </cell>
          <cell r="CV88">
            <v>133</v>
          </cell>
          <cell r="CW88">
            <v>133</v>
          </cell>
          <cell r="CX88">
            <v>133</v>
          </cell>
          <cell r="CY88">
            <v>133</v>
          </cell>
          <cell r="CZ88">
            <v>133</v>
          </cell>
          <cell r="DA88">
            <v>133</v>
          </cell>
          <cell r="DB88">
            <v>133</v>
          </cell>
          <cell r="DC88">
            <v>133</v>
          </cell>
          <cell r="DD88">
            <v>133</v>
          </cell>
          <cell r="DE88">
            <v>133</v>
          </cell>
          <cell r="DF88">
            <v>133</v>
          </cell>
          <cell r="DG88">
            <v>133</v>
          </cell>
          <cell r="DH88">
            <v>133</v>
          </cell>
          <cell r="DI88">
            <v>133</v>
          </cell>
          <cell r="DJ88">
            <v>133</v>
          </cell>
          <cell r="DK88">
            <v>133</v>
          </cell>
          <cell r="DL88">
            <v>133</v>
          </cell>
          <cell r="DM88">
            <v>133</v>
          </cell>
          <cell r="DN88">
            <v>133</v>
          </cell>
          <cell r="DO88">
            <v>133</v>
          </cell>
          <cell r="DP88">
            <v>133</v>
          </cell>
          <cell r="DQ88">
            <v>133</v>
          </cell>
          <cell r="DR88">
            <v>133</v>
          </cell>
          <cell r="DS88">
            <v>133</v>
          </cell>
          <cell r="DT88">
            <v>133</v>
          </cell>
          <cell r="DU88">
            <v>133</v>
          </cell>
          <cell r="DV88">
            <v>133</v>
          </cell>
          <cell r="DW88">
            <v>133</v>
          </cell>
          <cell r="DX88">
            <v>133</v>
          </cell>
          <cell r="DY88">
            <v>133</v>
          </cell>
          <cell r="DZ88">
            <v>133</v>
          </cell>
          <cell r="EA88">
            <v>133</v>
          </cell>
          <cell r="EB88">
            <v>133</v>
          </cell>
          <cell r="EC88">
            <v>133</v>
          </cell>
          <cell r="ED88">
            <v>133</v>
          </cell>
          <cell r="EE88">
            <v>133</v>
          </cell>
          <cell r="EF88">
            <v>133</v>
          </cell>
          <cell r="EG88">
            <v>133</v>
          </cell>
          <cell r="EH88">
            <v>133</v>
          </cell>
          <cell r="EI88">
            <v>133</v>
          </cell>
          <cell r="EJ88">
            <v>133</v>
          </cell>
          <cell r="EK88">
            <v>133</v>
          </cell>
          <cell r="EL88">
            <v>133</v>
          </cell>
          <cell r="EM88">
            <v>133</v>
          </cell>
          <cell r="EN88">
            <v>133</v>
          </cell>
          <cell r="EO88">
            <v>133</v>
          </cell>
          <cell r="EP88">
            <v>133</v>
          </cell>
          <cell r="EQ88">
            <v>133</v>
          </cell>
          <cell r="ER88">
            <v>133</v>
          </cell>
          <cell r="ES88">
            <v>133</v>
          </cell>
          <cell r="ET88">
            <v>133</v>
          </cell>
          <cell r="EU88">
            <v>133</v>
          </cell>
          <cell r="EV88">
            <v>133</v>
          </cell>
          <cell r="EW88">
            <v>133</v>
          </cell>
          <cell r="EX88">
            <v>133</v>
          </cell>
          <cell r="EY88">
            <v>133</v>
          </cell>
          <cell r="EZ88">
            <v>133</v>
          </cell>
          <cell r="FA88">
            <v>133</v>
          </cell>
          <cell r="FB88">
            <v>133</v>
          </cell>
          <cell r="FC88">
            <v>133</v>
          </cell>
          <cell r="FD88">
            <v>133</v>
          </cell>
          <cell r="FE88">
            <v>133</v>
          </cell>
          <cell r="FF88">
            <v>133</v>
          </cell>
          <cell r="FG88">
            <v>133</v>
          </cell>
          <cell r="FH88">
            <v>133</v>
          </cell>
          <cell r="FI88">
            <v>133</v>
          </cell>
          <cell r="FJ88">
            <v>133</v>
          </cell>
          <cell r="FK88">
            <v>133</v>
          </cell>
          <cell r="FL88">
            <v>133</v>
          </cell>
          <cell r="FM88">
            <v>133</v>
          </cell>
          <cell r="FN88">
            <v>133</v>
          </cell>
        </row>
        <row r="89">
          <cell r="A89" t="str">
            <v>G3QUI2FO</v>
          </cell>
          <cell r="B89" t="str">
            <v>QUISQUEYA 2 FO</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F89">
            <v>0</v>
          </cell>
          <cell r="DG89">
            <v>0</v>
          </cell>
          <cell r="DH89">
            <v>0</v>
          </cell>
          <cell r="DI89">
            <v>0</v>
          </cell>
          <cell r="DJ89">
            <v>0</v>
          </cell>
          <cell r="DK89">
            <v>0</v>
          </cell>
          <cell r="DL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cell r="FC89">
            <v>0</v>
          </cell>
          <cell r="FD89">
            <v>0</v>
          </cell>
          <cell r="FE89">
            <v>0</v>
          </cell>
          <cell r="FF89">
            <v>0</v>
          </cell>
          <cell r="FG89">
            <v>0</v>
          </cell>
          <cell r="FH89">
            <v>0</v>
          </cell>
          <cell r="FI89">
            <v>0</v>
          </cell>
          <cell r="FJ89">
            <v>0</v>
          </cell>
          <cell r="FK89">
            <v>0</v>
          </cell>
          <cell r="FL89">
            <v>0</v>
          </cell>
          <cell r="FM89">
            <v>0</v>
          </cell>
          <cell r="FN89">
            <v>0</v>
          </cell>
        </row>
        <row r="90">
          <cell r="A90" t="str">
            <v>G3QUI2GN</v>
          </cell>
          <cell r="B90" t="str">
            <v>QUISQUEYA 2 GN</v>
          </cell>
          <cell r="C90">
            <v>212</v>
          </cell>
          <cell r="D90">
            <v>212</v>
          </cell>
          <cell r="E90">
            <v>212</v>
          </cell>
          <cell r="F90">
            <v>212</v>
          </cell>
          <cell r="G90">
            <v>212</v>
          </cell>
          <cell r="H90">
            <v>212</v>
          </cell>
          <cell r="I90">
            <v>212</v>
          </cell>
          <cell r="J90">
            <v>212</v>
          </cell>
          <cell r="K90">
            <v>212</v>
          </cell>
          <cell r="L90">
            <v>212</v>
          </cell>
          <cell r="M90">
            <v>212</v>
          </cell>
          <cell r="N90">
            <v>212</v>
          </cell>
          <cell r="O90">
            <v>212</v>
          </cell>
          <cell r="P90">
            <v>212</v>
          </cell>
          <cell r="Q90">
            <v>212</v>
          </cell>
          <cell r="R90">
            <v>212</v>
          </cell>
          <cell r="S90">
            <v>212</v>
          </cell>
          <cell r="T90">
            <v>212</v>
          </cell>
          <cell r="U90">
            <v>212</v>
          </cell>
          <cell r="V90">
            <v>212</v>
          </cell>
          <cell r="W90">
            <v>212</v>
          </cell>
          <cell r="X90">
            <v>212</v>
          </cell>
          <cell r="Y90">
            <v>212</v>
          </cell>
          <cell r="Z90">
            <v>212</v>
          </cell>
          <cell r="AA90">
            <v>212</v>
          </cell>
          <cell r="AB90">
            <v>212</v>
          </cell>
          <cell r="AC90">
            <v>212</v>
          </cell>
          <cell r="AD90">
            <v>212</v>
          </cell>
          <cell r="AE90">
            <v>212</v>
          </cell>
          <cell r="AF90">
            <v>212</v>
          </cell>
          <cell r="AG90">
            <v>212</v>
          </cell>
          <cell r="AH90">
            <v>212</v>
          </cell>
          <cell r="AI90">
            <v>212</v>
          </cell>
          <cell r="AJ90">
            <v>212</v>
          </cell>
          <cell r="AK90">
            <v>212</v>
          </cell>
          <cell r="AL90">
            <v>212</v>
          </cell>
          <cell r="AM90">
            <v>212</v>
          </cell>
          <cell r="AN90">
            <v>212</v>
          </cell>
          <cell r="AO90">
            <v>212</v>
          </cell>
          <cell r="AP90">
            <v>212</v>
          </cell>
          <cell r="AQ90">
            <v>212</v>
          </cell>
          <cell r="AR90">
            <v>212</v>
          </cell>
          <cell r="AS90">
            <v>212</v>
          </cell>
          <cell r="AT90">
            <v>212</v>
          </cell>
          <cell r="AU90">
            <v>212</v>
          </cell>
          <cell r="AV90">
            <v>212</v>
          </cell>
          <cell r="AW90">
            <v>212</v>
          </cell>
          <cell r="AX90">
            <v>212</v>
          </cell>
          <cell r="AY90">
            <v>212</v>
          </cell>
          <cell r="AZ90">
            <v>212</v>
          </cell>
          <cell r="BA90">
            <v>212</v>
          </cell>
          <cell r="BB90">
            <v>212</v>
          </cell>
          <cell r="BC90">
            <v>212</v>
          </cell>
          <cell r="BD90">
            <v>212</v>
          </cell>
          <cell r="BE90">
            <v>212</v>
          </cell>
          <cell r="BF90">
            <v>212</v>
          </cell>
          <cell r="BG90">
            <v>212</v>
          </cell>
          <cell r="BH90">
            <v>212</v>
          </cell>
          <cell r="BI90">
            <v>212</v>
          </cell>
          <cell r="BJ90">
            <v>212</v>
          </cell>
          <cell r="BK90">
            <v>212</v>
          </cell>
          <cell r="BL90">
            <v>212</v>
          </cell>
          <cell r="BM90">
            <v>212</v>
          </cell>
          <cell r="BN90">
            <v>212</v>
          </cell>
          <cell r="BO90">
            <v>212</v>
          </cell>
          <cell r="BP90">
            <v>212</v>
          </cell>
          <cell r="BQ90">
            <v>212</v>
          </cell>
          <cell r="BR90">
            <v>212</v>
          </cell>
          <cell r="BS90">
            <v>212</v>
          </cell>
          <cell r="BT90">
            <v>212</v>
          </cell>
          <cell r="BU90">
            <v>212</v>
          </cell>
          <cell r="BV90">
            <v>212</v>
          </cell>
          <cell r="BW90">
            <v>212</v>
          </cell>
          <cell r="BX90">
            <v>212</v>
          </cell>
          <cell r="BY90">
            <v>212</v>
          </cell>
          <cell r="BZ90">
            <v>212</v>
          </cell>
          <cell r="CA90">
            <v>212</v>
          </cell>
          <cell r="CB90">
            <v>212</v>
          </cell>
          <cell r="CC90">
            <v>212</v>
          </cell>
          <cell r="CD90">
            <v>212</v>
          </cell>
          <cell r="CE90">
            <v>212</v>
          </cell>
          <cell r="CF90">
            <v>212</v>
          </cell>
          <cell r="CG90">
            <v>212</v>
          </cell>
          <cell r="CH90">
            <v>212</v>
          </cell>
          <cell r="CI90">
            <v>212</v>
          </cell>
          <cell r="CJ90">
            <v>212</v>
          </cell>
          <cell r="CK90">
            <v>212</v>
          </cell>
          <cell r="CL90">
            <v>212</v>
          </cell>
          <cell r="CM90">
            <v>212</v>
          </cell>
          <cell r="CN90">
            <v>212</v>
          </cell>
          <cell r="CO90">
            <v>212</v>
          </cell>
          <cell r="CP90">
            <v>212</v>
          </cell>
          <cell r="CQ90">
            <v>212</v>
          </cell>
          <cell r="CR90">
            <v>212</v>
          </cell>
          <cell r="CS90">
            <v>212</v>
          </cell>
          <cell r="CT90">
            <v>212</v>
          </cell>
          <cell r="CU90">
            <v>198</v>
          </cell>
          <cell r="CV90">
            <v>198</v>
          </cell>
          <cell r="CW90">
            <v>198</v>
          </cell>
          <cell r="CX90">
            <v>198</v>
          </cell>
          <cell r="CY90">
            <v>198</v>
          </cell>
          <cell r="CZ90">
            <v>198</v>
          </cell>
          <cell r="DA90">
            <v>198</v>
          </cell>
          <cell r="DB90">
            <v>198</v>
          </cell>
          <cell r="DC90">
            <v>198</v>
          </cell>
          <cell r="DD90">
            <v>198</v>
          </cell>
          <cell r="DE90">
            <v>198</v>
          </cell>
          <cell r="DF90">
            <v>198</v>
          </cell>
          <cell r="DG90">
            <v>198</v>
          </cell>
          <cell r="DH90">
            <v>198</v>
          </cell>
          <cell r="DI90">
            <v>198</v>
          </cell>
          <cell r="DJ90">
            <v>198</v>
          </cell>
          <cell r="DK90">
            <v>198</v>
          </cell>
          <cell r="DL90">
            <v>212</v>
          </cell>
          <cell r="DM90">
            <v>212</v>
          </cell>
          <cell r="DN90">
            <v>212</v>
          </cell>
          <cell r="DO90">
            <v>212</v>
          </cell>
          <cell r="DP90">
            <v>212</v>
          </cell>
          <cell r="DQ90">
            <v>212</v>
          </cell>
          <cell r="DR90">
            <v>212</v>
          </cell>
          <cell r="DS90">
            <v>212</v>
          </cell>
          <cell r="DT90">
            <v>212</v>
          </cell>
          <cell r="DU90">
            <v>212</v>
          </cell>
          <cell r="DV90">
            <v>212</v>
          </cell>
          <cell r="DW90">
            <v>212</v>
          </cell>
          <cell r="DX90">
            <v>212</v>
          </cell>
          <cell r="DY90">
            <v>212</v>
          </cell>
          <cell r="DZ90">
            <v>212</v>
          </cell>
          <cell r="EA90">
            <v>212</v>
          </cell>
          <cell r="EB90">
            <v>212</v>
          </cell>
          <cell r="EC90">
            <v>212</v>
          </cell>
          <cell r="ED90">
            <v>212</v>
          </cell>
          <cell r="EE90">
            <v>212</v>
          </cell>
          <cell r="EF90">
            <v>212</v>
          </cell>
          <cell r="EG90">
            <v>212</v>
          </cell>
          <cell r="EH90">
            <v>212</v>
          </cell>
          <cell r="EI90">
            <v>212</v>
          </cell>
          <cell r="EJ90">
            <v>212</v>
          </cell>
          <cell r="EK90">
            <v>212</v>
          </cell>
          <cell r="EL90">
            <v>212</v>
          </cell>
          <cell r="EM90">
            <v>212</v>
          </cell>
          <cell r="EN90">
            <v>212</v>
          </cell>
          <cell r="EO90">
            <v>212</v>
          </cell>
          <cell r="EP90">
            <v>212</v>
          </cell>
          <cell r="EQ90">
            <v>198</v>
          </cell>
          <cell r="ER90">
            <v>198</v>
          </cell>
          <cell r="ES90">
            <v>198</v>
          </cell>
          <cell r="ET90">
            <v>198</v>
          </cell>
          <cell r="EU90">
            <v>198</v>
          </cell>
          <cell r="EV90">
            <v>198</v>
          </cell>
          <cell r="EW90">
            <v>198</v>
          </cell>
          <cell r="EX90">
            <v>198</v>
          </cell>
          <cell r="EY90">
            <v>198</v>
          </cell>
          <cell r="EZ90">
            <v>198</v>
          </cell>
          <cell r="FA90">
            <v>198</v>
          </cell>
          <cell r="FB90">
            <v>198</v>
          </cell>
          <cell r="FC90">
            <v>198</v>
          </cell>
          <cell r="FD90">
            <v>198</v>
          </cell>
          <cell r="FE90">
            <v>198</v>
          </cell>
          <cell r="FF90">
            <v>198</v>
          </cell>
          <cell r="FG90">
            <v>198</v>
          </cell>
          <cell r="FH90">
            <v>212</v>
          </cell>
          <cell r="FI90">
            <v>212</v>
          </cell>
          <cell r="FJ90">
            <v>212</v>
          </cell>
          <cell r="FK90">
            <v>212</v>
          </cell>
          <cell r="FL90">
            <v>212</v>
          </cell>
          <cell r="FM90">
            <v>212</v>
          </cell>
          <cell r="FN90">
            <v>212</v>
          </cell>
        </row>
        <row r="91">
          <cell r="A91" t="str">
            <v>G3RBLAN1</v>
          </cell>
          <cell r="B91" t="str">
            <v>RIO BLANCO 1</v>
          </cell>
          <cell r="C91">
            <v>0</v>
          </cell>
          <cell r="D91">
            <v>0</v>
          </cell>
          <cell r="E91">
            <v>0</v>
          </cell>
          <cell r="F91">
            <v>0</v>
          </cell>
          <cell r="G91">
            <v>0</v>
          </cell>
          <cell r="H91">
            <v>0</v>
          </cell>
          <cell r="I91">
            <v>0</v>
          </cell>
          <cell r="J91">
            <v>0</v>
          </cell>
          <cell r="K91">
            <v>12.5</v>
          </cell>
          <cell r="L91">
            <v>12.5</v>
          </cell>
          <cell r="M91">
            <v>12.5</v>
          </cell>
          <cell r="N91">
            <v>12.5</v>
          </cell>
          <cell r="O91">
            <v>12.5</v>
          </cell>
          <cell r="P91">
            <v>12.5</v>
          </cell>
          <cell r="Q91">
            <v>12.5</v>
          </cell>
          <cell r="R91">
            <v>12.5</v>
          </cell>
          <cell r="S91">
            <v>12.5</v>
          </cell>
          <cell r="T91">
            <v>12.5</v>
          </cell>
          <cell r="U91">
            <v>12.5</v>
          </cell>
          <cell r="V91">
            <v>12.5</v>
          </cell>
          <cell r="W91">
            <v>12.5</v>
          </cell>
          <cell r="X91">
            <v>12.5</v>
          </cell>
          <cell r="Y91">
            <v>12.5</v>
          </cell>
          <cell r="Z91">
            <v>12.5</v>
          </cell>
          <cell r="AA91">
            <v>12.5</v>
          </cell>
          <cell r="AB91">
            <v>12.5</v>
          </cell>
          <cell r="AC91">
            <v>12.5</v>
          </cell>
          <cell r="AD91">
            <v>12.5</v>
          </cell>
          <cell r="AE91">
            <v>12.5</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12.5</v>
          </cell>
          <cell r="BH91">
            <v>12.5</v>
          </cell>
          <cell r="BI91">
            <v>12.5</v>
          </cell>
          <cell r="BJ91">
            <v>12.5</v>
          </cell>
          <cell r="BK91">
            <v>12.5</v>
          </cell>
          <cell r="BL91">
            <v>12.5</v>
          </cell>
          <cell r="BM91">
            <v>12.5</v>
          </cell>
          <cell r="BN91">
            <v>12.5</v>
          </cell>
          <cell r="BO91">
            <v>12.5</v>
          </cell>
          <cell r="BP91">
            <v>12.5</v>
          </cell>
          <cell r="BQ91">
            <v>12.5</v>
          </cell>
          <cell r="BR91">
            <v>12.5</v>
          </cell>
          <cell r="BS91">
            <v>12.5</v>
          </cell>
          <cell r="BT91">
            <v>12.5</v>
          </cell>
          <cell r="BU91">
            <v>12.5</v>
          </cell>
          <cell r="BV91">
            <v>12.5</v>
          </cell>
          <cell r="BW91">
            <v>12.5</v>
          </cell>
          <cell r="BX91">
            <v>12.5</v>
          </cell>
          <cell r="BY91">
            <v>12.5</v>
          </cell>
          <cell r="BZ91">
            <v>12.5</v>
          </cell>
          <cell r="CA91">
            <v>12.5</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12.5</v>
          </cell>
          <cell r="DD91">
            <v>12.5</v>
          </cell>
          <cell r="DE91">
            <v>12.5</v>
          </cell>
          <cell r="DF91">
            <v>12.5</v>
          </cell>
          <cell r="DG91">
            <v>12.5</v>
          </cell>
          <cell r="DH91">
            <v>12.5</v>
          </cell>
          <cell r="DI91">
            <v>12.5</v>
          </cell>
          <cell r="DJ91">
            <v>12.5</v>
          </cell>
          <cell r="DK91">
            <v>12.5</v>
          </cell>
          <cell r="DL91">
            <v>12.5</v>
          </cell>
          <cell r="DM91">
            <v>12.5</v>
          </cell>
          <cell r="DN91">
            <v>12.5</v>
          </cell>
          <cell r="DO91">
            <v>12.5</v>
          </cell>
          <cell r="DP91">
            <v>12.5</v>
          </cell>
          <cell r="DQ91">
            <v>12.5</v>
          </cell>
          <cell r="DR91">
            <v>12.5</v>
          </cell>
          <cell r="DS91">
            <v>12.5</v>
          </cell>
          <cell r="DT91">
            <v>12.5</v>
          </cell>
          <cell r="DU91">
            <v>12.5</v>
          </cell>
          <cell r="DV91">
            <v>12.5</v>
          </cell>
          <cell r="DW91">
            <v>12.5</v>
          </cell>
          <cell r="DX91">
            <v>0</v>
          </cell>
          <cell r="DY91">
            <v>0</v>
          </cell>
          <cell r="DZ91">
            <v>0</v>
          </cell>
          <cell r="EA91">
            <v>0</v>
          </cell>
          <cell r="EB91">
            <v>0</v>
          </cell>
          <cell r="EC91">
            <v>0</v>
          </cell>
          <cell r="ED91">
            <v>0</v>
          </cell>
          <cell r="EE91">
            <v>0</v>
          </cell>
          <cell r="EF91">
            <v>0</v>
          </cell>
          <cell r="EG91">
            <v>0</v>
          </cell>
          <cell r="EH91">
            <v>0</v>
          </cell>
          <cell r="EI91">
            <v>0</v>
          </cell>
          <cell r="EJ91">
            <v>0</v>
          </cell>
          <cell r="EK91">
            <v>0</v>
          </cell>
          <cell r="EL91">
            <v>0</v>
          </cell>
          <cell r="EM91">
            <v>0</v>
          </cell>
          <cell r="EN91">
            <v>0</v>
          </cell>
          <cell r="EO91">
            <v>0</v>
          </cell>
          <cell r="EP91">
            <v>0</v>
          </cell>
          <cell r="EQ91">
            <v>0</v>
          </cell>
          <cell r="ER91">
            <v>0</v>
          </cell>
          <cell r="ES91">
            <v>0</v>
          </cell>
          <cell r="ET91">
            <v>0</v>
          </cell>
          <cell r="EU91">
            <v>0</v>
          </cell>
          <cell r="EV91">
            <v>0</v>
          </cell>
          <cell r="EW91">
            <v>0</v>
          </cell>
          <cell r="EX91">
            <v>0</v>
          </cell>
          <cell r="EY91">
            <v>12.5</v>
          </cell>
          <cell r="EZ91">
            <v>12.5</v>
          </cell>
          <cell r="FA91">
            <v>12.5</v>
          </cell>
          <cell r="FB91">
            <v>12.5</v>
          </cell>
          <cell r="FC91">
            <v>12.5</v>
          </cell>
          <cell r="FD91">
            <v>12.5</v>
          </cell>
          <cell r="FE91">
            <v>12.5</v>
          </cell>
          <cell r="FF91">
            <v>12.5</v>
          </cell>
          <cell r="FG91">
            <v>12.5</v>
          </cell>
          <cell r="FH91">
            <v>12.5</v>
          </cell>
          <cell r="FI91">
            <v>12.5</v>
          </cell>
          <cell r="FJ91">
            <v>12.5</v>
          </cell>
          <cell r="FK91">
            <v>12.5</v>
          </cell>
          <cell r="FL91">
            <v>12.5</v>
          </cell>
          <cell r="FM91">
            <v>12.5</v>
          </cell>
          <cell r="FN91">
            <v>12.5</v>
          </cell>
        </row>
        <row r="92">
          <cell r="A92" t="str">
            <v>G3RBLAN2</v>
          </cell>
          <cell r="B92" t="str">
            <v>RIO BLANCO 2</v>
          </cell>
          <cell r="C92">
            <v>12.5</v>
          </cell>
          <cell r="D92">
            <v>12.5</v>
          </cell>
          <cell r="E92">
            <v>12.5</v>
          </cell>
          <cell r="F92">
            <v>12.5</v>
          </cell>
          <cell r="G92">
            <v>12.5</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12.5</v>
          </cell>
          <cell r="AJ92">
            <v>12.5</v>
          </cell>
          <cell r="AK92">
            <v>12.5</v>
          </cell>
          <cell r="AL92">
            <v>12.5</v>
          </cell>
          <cell r="AM92">
            <v>12.5</v>
          </cell>
          <cell r="AN92">
            <v>12.5</v>
          </cell>
          <cell r="AO92">
            <v>12.5</v>
          </cell>
          <cell r="AP92">
            <v>12.5</v>
          </cell>
          <cell r="AQ92">
            <v>12.5</v>
          </cell>
          <cell r="AR92">
            <v>12.5</v>
          </cell>
          <cell r="AS92">
            <v>12.5</v>
          </cell>
          <cell r="AT92">
            <v>12.5</v>
          </cell>
          <cell r="AU92">
            <v>12.5</v>
          </cell>
          <cell r="AV92">
            <v>12.5</v>
          </cell>
          <cell r="AW92">
            <v>12.5</v>
          </cell>
          <cell r="AX92">
            <v>12.5</v>
          </cell>
          <cell r="AY92">
            <v>12.5</v>
          </cell>
          <cell r="AZ92">
            <v>12.5</v>
          </cell>
          <cell r="BA92">
            <v>12.5</v>
          </cell>
          <cell r="BB92">
            <v>12.5</v>
          </cell>
          <cell r="BC92">
            <v>12.5</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12.5</v>
          </cell>
          <cell r="CF92">
            <v>12.5</v>
          </cell>
          <cell r="CG92">
            <v>12.5</v>
          </cell>
          <cell r="CH92">
            <v>12.5</v>
          </cell>
          <cell r="CI92">
            <v>12.5</v>
          </cell>
          <cell r="CJ92">
            <v>12.5</v>
          </cell>
          <cell r="CK92">
            <v>12.5</v>
          </cell>
          <cell r="CL92">
            <v>12.5</v>
          </cell>
          <cell r="CM92">
            <v>12.5</v>
          </cell>
          <cell r="CN92">
            <v>12.5</v>
          </cell>
          <cell r="CO92">
            <v>12.5</v>
          </cell>
          <cell r="CP92">
            <v>12.5</v>
          </cell>
          <cell r="CQ92">
            <v>12.5</v>
          </cell>
          <cell r="CR92">
            <v>12.5</v>
          </cell>
          <cell r="CS92">
            <v>12.5</v>
          </cell>
          <cell r="CT92">
            <v>12.5</v>
          </cell>
          <cell r="CU92">
            <v>12.5</v>
          </cell>
          <cell r="CV92">
            <v>12.5</v>
          </cell>
          <cell r="CW92">
            <v>12.5</v>
          </cell>
          <cell r="CX92">
            <v>12.5</v>
          </cell>
          <cell r="CY92">
            <v>12.5</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12.5</v>
          </cell>
          <cell r="EB92">
            <v>12.5</v>
          </cell>
          <cell r="EC92">
            <v>12.5</v>
          </cell>
          <cell r="ED92">
            <v>12.5</v>
          </cell>
          <cell r="EE92">
            <v>12.5</v>
          </cell>
          <cell r="EF92">
            <v>12.5</v>
          </cell>
          <cell r="EG92">
            <v>12.5</v>
          </cell>
          <cell r="EH92">
            <v>12.5</v>
          </cell>
          <cell r="EI92">
            <v>12.5</v>
          </cell>
          <cell r="EJ92">
            <v>12.5</v>
          </cell>
          <cell r="EK92">
            <v>12.5</v>
          </cell>
          <cell r="EL92">
            <v>12.5</v>
          </cell>
          <cell r="EM92">
            <v>12.5</v>
          </cell>
          <cell r="EN92">
            <v>12.5</v>
          </cell>
          <cell r="EO92">
            <v>12.5</v>
          </cell>
          <cell r="EP92">
            <v>12.5</v>
          </cell>
          <cell r="EQ92">
            <v>12.5</v>
          </cell>
          <cell r="ER92">
            <v>12.5</v>
          </cell>
          <cell r="ES92">
            <v>12.5</v>
          </cell>
          <cell r="ET92">
            <v>12.5</v>
          </cell>
          <cell r="EU92">
            <v>12.5</v>
          </cell>
          <cell r="EV92">
            <v>0</v>
          </cell>
          <cell r="EW92">
            <v>0</v>
          </cell>
          <cell r="EX92">
            <v>0</v>
          </cell>
          <cell r="EY92">
            <v>0</v>
          </cell>
          <cell r="EZ92">
            <v>0</v>
          </cell>
          <cell r="FA92">
            <v>0</v>
          </cell>
          <cell r="FB92">
            <v>0</v>
          </cell>
          <cell r="FC92">
            <v>0</v>
          </cell>
          <cell r="FD92">
            <v>0</v>
          </cell>
          <cell r="FE92">
            <v>0</v>
          </cell>
          <cell r="FF92">
            <v>0</v>
          </cell>
          <cell r="FG92">
            <v>0</v>
          </cell>
          <cell r="FH92">
            <v>0</v>
          </cell>
          <cell r="FI92">
            <v>0</v>
          </cell>
          <cell r="FJ92">
            <v>0</v>
          </cell>
          <cell r="FK92">
            <v>0</v>
          </cell>
          <cell r="FL92">
            <v>0</v>
          </cell>
          <cell r="FM92">
            <v>0</v>
          </cell>
          <cell r="FN92">
            <v>0</v>
          </cell>
        </row>
        <row r="93">
          <cell r="A93" t="str">
            <v>G3RINCON</v>
          </cell>
          <cell r="B93" t="str">
            <v>RINCON</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8.9</v>
          </cell>
          <cell r="CD93">
            <v>8.9</v>
          </cell>
          <cell r="CE93">
            <v>8.9</v>
          </cell>
          <cell r="CF93">
            <v>8.9</v>
          </cell>
          <cell r="CG93">
            <v>8.9</v>
          </cell>
          <cell r="CH93">
            <v>8.9</v>
          </cell>
          <cell r="CI93">
            <v>0</v>
          </cell>
          <cell r="CJ93">
            <v>0</v>
          </cell>
          <cell r="CK93">
            <v>0</v>
          </cell>
          <cell r="CL93">
            <v>0</v>
          </cell>
          <cell r="CM93">
            <v>0</v>
          </cell>
          <cell r="CN93">
            <v>0</v>
          </cell>
          <cell r="CO93">
            <v>8.9</v>
          </cell>
          <cell r="CP93">
            <v>8.9</v>
          </cell>
          <cell r="CQ93">
            <v>8.9</v>
          </cell>
          <cell r="CR93">
            <v>8.9</v>
          </cell>
          <cell r="CS93">
            <v>8.9</v>
          </cell>
          <cell r="CT93">
            <v>8.9</v>
          </cell>
          <cell r="CU93">
            <v>0</v>
          </cell>
          <cell r="CV93">
            <v>0</v>
          </cell>
          <cell r="CW93">
            <v>0</v>
          </cell>
          <cell r="CX93">
            <v>0</v>
          </cell>
          <cell r="CY93">
            <v>0</v>
          </cell>
          <cell r="CZ93">
            <v>0</v>
          </cell>
          <cell r="DA93">
            <v>8.9</v>
          </cell>
          <cell r="DB93">
            <v>8.9</v>
          </cell>
          <cell r="DC93">
            <v>8.9</v>
          </cell>
          <cell r="DD93">
            <v>8.9</v>
          </cell>
          <cell r="DE93">
            <v>8.9</v>
          </cell>
          <cell r="DF93">
            <v>8.9</v>
          </cell>
          <cell r="DG93">
            <v>0</v>
          </cell>
          <cell r="DH93">
            <v>0</v>
          </cell>
          <cell r="DI93">
            <v>0</v>
          </cell>
          <cell r="DJ93">
            <v>0</v>
          </cell>
          <cell r="DK93">
            <v>0</v>
          </cell>
          <cell r="DL93">
            <v>0</v>
          </cell>
          <cell r="DM93">
            <v>8.9</v>
          </cell>
          <cell r="DN93">
            <v>8.9</v>
          </cell>
          <cell r="DO93">
            <v>8.9</v>
          </cell>
          <cell r="DP93">
            <v>8.9</v>
          </cell>
          <cell r="DQ93">
            <v>8.9</v>
          </cell>
          <cell r="DR93">
            <v>8.9</v>
          </cell>
          <cell r="DS93">
            <v>0</v>
          </cell>
          <cell r="DT93">
            <v>0</v>
          </cell>
          <cell r="DU93">
            <v>0</v>
          </cell>
          <cell r="DV93">
            <v>0</v>
          </cell>
          <cell r="DW93">
            <v>0</v>
          </cell>
          <cell r="DX93">
            <v>0</v>
          </cell>
          <cell r="DY93">
            <v>8.9</v>
          </cell>
          <cell r="DZ93">
            <v>8.9</v>
          </cell>
          <cell r="EA93">
            <v>8.9</v>
          </cell>
          <cell r="EB93">
            <v>8.9</v>
          </cell>
          <cell r="EC93">
            <v>8.9</v>
          </cell>
          <cell r="ED93">
            <v>8.9</v>
          </cell>
          <cell r="EE93">
            <v>0</v>
          </cell>
          <cell r="EF93">
            <v>0</v>
          </cell>
          <cell r="EG93">
            <v>0</v>
          </cell>
          <cell r="EH93">
            <v>0</v>
          </cell>
          <cell r="EI93">
            <v>0</v>
          </cell>
          <cell r="EJ93">
            <v>0</v>
          </cell>
          <cell r="EK93">
            <v>8.9</v>
          </cell>
          <cell r="EL93">
            <v>8.9</v>
          </cell>
          <cell r="EM93">
            <v>8.9</v>
          </cell>
          <cell r="EN93">
            <v>8.9</v>
          </cell>
          <cell r="EO93">
            <v>8.9</v>
          </cell>
          <cell r="EP93">
            <v>8.9</v>
          </cell>
          <cell r="EQ93">
            <v>0</v>
          </cell>
          <cell r="ER93">
            <v>0</v>
          </cell>
          <cell r="ES93">
            <v>0</v>
          </cell>
          <cell r="ET93">
            <v>0</v>
          </cell>
          <cell r="EU93">
            <v>0</v>
          </cell>
          <cell r="EV93">
            <v>0</v>
          </cell>
          <cell r="EW93">
            <v>0</v>
          </cell>
          <cell r="EX93">
            <v>0</v>
          </cell>
          <cell r="EY93">
            <v>0</v>
          </cell>
          <cell r="EZ93">
            <v>0</v>
          </cell>
          <cell r="FA93">
            <v>0</v>
          </cell>
          <cell r="FB93">
            <v>0</v>
          </cell>
          <cell r="FC93">
            <v>0</v>
          </cell>
          <cell r="FD93">
            <v>0</v>
          </cell>
          <cell r="FE93">
            <v>0</v>
          </cell>
          <cell r="FF93">
            <v>0</v>
          </cell>
          <cell r="FG93">
            <v>0</v>
          </cell>
          <cell r="FH93">
            <v>0</v>
          </cell>
          <cell r="FI93">
            <v>0</v>
          </cell>
          <cell r="FJ93">
            <v>0</v>
          </cell>
          <cell r="FK93">
            <v>0</v>
          </cell>
          <cell r="FL93">
            <v>0</v>
          </cell>
          <cell r="FM93">
            <v>0</v>
          </cell>
          <cell r="FN93">
            <v>0</v>
          </cell>
        </row>
        <row r="94">
          <cell r="A94" t="str">
            <v>G3RJCRUZ</v>
          </cell>
          <cell r="B94" t="str">
            <v>ROSA JULIA DE LA CRUZ</v>
          </cell>
          <cell r="C94">
            <v>0.3</v>
          </cell>
          <cell r="D94">
            <v>0.3</v>
          </cell>
          <cell r="E94">
            <v>0.3</v>
          </cell>
          <cell r="F94">
            <v>0.3</v>
          </cell>
          <cell r="G94">
            <v>0.3</v>
          </cell>
          <cell r="H94">
            <v>0.3</v>
          </cell>
          <cell r="I94">
            <v>0.3</v>
          </cell>
          <cell r="J94">
            <v>0.3</v>
          </cell>
          <cell r="K94">
            <v>0.3</v>
          </cell>
          <cell r="L94">
            <v>0.3</v>
          </cell>
          <cell r="M94">
            <v>0.3</v>
          </cell>
          <cell r="N94">
            <v>0.3</v>
          </cell>
          <cell r="O94">
            <v>0.3</v>
          </cell>
          <cell r="P94">
            <v>0.3</v>
          </cell>
          <cell r="Q94">
            <v>0.3</v>
          </cell>
          <cell r="R94">
            <v>0.3</v>
          </cell>
          <cell r="S94">
            <v>0.3</v>
          </cell>
          <cell r="T94">
            <v>0.3</v>
          </cell>
          <cell r="U94">
            <v>0.3</v>
          </cell>
          <cell r="V94">
            <v>0.3</v>
          </cell>
          <cell r="W94">
            <v>0.3</v>
          </cell>
          <cell r="X94">
            <v>0.3</v>
          </cell>
          <cell r="Y94">
            <v>0.3</v>
          </cell>
          <cell r="Z94">
            <v>0.3</v>
          </cell>
          <cell r="AA94">
            <v>0.3</v>
          </cell>
          <cell r="AB94">
            <v>0.3</v>
          </cell>
          <cell r="AC94">
            <v>0.3</v>
          </cell>
          <cell r="AD94">
            <v>0.3</v>
          </cell>
          <cell r="AE94">
            <v>0.3</v>
          </cell>
          <cell r="AF94">
            <v>0.3</v>
          </cell>
          <cell r="AG94">
            <v>0.3</v>
          </cell>
          <cell r="AH94">
            <v>0.3</v>
          </cell>
          <cell r="AI94">
            <v>0.3</v>
          </cell>
          <cell r="AJ94">
            <v>0.3</v>
          </cell>
          <cell r="AK94">
            <v>0.3</v>
          </cell>
          <cell r="AL94">
            <v>0.3</v>
          </cell>
          <cell r="AM94">
            <v>0.3</v>
          </cell>
          <cell r="AN94">
            <v>0.3</v>
          </cell>
          <cell r="AO94">
            <v>0.3</v>
          </cell>
          <cell r="AP94">
            <v>0.3</v>
          </cell>
          <cell r="AQ94">
            <v>0.3</v>
          </cell>
          <cell r="AR94">
            <v>0.3</v>
          </cell>
          <cell r="AS94">
            <v>0.3</v>
          </cell>
          <cell r="AT94">
            <v>0.3</v>
          </cell>
          <cell r="AU94">
            <v>0.3</v>
          </cell>
          <cell r="AV94">
            <v>0.3</v>
          </cell>
          <cell r="AW94">
            <v>0.3</v>
          </cell>
          <cell r="AX94">
            <v>0.3</v>
          </cell>
          <cell r="AY94">
            <v>0.3</v>
          </cell>
          <cell r="AZ94">
            <v>0.3</v>
          </cell>
          <cell r="BA94">
            <v>0.3</v>
          </cell>
          <cell r="BB94">
            <v>0.3</v>
          </cell>
          <cell r="BC94">
            <v>0.3</v>
          </cell>
          <cell r="BD94">
            <v>0.3</v>
          </cell>
          <cell r="BE94">
            <v>0.3</v>
          </cell>
          <cell r="BF94">
            <v>0.3</v>
          </cell>
          <cell r="BG94">
            <v>0.3</v>
          </cell>
          <cell r="BH94">
            <v>0.3</v>
          </cell>
          <cell r="BI94">
            <v>0.3</v>
          </cell>
          <cell r="BJ94">
            <v>0.3</v>
          </cell>
          <cell r="BK94">
            <v>0.3</v>
          </cell>
          <cell r="BL94">
            <v>0.3</v>
          </cell>
          <cell r="BM94">
            <v>0.3</v>
          </cell>
          <cell r="BN94">
            <v>0.3</v>
          </cell>
          <cell r="BO94">
            <v>0.3</v>
          </cell>
          <cell r="BP94">
            <v>0.3</v>
          </cell>
          <cell r="BQ94">
            <v>0.3</v>
          </cell>
          <cell r="BR94">
            <v>0.3</v>
          </cell>
          <cell r="BS94">
            <v>0.3</v>
          </cell>
          <cell r="BT94">
            <v>0.3</v>
          </cell>
          <cell r="BU94">
            <v>0.3</v>
          </cell>
          <cell r="BV94">
            <v>0.3</v>
          </cell>
          <cell r="BW94">
            <v>0.3</v>
          </cell>
          <cell r="BX94">
            <v>0.3</v>
          </cell>
          <cell r="BY94">
            <v>0.3</v>
          </cell>
          <cell r="BZ94">
            <v>0.3</v>
          </cell>
          <cell r="CA94">
            <v>0.3</v>
          </cell>
          <cell r="CB94">
            <v>0.3</v>
          </cell>
          <cell r="CC94">
            <v>0.3</v>
          </cell>
          <cell r="CD94">
            <v>0.3</v>
          </cell>
          <cell r="CE94">
            <v>0.3</v>
          </cell>
          <cell r="CF94">
            <v>0.3</v>
          </cell>
          <cell r="CG94">
            <v>0.3</v>
          </cell>
          <cell r="CH94">
            <v>0.3</v>
          </cell>
          <cell r="CI94">
            <v>0.3</v>
          </cell>
          <cell r="CJ94">
            <v>0.3</v>
          </cell>
          <cell r="CK94">
            <v>0.3</v>
          </cell>
          <cell r="CL94">
            <v>0.3</v>
          </cell>
          <cell r="CM94">
            <v>0.3</v>
          </cell>
          <cell r="CN94">
            <v>0.3</v>
          </cell>
          <cell r="CO94">
            <v>0.3</v>
          </cell>
          <cell r="CP94">
            <v>0.3</v>
          </cell>
          <cell r="CQ94">
            <v>0.3</v>
          </cell>
          <cell r="CR94">
            <v>0.3</v>
          </cell>
          <cell r="CS94">
            <v>0.3</v>
          </cell>
          <cell r="CT94">
            <v>0.3</v>
          </cell>
          <cell r="CU94">
            <v>0.3</v>
          </cell>
          <cell r="CV94">
            <v>0.3</v>
          </cell>
          <cell r="CW94">
            <v>0.3</v>
          </cell>
          <cell r="CX94">
            <v>0.3</v>
          </cell>
          <cell r="CY94">
            <v>0.3</v>
          </cell>
          <cell r="CZ94">
            <v>0.3</v>
          </cell>
          <cell r="DA94">
            <v>0.3</v>
          </cell>
          <cell r="DB94">
            <v>0.3</v>
          </cell>
          <cell r="DC94">
            <v>0.3</v>
          </cell>
          <cell r="DD94">
            <v>0.3</v>
          </cell>
          <cell r="DE94">
            <v>0.3</v>
          </cell>
          <cell r="DF94">
            <v>0.3</v>
          </cell>
          <cell r="DG94">
            <v>0.3</v>
          </cell>
          <cell r="DH94">
            <v>0.3</v>
          </cell>
          <cell r="DI94">
            <v>0.3</v>
          </cell>
          <cell r="DJ94">
            <v>0.3</v>
          </cell>
          <cell r="DK94">
            <v>0.3</v>
          </cell>
          <cell r="DL94">
            <v>0.3</v>
          </cell>
          <cell r="DM94">
            <v>0.3</v>
          </cell>
          <cell r="DN94">
            <v>0.3</v>
          </cell>
          <cell r="DO94">
            <v>0.3</v>
          </cell>
          <cell r="DP94">
            <v>0.3</v>
          </cell>
          <cell r="DQ94">
            <v>0.3</v>
          </cell>
          <cell r="DR94">
            <v>0.3</v>
          </cell>
          <cell r="DS94">
            <v>0.3</v>
          </cell>
          <cell r="DT94">
            <v>0.3</v>
          </cell>
          <cell r="DU94">
            <v>0.3</v>
          </cell>
          <cell r="DV94">
            <v>0.3</v>
          </cell>
          <cell r="DW94">
            <v>0.3</v>
          </cell>
          <cell r="DX94">
            <v>0.3</v>
          </cell>
          <cell r="DY94">
            <v>0.3</v>
          </cell>
          <cell r="DZ94">
            <v>0.3</v>
          </cell>
          <cell r="EA94">
            <v>0.3</v>
          </cell>
          <cell r="EB94">
            <v>0.3</v>
          </cell>
          <cell r="EC94">
            <v>0.3</v>
          </cell>
          <cell r="ED94">
            <v>0.3</v>
          </cell>
          <cell r="EE94">
            <v>0.3</v>
          </cell>
          <cell r="EF94">
            <v>0.3</v>
          </cell>
          <cell r="EG94">
            <v>0.3</v>
          </cell>
          <cell r="EH94">
            <v>0.3</v>
          </cell>
          <cell r="EI94">
            <v>0.3</v>
          </cell>
          <cell r="EJ94">
            <v>0.3</v>
          </cell>
          <cell r="EK94">
            <v>0.3</v>
          </cell>
          <cell r="EL94">
            <v>0.3</v>
          </cell>
          <cell r="EM94">
            <v>0.3</v>
          </cell>
          <cell r="EN94">
            <v>0.3</v>
          </cell>
          <cell r="EO94">
            <v>0.3</v>
          </cell>
          <cell r="EP94">
            <v>0.3</v>
          </cell>
          <cell r="EQ94">
            <v>0.3</v>
          </cell>
          <cell r="ER94">
            <v>0.3</v>
          </cell>
          <cell r="ES94">
            <v>0.3</v>
          </cell>
          <cell r="ET94">
            <v>0.3</v>
          </cell>
          <cell r="EU94">
            <v>0.3</v>
          </cell>
          <cell r="EV94">
            <v>0.3</v>
          </cell>
          <cell r="EW94">
            <v>0.3</v>
          </cell>
          <cell r="EX94">
            <v>0.3</v>
          </cell>
          <cell r="EY94">
            <v>0.3</v>
          </cell>
          <cell r="EZ94">
            <v>0.3</v>
          </cell>
          <cell r="FA94">
            <v>0.3</v>
          </cell>
          <cell r="FB94">
            <v>0.3</v>
          </cell>
          <cell r="FC94">
            <v>0.3</v>
          </cell>
          <cell r="FD94">
            <v>0.3</v>
          </cell>
          <cell r="FE94">
            <v>0.3</v>
          </cell>
          <cell r="FF94">
            <v>0.3</v>
          </cell>
          <cell r="FG94">
            <v>0.3</v>
          </cell>
          <cell r="FH94">
            <v>0.3</v>
          </cell>
          <cell r="FI94">
            <v>0.3</v>
          </cell>
          <cell r="FJ94">
            <v>0.3</v>
          </cell>
          <cell r="FK94">
            <v>0.3</v>
          </cell>
          <cell r="FL94">
            <v>0.3</v>
          </cell>
          <cell r="FM94">
            <v>0.3</v>
          </cell>
          <cell r="FN94">
            <v>0.3</v>
          </cell>
        </row>
        <row r="95">
          <cell r="A95" t="str">
            <v>G3SABANE</v>
          </cell>
          <cell r="B95" t="str">
            <v>SABANETA</v>
          </cell>
          <cell r="C95">
            <v>4.8</v>
          </cell>
          <cell r="D95">
            <v>4.8</v>
          </cell>
          <cell r="E95">
            <v>4.8</v>
          </cell>
          <cell r="F95">
            <v>4.8</v>
          </cell>
          <cell r="G95">
            <v>4.8</v>
          </cell>
          <cell r="H95">
            <v>4.8</v>
          </cell>
          <cell r="I95">
            <v>4.8</v>
          </cell>
          <cell r="J95">
            <v>4.8</v>
          </cell>
          <cell r="K95">
            <v>4.8</v>
          </cell>
          <cell r="L95">
            <v>4.8</v>
          </cell>
          <cell r="M95">
            <v>4.8</v>
          </cell>
          <cell r="N95">
            <v>4.8</v>
          </cell>
          <cell r="O95">
            <v>4.8</v>
          </cell>
          <cell r="P95">
            <v>4.8</v>
          </cell>
          <cell r="Q95">
            <v>4.8</v>
          </cell>
          <cell r="R95">
            <v>4.8</v>
          </cell>
          <cell r="S95">
            <v>4.8</v>
          </cell>
          <cell r="T95">
            <v>4.8</v>
          </cell>
          <cell r="U95">
            <v>4.8</v>
          </cell>
          <cell r="V95">
            <v>4.8</v>
          </cell>
          <cell r="W95">
            <v>4.8</v>
          </cell>
          <cell r="X95">
            <v>4.8</v>
          </cell>
          <cell r="Y95">
            <v>4.8</v>
          </cell>
          <cell r="Z95">
            <v>4.8</v>
          </cell>
          <cell r="AA95">
            <v>4.8</v>
          </cell>
          <cell r="AB95">
            <v>4.8</v>
          </cell>
          <cell r="AC95">
            <v>4.8</v>
          </cell>
          <cell r="AD95">
            <v>4.8</v>
          </cell>
          <cell r="AE95">
            <v>4.8</v>
          </cell>
          <cell r="AF95">
            <v>4.8</v>
          </cell>
          <cell r="AG95">
            <v>4.8</v>
          </cell>
          <cell r="AH95">
            <v>4.8</v>
          </cell>
          <cell r="AI95">
            <v>4.8</v>
          </cell>
          <cell r="AJ95">
            <v>4.8</v>
          </cell>
          <cell r="AK95">
            <v>4.8</v>
          </cell>
          <cell r="AL95">
            <v>4.8</v>
          </cell>
          <cell r="AM95">
            <v>4.8</v>
          </cell>
          <cell r="AN95">
            <v>4.8</v>
          </cell>
          <cell r="AO95">
            <v>4.8</v>
          </cell>
          <cell r="AP95">
            <v>4.8</v>
          </cell>
          <cell r="AQ95">
            <v>4.8</v>
          </cell>
          <cell r="AR95">
            <v>4.8</v>
          </cell>
          <cell r="AS95">
            <v>4.8</v>
          </cell>
          <cell r="AT95">
            <v>4.8</v>
          </cell>
          <cell r="AU95">
            <v>4.8</v>
          </cell>
          <cell r="AV95">
            <v>4.8</v>
          </cell>
          <cell r="AW95">
            <v>4.8</v>
          </cell>
          <cell r="AX95">
            <v>4.8</v>
          </cell>
          <cell r="AY95">
            <v>4.8</v>
          </cell>
          <cell r="AZ95">
            <v>4.8</v>
          </cell>
          <cell r="BA95">
            <v>4.8</v>
          </cell>
          <cell r="BB95">
            <v>4.8</v>
          </cell>
          <cell r="BC95">
            <v>4.8</v>
          </cell>
          <cell r="BD95">
            <v>4.8</v>
          </cell>
          <cell r="BE95">
            <v>4.8</v>
          </cell>
          <cell r="BF95">
            <v>4.8</v>
          </cell>
          <cell r="BG95">
            <v>4.8</v>
          </cell>
          <cell r="BH95">
            <v>4.8</v>
          </cell>
          <cell r="BI95">
            <v>4.8</v>
          </cell>
          <cell r="BJ95">
            <v>4.8</v>
          </cell>
          <cell r="BK95">
            <v>4.8</v>
          </cell>
          <cell r="BL95">
            <v>4.8</v>
          </cell>
          <cell r="BM95">
            <v>4.8</v>
          </cell>
          <cell r="BN95">
            <v>4.8</v>
          </cell>
          <cell r="BO95">
            <v>4.8</v>
          </cell>
          <cell r="BP95">
            <v>4.8</v>
          </cell>
          <cell r="BQ95">
            <v>4.8</v>
          </cell>
          <cell r="BR95">
            <v>4.8</v>
          </cell>
          <cell r="BS95">
            <v>4.8</v>
          </cell>
          <cell r="BT95">
            <v>4.8</v>
          </cell>
          <cell r="BU95">
            <v>4.8</v>
          </cell>
          <cell r="BV95">
            <v>4.8</v>
          </cell>
          <cell r="BW95">
            <v>4.8</v>
          </cell>
          <cell r="BX95">
            <v>4.8</v>
          </cell>
          <cell r="BY95">
            <v>4.8</v>
          </cell>
          <cell r="BZ95">
            <v>4.8</v>
          </cell>
          <cell r="CA95">
            <v>4.8</v>
          </cell>
          <cell r="CB95">
            <v>4.8</v>
          </cell>
          <cell r="CC95">
            <v>4.8</v>
          </cell>
          <cell r="CD95">
            <v>4.8</v>
          </cell>
          <cell r="CE95">
            <v>4.8</v>
          </cell>
          <cell r="CF95">
            <v>4.8</v>
          </cell>
          <cell r="CG95">
            <v>4.8</v>
          </cell>
          <cell r="CH95">
            <v>4.8</v>
          </cell>
          <cell r="CI95">
            <v>4.8</v>
          </cell>
          <cell r="CJ95">
            <v>4.8</v>
          </cell>
          <cell r="CK95">
            <v>4.8</v>
          </cell>
          <cell r="CL95">
            <v>4.8</v>
          </cell>
          <cell r="CM95">
            <v>4.8</v>
          </cell>
          <cell r="CN95">
            <v>4.8</v>
          </cell>
          <cell r="CO95">
            <v>4.8</v>
          </cell>
          <cell r="CP95">
            <v>4.8</v>
          </cell>
          <cell r="CQ95">
            <v>4.8</v>
          </cell>
          <cell r="CR95">
            <v>4.8</v>
          </cell>
          <cell r="CS95">
            <v>4.8</v>
          </cell>
          <cell r="CT95">
            <v>4.8</v>
          </cell>
          <cell r="CU95">
            <v>4.8</v>
          </cell>
          <cell r="CV95">
            <v>4.8</v>
          </cell>
          <cell r="CW95">
            <v>4.8</v>
          </cell>
          <cell r="CX95">
            <v>4.8</v>
          </cell>
          <cell r="CY95">
            <v>4.8</v>
          </cell>
          <cell r="CZ95">
            <v>4.8</v>
          </cell>
          <cell r="DA95">
            <v>4.8</v>
          </cell>
          <cell r="DB95">
            <v>4.8</v>
          </cell>
          <cell r="DC95">
            <v>4.8</v>
          </cell>
          <cell r="DD95">
            <v>4.8</v>
          </cell>
          <cell r="DE95">
            <v>4.8</v>
          </cell>
          <cell r="DF95">
            <v>4.8</v>
          </cell>
          <cell r="DG95">
            <v>4.8</v>
          </cell>
          <cell r="DH95">
            <v>4.8</v>
          </cell>
          <cell r="DI95">
            <v>4.8</v>
          </cell>
          <cell r="DJ95">
            <v>4.8</v>
          </cell>
          <cell r="DK95">
            <v>4.8</v>
          </cell>
          <cell r="DL95">
            <v>4.8</v>
          </cell>
          <cell r="DM95">
            <v>4.8</v>
          </cell>
          <cell r="DN95">
            <v>4.8</v>
          </cell>
          <cell r="DO95">
            <v>4.8</v>
          </cell>
          <cell r="DP95">
            <v>4.8</v>
          </cell>
          <cell r="DQ95">
            <v>4.8</v>
          </cell>
          <cell r="DR95">
            <v>4.8</v>
          </cell>
          <cell r="DS95">
            <v>4.8</v>
          </cell>
          <cell r="DT95">
            <v>4.8</v>
          </cell>
          <cell r="DU95">
            <v>4.8</v>
          </cell>
          <cell r="DV95">
            <v>4.8</v>
          </cell>
          <cell r="DW95">
            <v>4.8</v>
          </cell>
          <cell r="DX95">
            <v>4.8</v>
          </cell>
          <cell r="DY95">
            <v>4.8</v>
          </cell>
          <cell r="DZ95">
            <v>4.8</v>
          </cell>
          <cell r="EA95">
            <v>4.8</v>
          </cell>
          <cell r="EB95">
            <v>4.8</v>
          </cell>
          <cell r="EC95">
            <v>4.8</v>
          </cell>
          <cell r="ED95">
            <v>4.8</v>
          </cell>
          <cell r="EE95">
            <v>4.8</v>
          </cell>
          <cell r="EF95">
            <v>4.8</v>
          </cell>
          <cell r="EG95">
            <v>4.8</v>
          </cell>
          <cell r="EH95">
            <v>4.8</v>
          </cell>
          <cell r="EI95">
            <v>4.8</v>
          </cell>
          <cell r="EJ95">
            <v>4.8</v>
          </cell>
          <cell r="EK95">
            <v>4.8</v>
          </cell>
          <cell r="EL95">
            <v>4.8</v>
          </cell>
          <cell r="EM95">
            <v>4.8</v>
          </cell>
          <cell r="EN95">
            <v>4.8</v>
          </cell>
          <cell r="EO95">
            <v>4.8</v>
          </cell>
          <cell r="EP95">
            <v>4.8</v>
          </cell>
          <cell r="EQ95">
            <v>4.8</v>
          </cell>
          <cell r="ER95">
            <v>4.8</v>
          </cell>
          <cell r="ES95">
            <v>4.8</v>
          </cell>
          <cell r="ET95">
            <v>4.8</v>
          </cell>
          <cell r="EU95">
            <v>4.8</v>
          </cell>
          <cell r="EV95">
            <v>4.8</v>
          </cell>
          <cell r="EW95">
            <v>4.8</v>
          </cell>
          <cell r="EX95">
            <v>4.8</v>
          </cell>
          <cell r="EY95">
            <v>4.8</v>
          </cell>
          <cell r="EZ95">
            <v>4.8</v>
          </cell>
          <cell r="FA95">
            <v>4.8</v>
          </cell>
          <cell r="FB95">
            <v>4.8</v>
          </cell>
          <cell r="FC95">
            <v>4.8</v>
          </cell>
          <cell r="FD95">
            <v>4.8</v>
          </cell>
          <cell r="FE95">
            <v>4.8</v>
          </cell>
          <cell r="FF95">
            <v>4.8</v>
          </cell>
          <cell r="FG95">
            <v>4.8</v>
          </cell>
          <cell r="FH95">
            <v>4.8</v>
          </cell>
          <cell r="FI95">
            <v>4.8</v>
          </cell>
          <cell r="FJ95">
            <v>4.8</v>
          </cell>
          <cell r="FK95">
            <v>4.8</v>
          </cell>
          <cell r="FL95">
            <v>4.8</v>
          </cell>
          <cell r="FM95">
            <v>4.8</v>
          </cell>
          <cell r="FN95">
            <v>4.8</v>
          </cell>
        </row>
        <row r="96">
          <cell r="A96" t="str">
            <v>G3SESTE</v>
          </cell>
          <cell r="B96" t="str">
            <v>SULTANA DEL ESTE</v>
          </cell>
          <cell r="C96">
            <v>66</v>
          </cell>
          <cell r="D96">
            <v>66</v>
          </cell>
          <cell r="E96">
            <v>66</v>
          </cell>
          <cell r="F96">
            <v>66</v>
          </cell>
          <cell r="G96">
            <v>66</v>
          </cell>
          <cell r="H96">
            <v>66</v>
          </cell>
          <cell r="I96">
            <v>66</v>
          </cell>
          <cell r="J96">
            <v>66</v>
          </cell>
          <cell r="K96">
            <v>66</v>
          </cell>
          <cell r="L96">
            <v>66</v>
          </cell>
          <cell r="M96">
            <v>66</v>
          </cell>
          <cell r="N96">
            <v>66</v>
          </cell>
          <cell r="O96">
            <v>66</v>
          </cell>
          <cell r="P96">
            <v>66</v>
          </cell>
          <cell r="Q96">
            <v>66</v>
          </cell>
          <cell r="R96">
            <v>66</v>
          </cell>
          <cell r="S96">
            <v>66</v>
          </cell>
          <cell r="T96">
            <v>66</v>
          </cell>
          <cell r="U96">
            <v>66</v>
          </cell>
          <cell r="V96">
            <v>66</v>
          </cell>
          <cell r="W96">
            <v>66</v>
          </cell>
          <cell r="X96">
            <v>66</v>
          </cell>
          <cell r="Y96">
            <v>66</v>
          </cell>
          <cell r="Z96">
            <v>66</v>
          </cell>
          <cell r="AA96">
            <v>66</v>
          </cell>
          <cell r="AB96">
            <v>66</v>
          </cell>
          <cell r="AC96">
            <v>66</v>
          </cell>
          <cell r="AD96">
            <v>66</v>
          </cell>
          <cell r="AE96">
            <v>66</v>
          </cell>
          <cell r="AF96">
            <v>66</v>
          </cell>
          <cell r="AG96">
            <v>66</v>
          </cell>
          <cell r="AH96">
            <v>66</v>
          </cell>
          <cell r="AI96">
            <v>66</v>
          </cell>
          <cell r="AJ96">
            <v>66</v>
          </cell>
          <cell r="AK96">
            <v>66</v>
          </cell>
          <cell r="AL96">
            <v>66</v>
          </cell>
          <cell r="AM96">
            <v>66</v>
          </cell>
          <cell r="AN96">
            <v>66</v>
          </cell>
          <cell r="AO96">
            <v>66</v>
          </cell>
          <cell r="AP96">
            <v>66</v>
          </cell>
          <cell r="AQ96">
            <v>66</v>
          </cell>
          <cell r="AR96">
            <v>66</v>
          </cell>
          <cell r="AS96">
            <v>66</v>
          </cell>
          <cell r="AT96">
            <v>66</v>
          </cell>
          <cell r="AU96">
            <v>66</v>
          </cell>
          <cell r="AV96">
            <v>66</v>
          </cell>
          <cell r="AW96">
            <v>66</v>
          </cell>
          <cell r="AX96">
            <v>66</v>
          </cell>
          <cell r="AY96">
            <v>66</v>
          </cell>
          <cell r="AZ96">
            <v>66</v>
          </cell>
          <cell r="BA96">
            <v>66</v>
          </cell>
          <cell r="BB96">
            <v>66</v>
          </cell>
          <cell r="BC96">
            <v>66</v>
          </cell>
          <cell r="BD96">
            <v>66</v>
          </cell>
          <cell r="BE96">
            <v>66</v>
          </cell>
          <cell r="BF96">
            <v>66</v>
          </cell>
          <cell r="BG96">
            <v>66</v>
          </cell>
          <cell r="BH96">
            <v>66</v>
          </cell>
          <cell r="BI96">
            <v>66</v>
          </cell>
          <cell r="BJ96">
            <v>66</v>
          </cell>
          <cell r="BK96">
            <v>66</v>
          </cell>
          <cell r="BL96">
            <v>66</v>
          </cell>
          <cell r="BM96">
            <v>66</v>
          </cell>
          <cell r="BN96">
            <v>66</v>
          </cell>
          <cell r="BO96">
            <v>66</v>
          </cell>
          <cell r="BP96">
            <v>66</v>
          </cell>
          <cell r="BQ96">
            <v>66</v>
          </cell>
          <cell r="BR96">
            <v>66</v>
          </cell>
          <cell r="BS96">
            <v>66</v>
          </cell>
          <cell r="BT96">
            <v>66</v>
          </cell>
          <cell r="BU96">
            <v>66</v>
          </cell>
          <cell r="BV96">
            <v>66</v>
          </cell>
          <cell r="BW96">
            <v>51</v>
          </cell>
          <cell r="BX96">
            <v>51</v>
          </cell>
          <cell r="BY96">
            <v>51</v>
          </cell>
          <cell r="BZ96">
            <v>51</v>
          </cell>
          <cell r="CA96">
            <v>51</v>
          </cell>
          <cell r="CB96">
            <v>51</v>
          </cell>
          <cell r="CC96">
            <v>51</v>
          </cell>
          <cell r="CD96">
            <v>51</v>
          </cell>
          <cell r="CE96">
            <v>51</v>
          </cell>
          <cell r="CF96">
            <v>51</v>
          </cell>
          <cell r="CG96">
            <v>51</v>
          </cell>
          <cell r="CH96">
            <v>51</v>
          </cell>
          <cell r="CI96">
            <v>66</v>
          </cell>
          <cell r="CJ96">
            <v>66</v>
          </cell>
          <cell r="CK96">
            <v>66</v>
          </cell>
          <cell r="CL96">
            <v>66</v>
          </cell>
          <cell r="CM96">
            <v>66</v>
          </cell>
          <cell r="CN96">
            <v>66</v>
          </cell>
          <cell r="CO96">
            <v>66</v>
          </cell>
          <cell r="CP96">
            <v>66</v>
          </cell>
          <cell r="CQ96">
            <v>66</v>
          </cell>
          <cell r="CR96">
            <v>66</v>
          </cell>
          <cell r="CS96">
            <v>66</v>
          </cell>
          <cell r="CT96">
            <v>66</v>
          </cell>
          <cell r="CU96">
            <v>66</v>
          </cell>
          <cell r="CV96">
            <v>66</v>
          </cell>
          <cell r="CW96">
            <v>66</v>
          </cell>
          <cell r="CX96">
            <v>66</v>
          </cell>
          <cell r="CY96">
            <v>66</v>
          </cell>
          <cell r="CZ96">
            <v>66</v>
          </cell>
          <cell r="DA96">
            <v>66</v>
          </cell>
          <cell r="DB96">
            <v>66</v>
          </cell>
          <cell r="DC96">
            <v>66</v>
          </cell>
          <cell r="DD96">
            <v>66</v>
          </cell>
          <cell r="DE96">
            <v>66</v>
          </cell>
          <cell r="DF96">
            <v>66</v>
          </cell>
          <cell r="DG96">
            <v>66</v>
          </cell>
          <cell r="DH96">
            <v>66</v>
          </cell>
          <cell r="DI96">
            <v>66</v>
          </cell>
          <cell r="DJ96">
            <v>66</v>
          </cell>
          <cell r="DK96">
            <v>66</v>
          </cell>
          <cell r="DL96">
            <v>66</v>
          </cell>
          <cell r="DM96">
            <v>66</v>
          </cell>
          <cell r="DN96">
            <v>66</v>
          </cell>
          <cell r="DO96">
            <v>66</v>
          </cell>
          <cell r="DP96">
            <v>66</v>
          </cell>
          <cell r="DQ96">
            <v>66</v>
          </cell>
          <cell r="DR96">
            <v>66</v>
          </cell>
          <cell r="DS96">
            <v>66</v>
          </cell>
          <cell r="DT96">
            <v>66</v>
          </cell>
          <cell r="DU96">
            <v>66</v>
          </cell>
          <cell r="DV96">
            <v>66</v>
          </cell>
          <cell r="DW96">
            <v>66</v>
          </cell>
          <cell r="DX96">
            <v>66</v>
          </cell>
          <cell r="DY96">
            <v>66</v>
          </cell>
          <cell r="DZ96">
            <v>66</v>
          </cell>
          <cell r="EA96">
            <v>66</v>
          </cell>
          <cell r="EB96">
            <v>66</v>
          </cell>
          <cell r="EC96">
            <v>66</v>
          </cell>
          <cell r="ED96">
            <v>66</v>
          </cell>
          <cell r="EE96">
            <v>66</v>
          </cell>
          <cell r="EF96">
            <v>66</v>
          </cell>
          <cell r="EG96">
            <v>66</v>
          </cell>
          <cell r="EH96">
            <v>66</v>
          </cell>
          <cell r="EI96">
            <v>66</v>
          </cell>
          <cell r="EJ96">
            <v>66</v>
          </cell>
          <cell r="EK96">
            <v>66</v>
          </cell>
          <cell r="EL96">
            <v>66</v>
          </cell>
          <cell r="EM96">
            <v>66</v>
          </cell>
          <cell r="EN96">
            <v>66</v>
          </cell>
          <cell r="EO96">
            <v>66</v>
          </cell>
          <cell r="EP96">
            <v>66</v>
          </cell>
          <cell r="EQ96">
            <v>66</v>
          </cell>
          <cell r="ER96">
            <v>66</v>
          </cell>
          <cell r="ES96">
            <v>66</v>
          </cell>
          <cell r="ET96">
            <v>66</v>
          </cell>
          <cell r="EU96">
            <v>66</v>
          </cell>
          <cell r="EV96">
            <v>66</v>
          </cell>
          <cell r="EW96">
            <v>66</v>
          </cell>
          <cell r="EX96">
            <v>66</v>
          </cell>
          <cell r="EY96">
            <v>66</v>
          </cell>
          <cell r="EZ96">
            <v>66</v>
          </cell>
          <cell r="FA96">
            <v>66</v>
          </cell>
          <cell r="FB96">
            <v>66</v>
          </cell>
          <cell r="FC96">
            <v>66</v>
          </cell>
          <cell r="FD96">
            <v>66</v>
          </cell>
          <cell r="FE96">
            <v>66</v>
          </cell>
          <cell r="FF96">
            <v>66</v>
          </cell>
          <cell r="FG96">
            <v>66</v>
          </cell>
          <cell r="FH96">
            <v>66</v>
          </cell>
          <cell r="FI96">
            <v>66</v>
          </cell>
          <cell r="FJ96">
            <v>66</v>
          </cell>
          <cell r="FK96">
            <v>66</v>
          </cell>
          <cell r="FL96">
            <v>66</v>
          </cell>
          <cell r="FM96">
            <v>66</v>
          </cell>
          <cell r="FN96">
            <v>66</v>
          </cell>
        </row>
        <row r="97">
          <cell r="A97" t="str">
            <v>G3SFCC</v>
          </cell>
          <cell r="B97" t="str">
            <v>SAN FELIPE CC</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0</v>
          </cell>
          <cell r="DF97">
            <v>0</v>
          </cell>
          <cell r="DG97">
            <v>0</v>
          </cell>
          <cell r="DH97">
            <v>0</v>
          </cell>
          <cell r="DI97">
            <v>0</v>
          </cell>
          <cell r="DJ97">
            <v>0</v>
          </cell>
          <cell r="DK97">
            <v>0</v>
          </cell>
          <cell r="DL97">
            <v>0</v>
          </cell>
          <cell r="DM97">
            <v>0</v>
          </cell>
          <cell r="DN97">
            <v>0</v>
          </cell>
          <cell r="DO97">
            <v>0</v>
          </cell>
          <cell r="DP97">
            <v>0</v>
          </cell>
          <cell r="DQ97">
            <v>0</v>
          </cell>
          <cell r="DR97">
            <v>0</v>
          </cell>
          <cell r="DS97">
            <v>0</v>
          </cell>
          <cell r="DT97">
            <v>0</v>
          </cell>
          <cell r="DU97">
            <v>0</v>
          </cell>
          <cell r="DV97">
            <v>0</v>
          </cell>
          <cell r="DW97">
            <v>0</v>
          </cell>
          <cell r="DX97">
            <v>0</v>
          </cell>
          <cell r="DY97">
            <v>0</v>
          </cell>
          <cell r="DZ97">
            <v>0</v>
          </cell>
          <cell r="EA97">
            <v>0</v>
          </cell>
          <cell r="EB97">
            <v>0</v>
          </cell>
          <cell r="EC97">
            <v>0</v>
          </cell>
          <cell r="ED97">
            <v>0</v>
          </cell>
          <cell r="EE97">
            <v>0</v>
          </cell>
          <cell r="EF97">
            <v>0</v>
          </cell>
          <cell r="EG97">
            <v>0</v>
          </cell>
          <cell r="EH97">
            <v>0</v>
          </cell>
          <cell r="EI97">
            <v>0</v>
          </cell>
          <cell r="EJ97">
            <v>0</v>
          </cell>
          <cell r="EK97">
            <v>0</v>
          </cell>
          <cell r="EL97">
            <v>0</v>
          </cell>
          <cell r="EM97">
            <v>0</v>
          </cell>
          <cell r="EN97">
            <v>0</v>
          </cell>
          <cell r="EO97">
            <v>0</v>
          </cell>
          <cell r="EP97">
            <v>0</v>
          </cell>
          <cell r="EQ97">
            <v>0</v>
          </cell>
          <cell r="ER97">
            <v>0</v>
          </cell>
          <cell r="ES97">
            <v>0</v>
          </cell>
          <cell r="ET97">
            <v>0</v>
          </cell>
          <cell r="EU97">
            <v>0</v>
          </cell>
          <cell r="EV97">
            <v>0</v>
          </cell>
          <cell r="EW97">
            <v>0</v>
          </cell>
          <cell r="EX97">
            <v>0</v>
          </cell>
          <cell r="EY97">
            <v>0</v>
          </cell>
          <cell r="EZ97">
            <v>0</v>
          </cell>
          <cell r="FA97">
            <v>0</v>
          </cell>
          <cell r="FB97">
            <v>0</v>
          </cell>
          <cell r="FC97">
            <v>0</v>
          </cell>
          <cell r="FD97">
            <v>0</v>
          </cell>
          <cell r="FE97">
            <v>0</v>
          </cell>
          <cell r="FF97">
            <v>0</v>
          </cell>
          <cell r="FG97">
            <v>0</v>
          </cell>
          <cell r="FH97">
            <v>0</v>
          </cell>
          <cell r="FI97">
            <v>0</v>
          </cell>
          <cell r="FJ97">
            <v>0</v>
          </cell>
          <cell r="FK97">
            <v>0</v>
          </cell>
          <cell r="FL97">
            <v>0</v>
          </cell>
          <cell r="FM97">
            <v>0</v>
          </cell>
          <cell r="FN97">
            <v>0</v>
          </cell>
        </row>
        <row r="98">
          <cell r="A98" t="str">
            <v>G3SFELIP</v>
          </cell>
          <cell r="B98" t="str">
            <v>SAN FELIPE</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cell r="FD98">
            <v>0</v>
          </cell>
          <cell r="FE98">
            <v>0</v>
          </cell>
          <cell r="FF98">
            <v>0</v>
          </cell>
          <cell r="FG98">
            <v>0</v>
          </cell>
          <cell r="FH98">
            <v>0</v>
          </cell>
          <cell r="FI98">
            <v>0</v>
          </cell>
          <cell r="FJ98">
            <v>0</v>
          </cell>
          <cell r="FK98">
            <v>0</v>
          </cell>
          <cell r="FL98">
            <v>0</v>
          </cell>
          <cell r="FM98">
            <v>0</v>
          </cell>
          <cell r="FN98">
            <v>0</v>
          </cell>
        </row>
        <row r="99">
          <cell r="A99" t="str">
            <v>G3SFV</v>
          </cell>
          <cell r="B99" t="str">
            <v>SAN FELIPE VAP</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cell r="FD99">
            <v>0</v>
          </cell>
          <cell r="FE99">
            <v>0</v>
          </cell>
          <cell r="FF99">
            <v>0</v>
          </cell>
          <cell r="FG99">
            <v>0</v>
          </cell>
          <cell r="FH99">
            <v>0</v>
          </cell>
          <cell r="FI99">
            <v>0</v>
          </cell>
          <cell r="FJ99">
            <v>0</v>
          </cell>
          <cell r="FK99">
            <v>0</v>
          </cell>
          <cell r="FL99">
            <v>0</v>
          </cell>
          <cell r="FM99">
            <v>0</v>
          </cell>
          <cell r="FN99">
            <v>0</v>
          </cell>
        </row>
        <row r="100">
          <cell r="A100" t="str">
            <v>G3SLORE1</v>
          </cell>
          <cell r="B100" t="str">
            <v>SAN LORENZO 1</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cell r="EW100">
            <v>0</v>
          </cell>
          <cell r="EX100">
            <v>0</v>
          </cell>
          <cell r="EY100">
            <v>0</v>
          </cell>
          <cell r="EZ100">
            <v>0</v>
          </cell>
          <cell r="FA100">
            <v>0</v>
          </cell>
          <cell r="FB100">
            <v>0</v>
          </cell>
          <cell r="FC100">
            <v>0</v>
          </cell>
          <cell r="FD100">
            <v>0</v>
          </cell>
          <cell r="FE100">
            <v>0</v>
          </cell>
          <cell r="FF100">
            <v>0</v>
          </cell>
          <cell r="FG100">
            <v>0</v>
          </cell>
          <cell r="FH100">
            <v>0</v>
          </cell>
          <cell r="FI100">
            <v>0</v>
          </cell>
          <cell r="FJ100">
            <v>0</v>
          </cell>
          <cell r="FK100">
            <v>0</v>
          </cell>
          <cell r="FL100">
            <v>0</v>
          </cell>
          <cell r="FM100">
            <v>0</v>
          </cell>
          <cell r="FN100">
            <v>0</v>
          </cell>
        </row>
        <row r="101">
          <cell r="A101" t="str">
            <v>G3SPBIOE</v>
          </cell>
          <cell r="B101" t="str">
            <v>SAN PEDRO BIO-ENERGY</v>
          </cell>
          <cell r="C101">
            <v>20</v>
          </cell>
          <cell r="D101">
            <v>20</v>
          </cell>
          <cell r="E101">
            <v>20</v>
          </cell>
          <cell r="F101">
            <v>20</v>
          </cell>
          <cell r="G101">
            <v>20</v>
          </cell>
          <cell r="H101">
            <v>20</v>
          </cell>
          <cell r="I101">
            <v>20</v>
          </cell>
          <cell r="J101">
            <v>20</v>
          </cell>
          <cell r="K101">
            <v>20</v>
          </cell>
          <cell r="L101">
            <v>20</v>
          </cell>
          <cell r="M101">
            <v>20</v>
          </cell>
          <cell r="N101">
            <v>20</v>
          </cell>
          <cell r="O101">
            <v>20</v>
          </cell>
          <cell r="P101">
            <v>20</v>
          </cell>
          <cell r="Q101">
            <v>20</v>
          </cell>
          <cell r="R101">
            <v>20</v>
          </cell>
          <cell r="S101">
            <v>20</v>
          </cell>
          <cell r="T101">
            <v>20</v>
          </cell>
          <cell r="U101">
            <v>20</v>
          </cell>
          <cell r="V101">
            <v>20</v>
          </cell>
          <cell r="W101">
            <v>20</v>
          </cell>
          <cell r="X101">
            <v>20</v>
          </cell>
          <cell r="Y101">
            <v>20</v>
          </cell>
          <cell r="Z101">
            <v>20</v>
          </cell>
          <cell r="AA101">
            <v>20</v>
          </cell>
          <cell r="AB101">
            <v>20</v>
          </cell>
          <cell r="AC101">
            <v>20</v>
          </cell>
          <cell r="AD101">
            <v>20</v>
          </cell>
          <cell r="AE101">
            <v>20</v>
          </cell>
          <cell r="AF101">
            <v>20</v>
          </cell>
          <cell r="AG101">
            <v>20</v>
          </cell>
          <cell r="AH101">
            <v>20</v>
          </cell>
          <cell r="AI101">
            <v>20</v>
          </cell>
          <cell r="AJ101">
            <v>20</v>
          </cell>
          <cell r="AK101">
            <v>20</v>
          </cell>
          <cell r="AL101">
            <v>20</v>
          </cell>
          <cell r="AM101">
            <v>20</v>
          </cell>
          <cell r="AN101">
            <v>20</v>
          </cell>
          <cell r="AO101">
            <v>20</v>
          </cell>
          <cell r="AP101">
            <v>20</v>
          </cell>
          <cell r="AQ101">
            <v>20</v>
          </cell>
          <cell r="AR101">
            <v>20</v>
          </cell>
          <cell r="AS101">
            <v>20</v>
          </cell>
          <cell r="AT101">
            <v>20</v>
          </cell>
          <cell r="AU101">
            <v>20</v>
          </cell>
          <cell r="AV101">
            <v>20</v>
          </cell>
          <cell r="AW101">
            <v>20</v>
          </cell>
          <cell r="AX101">
            <v>20</v>
          </cell>
          <cell r="AY101">
            <v>20</v>
          </cell>
          <cell r="AZ101">
            <v>20</v>
          </cell>
          <cell r="BA101">
            <v>20</v>
          </cell>
          <cell r="BB101">
            <v>20</v>
          </cell>
          <cell r="BC101">
            <v>20</v>
          </cell>
          <cell r="BD101">
            <v>20</v>
          </cell>
          <cell r="BE101">
            <v>20</v>
          </cell>
          <cell r="BF101">
            <v>20</v>
          </cell>
          <cell r="BG101">
            <v>20</v>
          </cell>
          <cell r="BH101">
            <v>20</v>
          </cell>
          <cell r="BI101">
            <v>20</v>
          </cell>
          <cell r="BJ101">
            <v>20</v>
          </cell>
          <cell r="BK101">
            <v>20</v>
          </cell>
          <cell r="BL101">
            <v>20</v>
          </cell>
          <cell r="BM101">
            <v>20</v>
          </cell>
          <cell r="BN101">
            <v>20</v>
          </cell>
          <cell r="BO101">
            <v>20</v>
          </cell>
          <cell r="BP101">
            <v>20</v>
          </cell>
          <cell r="BQ101">
            <v>20</v>
          </cell>
          <cell r="BR101">
            <v>20</v>
          </cell>
          <cell r="BS101">
            <v>20</v>
          </cell>
          <cell r="BT101">
            <v>20</v>
          </cell>
          <cell r="BU101">
            <v>20</v>
          </cell>
          <cell r="BV101">
            <v>20</v>
          </cell>
          <cell r="BW101">
            <v>20</v>
          </cell>
          <cell r="BX101">
            <v>20</v>
          </cell>
          <cell r="BY101">
            <v>20</v>
          </cell>
          <cell r="BZ101">
            <v>20</v>
          </cell>
          <cell r="CA101">
            <v>20</v>
          </cell>
          <cell r="CB101">
            <v>20</v>
          </cell>
          <cell r="CC101">
            <v>20</v>
          </cell>
          <cell r="CD101">
            <v>20</v>
          </cell>
          <cell r="CE101">
            <v>20</v>
          </cell>
          <cell r="CF101">
            <v>20</v>
          </cell>
          <cell r="CG101">
            <v>20</v>
          </cell>
          <cell r="CH101">
            <v>20</v>
          </cell>
          <cell r="CI101">
            <v>20</v>
          </cell>
          <cell r="CJ101">
            <v>20</v>
          </cell>
          <cell r="CK101">
            <v>20</v>
          </cell>
          <cell r="CL101">
            <v>20</v>
          </cell>
          <cell r="CM101">
            <v>20</v>
          </cell>
          <cell r="CN101">
            <v>20</v>
          </cell>
          <cell r="CO101">
            <v>20</v>
          </cell>
          <cell r="CP101">
            <v>20</v>
          </cell>
          <cell r="CQ101">
            <v>20</v>
          </cell>
          <cell r="CR101">
            <v>20</v>
          </cell>
          <cell r="CS101">
            <v>20</v>
          </cell>
          <cell r="CT101">
            <v>20</v>
          </cell>
          <cell r="CU101">
            <v>20</v>
          </cell>
          <cell r="CV101">
            <v>20</v>
          </cell>
          <cell r="CW101">
            <v>20</v>
          </cell>
          <cell r="CX101">
            <v>20</v>
          </cell>
          <cell r="CY101">
            <v>20</v>
          </cell>
          <cell r="CZ101">
            <v>20</v>
          </cell>
          <cell r="DA101">
            <v>20</v>
          </cell>
          <cell r="DB101">
            <v>20</v>
          </cell>
          <cell r="DC101">
            <v>20</v>
          </cell>
          <cell r="DD101">
            <v>20</v>
          </cell>
          <cell r="DE101">
            <v>20</v>
          </cell>
          <cell r="DF101">
            <v>20</v>
          </cell>
          <cell r="DG101">
            <v>20</v>
          </cell>
          <cell r="DH101">
            <v>20</v>
          </cell>
          <cell r="DI101">
            <v>20</v>
          </cell>
          <cell r="DJ101">
            <v>20</v>
          </cell>
          <cell r="DK101">
            <v>20</v>
          </cell>
          <cell r="DL101">
            <v>20</v>
          </cell>
          <cell r="DM101">
            <v>20</v>
          </cell>
          <cell r="DN101">
            <v>20</v>
          </cell>
          <cell r="DO101">
            <v>20</v>
          </cell>
          <cell r="DP101">
            <v>20</v>
          </cell>
          <cell r="DQ101">
            <v>20</v>
          </cell>
          <cell r="DR101">
            <v>20</v>
          </cell>
          <cell r="DS101">
            <v>20</v>
          </cell>
          <cell r="DT101">
            <v>20</v>
          </cell>
          <cell r="DU101">
            <v>20</v>
          </cell>
          <cell r="DV101">
            <v>20</v>
          </cell>
          <cell r="DW101">
            <v>20</v>
          </cell>
          <cell r="DX101">
            <v>20</v>
          </cell>
          <cell r="DY101">
            <v>20</v>
          </cell>
          <cell r="DZ101">
            <v>20</v>
          </cell>
          <cell r="EA101">
            <v>20</v>
          </cell>
          <cell r="EB101">
            <v>20</v>
          </cell>
          <cell r="EC101">
            <v>20</v>
          </cell>
          <cell r="ED101">
            <v>20</v>
          </cell>
          <cell r="EE101">
            <v>20</v>
          </cell>
          <cell r="EF101">
            <v>20</v>
          </cell>
          <cell r="EG101">
            <v>20</v>
          </cell>
          <cell r="EH101">
            <v>20</v>
          </cell>
          <cell r="EI101">
            <v>20</v>
          </cell>
          <cell r="EJ101">
            <v>20</v>
          </cell>
          <cell r="EK101">
            <v>20</v>
          </cell>
          <cell r="EL101">
            <v>20</v>
          </cell>
          <cell r="EM101">
            <v>20</v>
          </cell>
          <cell r="EN101">
            <v>20</v>
          </cell>
          <cell r="EO101">
            <v>20</v>
          </cell>
          <cell r="EP101">
            <v>20</v>
          </cell>
          <cell r="EQ101">
            <v>20</v>
          </cell>
          <cell r="ER101">
            <v>20</v>
          </cell>
          <cell r="ES101">
            <v>20</v>
          </cell>
          <cell r="ET101">
            <v>20</v>
          </cell>
          <cell r="EU101">
            <v>20</v>
          </cell>
          <cell r="EV101">
            <v>20</v>
          </cell>
          <cell r="EW101">
            <v>20</v>
          </cell>
          <cell r="EX101">
            <v>20</v>
          </cell>
          <cell r="EY101">
            <v>20</v>
          </cell>
          <cell r="EZ101">
            <v>20</v>
          </cell>
          <cell r="FA101">
            <v>20</v>
          </cell>
          <cell r="FB101">
            <v>20</v>
          </cell>
          <cell r="FC101">
            <v>20</v>
          </cell>
          <cell r="FD101">
            <v>20</v>
          </cell>
          <cell r="FE101">
            <v>20</v>
          </cell>
          <cell r="FF101">
            <v>20</v>
          </cell>
          <cell r="FG101">
            <v>20</v>
          </cell>
          <cell r="FH101">
            <v>20</v>
          </cell>
          <cell r="FI101">
            <v>20</v>
          </cell>
          <cell r="FJ101">
            <v>20</v>
          </cell>
          <cell r="FK101">
            <v>20</v>
          </cell>
          <cell r="FL101">
            <v>20</v>
          </cell>
          <cell r="FM101">
            <v>20</v>
          </cell>
          <cell r="FN101">
            <v>20</v>
          </cell>
        </row>
        <row r="102">
          <cell r="A102" t="str">
            <v>G3SPVAPO</v>
          </cell>
          <cell r="B102" t="str">
            <v>SAN PEDRO VAPOR</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cell r="DN102">
            <v>0</v>
          </cell>
          <cell r="DO102">
            <v>0</v>
          </cell>
          <cell r="DP102">
            <v>0</v>
          </cell>
          <cell r="DQ102">
            <v>0</v>
          </cell>
          <cell r="DR102">
            <v>0</v>
          </cell>
          <cell r="DS102">
            <v>0</v>
          </cell>
          <cell r="DT102">
            <v>0</v>
          </cell>
          <cell r="DU102">
            <v>0</v>
          </cell>
          <cell r="DV102">
            <v>0</v>
          </cell>
          <cell r="DW102">
            <v>0</v>
          </cell>
          <cell r="DX102">
            <v>0</v>
          </cell>
          <cell r="DY102">
            <v>0</v>
          </cell>
          <cell r="DZ102">
            <v>0</v>
          </cell>
          <cell r="EA102">
            <v>0</v>
          </cell>
          <cell r="EB102">
            <v>0</v>
          </cell>
          <cell r="EC102">
            <v>0</v>
          </cell>
          <cell r="ED102">
            <v>0</v>
          </cell>
          <cell r="EE102">
            <v>0</v>
          </cell>
          <cell r="EF102">
            <v>0</v>
          </cell>
          <cell r="EG102">
            <v>0</v>
          </cell>
          <cell r="EH102">
            <v>0</v>
          </cell>
          <cell r="EI102">
            <v>0</v>
          </cell>
          <cell r="EJ102">
            <v>0</v>
          </cell>
          <cell r="EK102">
            <v>0</v>
          </cell>
          <cell r="EL102">
            <v>0</v>
          </cell>
          <cell r="EM102">
            <v>0</v>
          </cell>
          <cell r="EN102">
            <v>0</v>
          </cell>
          <cell r="EO102">
            <v>0</v>
          </cell>
          <cell r="EP102">
            <v>0</v>
          </cell>
          <cell r="EQ102">
            <v>0</v>
          </cell>
          <cell r="ER102">
            <v>0</v>
          </cell>
          <cell r="ES102">
            <v>0</v>
          </cell>
          <cell r="ET102">
            <v>0</v>
          </cell>
          <cell r="EU102">
            <v>0</v>
          </cell>
          <cell r="EV102">
            <v>0</v>
          </cell>
          <cell r="EW102">
            <v>0</v>
          </cell>
          <cell r="EX102">
            <v>0</v>
          </cell>
          <cell r="EY102">
            <v>0</v>
          </cell>
          <cell r="EZ102">
            <v>0</v>
          </cell>
          <cell r="FA102">
            <v>0</v>
          </cell>
          <cell r="FB102">
            <v>0</v>
          </cell>
          <cell r="FC102">
            <v>0</v>
          </cell>
          <cell r="FD102">
            <v>0</v>
          </cell>
          <cell r="FE102">
            <v>0</v>
          </cell>
          <cell r="FF102">
            <v>0</v>
          </cell>
          <cell r="FG102">
            <v>0</v>
          </cell>
          <cell r="FH102">
            <v>0</v>
          </cell>
          <cell r="FI102">
            <v>0</v>
          </cell>
          <cell r="FJ102">
            <v>0</v>
          </cell>
          <cell r="FK102">
            <v>0</v>
          </cell>
          <cell r="FL102">
            <v>0</v>
          </cell>
          <cell r="FM102">
            <v>0</v>
          </cell>
          <cell r="FN102">
            <v>0</v>
          </cell>
        </row>
        <row r="103">
          <cell r="A103" t="str">
            <v>G3SYEGUA</v>
          </cell>
          <cell r="B103" t="str">
            <v>SABANA YEGUA</v>
          </cell>
          <cell r="C103">
            <v>9.1999999999999993</v>
          </cell>
          <cell r="D103">
            <v>9.1999999999999993</v>
          </cell>
          <cell r="E103">
            <v>9.1999999999999993</v>
          </cell>
          <cell r="F103">
            <v>9.1999999999999993</v>
          </cell>
          <cell r="G103">
            <v>9.1999999999999993</v>
          </cell>
          <cell r="H103">
            <v>9.1999999999999993</v>
          </cell>
          <cell r="I103">
            <v>9.1999999999999993</v>
          </cell>
          <cell r="J103">
            <v>9.1999999999999993</v>
          </cell>
          <cell r="K103">
            <v>9.1999999999999993</v>
          </cell>
          <cell r="L103">
            <v>9.1999999999999993</v>
          </cell>
          <cell r="M103">
            <v>9.1999999999999993</v>
          </cell>
          <cell r="N103">
            <v>9.1999999999999993</v>
          </cell>
          <cell r="O103">
            <v>9.1999999999999993</v>
          </cell>
          <cell r="P103">
            <v>9.1999999999999993</v>
          </cell>
          <cell r="Q103">
            <v>9.1999999999999993</v>
          </cell>
          <cell r="R103">
            <v>9.1999999999999993</v>
          </cell>
          <cell r="S103">
            <v>9.1999999999999993</v>
          </cell>
          <cell r="T103">
            <v>9.1999999999999993</v>
          </cell>
          <cell r="U103">
            <v>9.1999999999999993</v>
          </cell>
          <cell r="V103">
            <v>9.1999999999999993</v>
          </cell>
          <cell r="W103">
            <v>9.1999999999999993</v>
          </cell>
          <cell r="X103">
            <v>9.1999999999999993</v>
          </cell>
          <cell r="Y103">
            <v>9.1999999999999993</v>
          </cell>
          <cell r="Z103">
            <v>9.1999999999999993</v>
          </cell>
          <cell r="AA103">
            <v>9.1999999999999993</v>
          </cell>
          <cell r="AB103">
            <v>9.1999999999999993</v>
          </cell>
          <cell r="AC103">
            <v>9.1999999999999993</v>
          </cell>
          <cell r="AD103">
            <v>9.1999999999999993</v>
          </cell>
          <cell r="AE103">
            <v>9.1999999999999993</v>
          </cell>
          <cell r="AF103">
            <v>9.1999999999999993</v>
          </cell>
          <cell r="AG103">
            <v>9.1999999999999993</v>
          </cell>
          <cell r="AH103">
            <v>9.1999999999999993</v>
          </cell>
          <cell r="AI103">
            <v>9.1999999999999993</v>
          </cell>
          <cell r="AJ103">
            <v>9.1999999999999993</v>
          </cell>
          <cell r="AK103">
            <v>9.1999999999999993</v>
          </cell>
          <cell r="AL103">
            <v>9.1999999999999993</v>
          </cell>
          <cell r="AM103">
            <v>9.1999999999999993</v>
          </cell>
          <cell r="AN103">
            <v>9.1999999999999993</v>
          </cell>
          <cell r="AO103">
            <v>9.1999999999999993</v>
          </cell>
          <cell r="AP103">
            <v>9.1999999999999993</v>
          </cell>
          <cell r="AQ103">
            <v>9.1999999999999993</v>
          </cell>
          <cell r="AR103">
            <v>9.1999999999999993</v>
          </cell>
          <cell r="AS103">
            <v>9.1999999999999993</v>
          </cell>
          <cell r="AT103">
            <v>9.1999999999999993</v>
          </cell>
          <cell r="AU103">
            <v>9.1999999999999993</v>
          </cell>
          <cell r="AV103">
            <v>9.1999999999999993</v>
          </cell>
          <cell r="AW103">
            <v>9.1999999999999993</v>
          </cell>
          <cell r="AX103">
            <v>9.1999999999999993</v>
          </cell>
          <cell r="AY103">
            <v>9.1999999999999993</v>
          </cell>
          <cell r="AZ103">
            <v>9.1999999999999993</v>
          </cell>
          <cell r="BA103">
            <v>9.1999999999999993</v>
          </cell>
          <cell r="BB103">
            <v>9.1999999999999993</v>
          </cell>
          <cell r="BC103">
            <v>9.1999999999999993</v>
          </cell>
          <cell r="BD103">
            <v>9.1999999999999993</v>
          </cell>
          <cell r="BE103">
            <v>9.1999999999999993</v>
          </cell>
          <cell r="BF103">
            <v>9.1999999999999993</v>
          </cell>
          <cell r="BG103">
            <v>9.1999999999999993</v>
          </cell>
          <cell r="BH103">
            <v>9.1999999999999993</v>
          </cell>
          <cell r="BI103">
            <v>9.1999999999999993</v>
          </cell>
          <cell r="BJ103">
            <v>9.1999999999999993</v>
          </cell>
          <cell r="BK103">
            <v>9.1999999999999993</v>
          </cell>
          <cell r="BL103">
            <v>9.1999999999999993</v>
          </cell>
          <cell r="BM103">
            <v>9.1999999999999993</v>
          </cell>
          <cell r="BN103">
            <v>9.1999999999999993</v>
          </cell>
          <cell r="BO103">
            <v>9.1999999999999993</v>
          </cell>
          <cell r="BP103">
            <v>9.1999999999999993</v>
          </cell>
          <cell r="BQ103">
            <v>9.1999999999999993</v>
          </cell>
          <cell r="BR103">
            <v>9.1999999999999993</v>
          </cell>
          <cell r="BS103">
            <v>9.1999999999999993</v>
          </cell>
          <cell r="BT103">
            <v>9.1999999999999993</v>
          </cell>
          <cell r="BU103">
            <v>9.1999999999999993</v>
          </cell>
          <cell r="BV103">
            <v>9.1999999999999993</v>
          </cell>
          <cell r="BW103">
            <v>9.1999999999999993</v>
          </cell>
          <cell r="BX103">
            <v>9.1999999999999993</v>
          </cell>
          <cell r="BY103">
            <v>9.1999999999999993</v>
          </cell>
          <cell r="BZ103">
            <v>9.1999999999999993</v>
          </cell>
          <cell r="CA103">
            <v>9.1999999999999993</v>
          </cell>
          <cell r="CB103">
            <v>9.1999999999999993</v>
          </cell>
          <cell r="CC103">
            <v>9.1999999999999993</v>
          </cell>
          <cell r="CD103">
            <v>9.1999999999999993</v>
          </cell>
          <cell r="CE103">
            <v>9.1999999999999993</v>
          </cell>
          <cell r="CF103">
            <v>9.1999999999999993</v>
          </cell>
          <cell r="CG103">
            <v>9.1999999999999993</v>
          </cell>
          <cell r="CH103">
            <v>9.1999999999999993</v>
          </cell>
          <cell r="CI103">
            <v>9.1999999999999993</v>
          </cell>
          <cell r="CJ103">
            <v>9.1999999999999993</v>
          </cell>
          <cell r="CK103">
            <v>9.1999999999999993</v>
          </cell>
          <cell r="CL103">
            <v>9.1999999999999993</v>
          </cell>
          <cell r="CM103">
            <v>9.1999999999999993</v>
          </cell>
          <cell r="CN103">
            <v>9.1999999999999993</v>
          </cell>
          <cell r="CO103">
            <v>9.1999999999999993</v>
          </cell>
          <cell r="CP103">
            <v>9.1999999999999993</v>
          </cell>
          <cell r="CQ103">
            <v>9.1999999999999993</v>
          </cell>
          <cell r="CR103">
            <v>9.1999999999999993</v>
          </cell>
          <cell r="CS103">
            <v>9.1999999999999993</v>
          </cell>
          <cell r="CT103">
            <v>9.1999999999999993</v>
          </cell>
          <cell r="CU103">
            <v>9.1999999999999993</v>
          </cell>
          <cell r="CV103">
            <v>9.1999999999999993</v>
          </cell>
          <cell r="CW103">
            <v>9.1999999999999993</v>
          </cell>
          <cell r="CX103">
            <v>9.1999999999999993</v>
          </cell>
          <cell r="CY103">
            <v>9.1999999999999993</v>
          </cell>
          <cell r="CZ103">
            <v>9.1999999999999993</v>
          </cell>
          <cell r="DA103">
            <v>9.1999999999999993</v>
          </cell>
          <cell r="DB103">
            <v>9.1999999999999993</v>
          </cell>
          <cell r="DC103">
            <v>9.1999999999999993</v>
          </cell>
          <cell r="DD103">
            <v>9.1999999999999993</v>
          </cell>
          <cell r="DE103">
            <v>9.1999999999999993</v>
          </cell>
          <cell r="DF103">
            <v>9.1999999999999993</v>
          </cell>
          <cell r="DG103">
            <v>9.1999999999999993</v>
          </cell>
          <cell r="DH103">
            <v>9.1999999999999993</v>
          </cell>
          <cell r="DI103">
            <v>9.1999999999999993</v>
          </cell>
          <cell r="DJ103">
            <v>9.1999999999999993</v>
          </cell>
          <cell r="DK103">
            <v>9.1999999999999993</v>
          </cell>
          <cell r="DL103">
            <v>9.1999999999999993</v>
          </cell>
          <cell r="DM103">
            <v>9.1999999999999993</v>
          </cell>
          <cell r="DN103">
            <v>9.1999999999999993</v>
          </cell>
          <cell r="DO103">
            <v>9.1999999999999993</v>
          </cell>
          <cell r="DP103">
            <v>9.1999999999999993</v>
          </cell>
          <cell r="DQ103">
            <v>9.1999999999999993</v>
          </cell>
          <cell r="DR103">
            <v>9.1999999999999993</v>
          </cell>
          <cell r="DS103">
            <v>9.1999999999999993</v>
          </cell>
          <cell r="DT103">
            <v>9.1999999999999993</v>
          </cell>
          <cell r="DU103">
            <v>9.1999999999999993</v>
          </cell>
          <cell r="DV103">
            <v>9.1999999999999993</v>
          </cell>
          <cell r="DW103">
            <v>9.1999999999999993</v>
          </cell>
          <cell r="DX103">
            <v>9.1999999999999993</v>
          </cell>
          <cell r="DY103">
            <v>9.1999999999999993</v>
          </cell>
          <cell r="DZ103">
            <v>9.1999999999999993</v>
          </cell>
          <cell r="EA103">
            <v>9.1999999999999993</v>
          </cell>
          <cell r="EB103">
            <v>9.1999999999999993</v>
          </cell>
          <cell r="EC103">
            <v>9.1999999999999993</v>
          </cell>
          <cell r="ED103">
            <v>9.1999999999999993</v>
          </cell>
          <cell r="EE103">
            <v>9.1999999999999993</v>
          </cell>
          <cell r="EF103">
            <v>9.1999999999999993</v>
          </cell>
          <cell r="EG103">
            <v>9.1999999999999993</v>
          </cell>
          <cell r="EH103">
            <v>9.1999999999999993</v>
          </cell>
          <cell r="EI103">
            <v>9.1999999999999993</v>
          </cell>
          <cell r="EJ103">
            <v>9.1999999999999993</v>
          </cell>
          <cell r="EK103">
            <v>9.1999999999999993</v>
          </cell>
          <cell r="EL103">
            <v>9.1999999999999993</v>
          </cell>
          <cell r="EM103">
            <v>9.1999999999999993</v>
          </cell>
          <cell r="EN103">
            <v>9.1999999999999993</v>
          </cell>
          <cell r="EO103">
            <v>9.1999999999999993</v>
          </cell>
          <cell r="EP103">
            <v>9.1999999999999993</v>
          </cell>
          <cell r="EQ103">
            <v>9.1999999999999993</v>
          </cell>
          <cell r="ER103">
            <v>9.1999999999999993</v>
          </cell>
          <cell r="ES103">
            <v>9.1999999999999993</v>
          </cell>
          <cell r="ET103">
            <v>9.1999999999999993</v>
          </cell>
          <cell r="EU103">
            <v>9.1999999999999993</v>
          </cell>
          <cell r="EV103">
            <v>9.1999999999999993</v>
          </cell>
          <cell r="EW103">
            <v>9.1999999999999993</v>
          </cell>
          <cell r="EX103">
            <v>9.1999999999999993</v>
          </cell>
          <cell r="EY103">
            <v>9.1999999999999993</v>
          </cell>
          <cell r="EZ103">
            <v>9.1999999999999993</v>
          </cell>
          <cell r="FA103">
            <v>9.1999999999999993</v>
          </cell>
          <cell r="FB103">
            <v>9.1999999999999993</v>
          </cell>
          <cell r="FC103">
            <v>9.1999999999999993</v>
          </cell>
          <cell r="FD103">
            <v>9.1999999999999993</v>
          </cell>
          <cell r="FE103">
            <v>9.1999999999999993</v>
          </cell>
          <cell r="FF103">
            <v>9.1999999999999993</v>
          </cell>
          <cell r="FG103">
            <v>9.1999999999999993</v>
          </cell>
          <cell r="FH103">
            <v>9.1999999999999993</v>
          </cell>
          <cell r="FI103">
            <v>9.1999999999999993</v>
          </cell>
          <cell r="FJ103">
            <v>9.1999999999999993</v>
          </cell>
          <cell r="FK103">
            <v>9.1999999999999993</v>
          </cell>
          <cell r="FL103">
            <v>9.1999999999999993</v>
          </cell>
          <cell r="FM103">
            <v>9.1999999999999993</v>
          </cell>
          <cell r="FN103">
            <v>9.1999999999999993</v>
          </cell>
        </row>
        <row r="104">
          <cell r="A104" t="str">
            <v>G3TAVER1</v>
          </cell>
          <cell r="B104" t="str">
            <v>TAVERA 1</v>
          </cell>
          <cell r="C104">
            <v>0</v>
          </cell>
          <cell r="D104">
            <v>0</v>
          </cell>
          <cell r="E104">
            <v>0</v>
          </cell>
          <cell r="F104">
            <v>0</v>
          </cell>
          <cell r="G104">
            <v>0</v>
          </cell>
          <cell r="H104">
            <v>0</v>
          </cell>
          <cell r="I104">
            <v>0</v>
          </cell>
          <cell r="J104">
            <v>0</v>
          </cell>
          <cell r="K104">
            <v>0</v>
          </cell>
          <cell r="L104">
            <v>43</v>
          </cell>
          <cell r="M104">
            <v>43</v>
          </cell>
          <cell r="N104">
            <v>0</v>
          </cell>
          <cell r="O104">
            <v>0</v>
          </cell>
          <cell r="P104">
            <v>0</v>
          </cell>
          <cell r="Q104">
            <v>0</v>
          </cell>
          <cell r="R104">
            <v>0</v>
          </cell>
          <cell r="S104">
            <v>0</v>
          </cell>
          <cell r="T104">
            <v>0</v>
          </cell>
          <cell r="U104">
            <v>0</v>
          </cell>
          <cell r="V104">
            <v>43</v>
          </cell>
          <cell r="W104">
            <v>43</v>
          </cell>
          <cell r="X104">
            <v>43</v>
          </cell>
          <cell r="Y104">
            <v>43</v>
          </cell>
          <cell r="Z104">
            <v>43</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43</v>
          </cell>
          <cell r="BI104">
            <v>43</v>
          </cell>
          <cell r="BJ104">
            <v>0</v>
          </cell>
          <cell r="BK104">
            <v>0</v>
          </cell>
          <cell r="BL104">
            <v>0</v>
          </cell>
          <cell r="BM104">
            <v>0</v>
          </cell>
          <cell r="BN104">
            <v>0</v>
          </cell>
          <cell r="BO104">
            <v>0</v>
          </cell>
          <cell r="BP104">
            <v>0</v>
          </cell>
          <cell r="BQ104">
            <v>0</v>
          </cell>
          <cell r="BR104">
            <v>43</v>
          </cell>
          <cell r="BS104">
            <v>43</v>
          </cell>
          <cell r="BT104">
            <v>43</v>
          </cell>
          <cell r="BU104">
            <v>43</v>
          </cell>
          <cell r="BV104">
            <v>43</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43</v>
          </cell>
          <cell r="DE104">
            <v>43</v>
          </cell>
          <cell r="DF104">
            <v>0</v>
          </cell>
          <cell r="DG104">
            <v>0</v>
          </cell>
          <cell r="DH104">
            <v>0</v>
          </cell>
          <cell r="DI104">
            <v>0</v>
          </cell>
          <cell r="DJ104">
            <v>0</v>
          </cell>
          <cell r="DK104">
            <v>0</v>
          </cell>
          <cell r="DL104">
            <v>0</v>
          </cell>
          <cell r="DM104">
            <v>0</v>
          </cell>
          <cell r="DN104">
            <v>43</v>
          </cell>
          <cell r="DO104">
            <v>43</v>
          </cell>
          <cell r="DP104">
            <v>43</v>
          </cell>
          <cell r="DQ104">
            <v>43</v>
          </cell>
          <cell r="DR104">
            <v>43</v>
          </cell>
          <cell r="DS104">
            <v>0</v>
          </cell>
          <cell r="DT104">
            <v>0</v>
          </cell>
          <cell r="DU104">
            <v>0</v>
          </cell>
          <cell r="DV104">
            <v>0</v>
          </cell>
          <cell r="DW104">
            <v>0</v>
          </cell>
          <cell r="DX104">
            <v>0</v>
          </cell>
          <cell r="DY104">
            <v>0</v>
          </cell>
          <cell r="DZ104">
            <v>0</v>
          </cell>
          <cell r="EA104">
            <v>0</v>
          </cell>
          <cell r="EB104">
            <v>0</v>
          </cell>
          <cell r="EC104">
            <v>0</v>
          </cell>
          <cell r="ED104">
            <v>0</v>
          </cell>
          <cell r="EE104">
            <v>0</v>
          </cell>
          <cell r="EF104">
            <v>0</v>
          </cell>
          <cell r="EG104">
            <v>0</v>
          </cell>
          <cell r="EH104">
            <v>0</v>
          </cell>
          <cell r="EI104">
            <v>0</v>
          </cell>
          <cell r="EJ104">
            <v>0</v>
          </cell>
          <cell r="EK104">
            <v>0</v>
          </cell>
          <cell r="EL104">
            <v>0</v>
          </cell>
          <cell r="EM104">
            <v>0</v>
          </cell>
          <cell r="EN104">
            <v>0</v>
          </cell>
          <cell r="EO104">
            <v>0</v>
          </cell>
          <cell r="EP104">
            <v>0</v>
          </cell>
          <cell r="EQ104">
            <v>0</v>
          </cell>
          <cell r="ER104">
            <v>0</v>
          </cell>
          <cell r="ES104">
            <v>0</v>
          </cell>
          <cell r="ET104">
            <v>0</v>
          </cell>
          <cell r="EU104">
            <v>0</v>
          </cell>
          <cell r="EV104">
            <v>0</v>
          </cell>
          <cell r="EW104">
            <v>0</v>
          </cell>
          <cell r="EX104">
            <v>0</v>
          </cell>
          <cell r="EY104">
            <v>0</v>
          </cell>
          <cell r="EZ104">
            <v>43</v>
          </cell>
          <cell r="FA104">
            <v>43</v>
          </cell>
          <cell r="FB104">
            <v>0</v>
          </cell>
          <cell r="FC104">
            <v>0</v>
          </cell>
          <cell r="FD104">
            <v>0</v>
          </cell>
          <cell r="FE104">
            <v>0</v>
          </cell>
          <cell r="FF104">
            <v>0</v>
          </cell>
          <cell r="FG104">
            <v>0</v>
          </cell>
          <cell r="FH104">
            <v>0</v>
          </cell>
          <cell r="FI104">
            <v>0</v>
          </cell>
          <cell r="FJ104">
            <v>43</v>
          </cell>
          <cell r="FK104">
            <v>43</v>
          </cell>
          <cell r="FL104">
            <v>43</v>
          </cell>
          <cell r="FM104">
            <v>43</v>
          </cell>
          <cell r="FN104">
            <v>43</v>
          </cell>
        </row>
        <row r="105">
          <cell r="A105" t="str">
            <v>G3TAVER2</v>
          </cell>
          <cell r="B105" t="str">
            <v>TAVERA 2</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43</v>
          </cell>
          <cell r="AK105">
            <v>43</v>
          </cell>
          <cell r="AL105">
            <v>0</v>
          </cell>
          <cell r="AM105">
            <v>0</v>
          </cell>
          <cell r="AN105">
            <v>0</v>
          </cell>
          <cell r="AO105">
            <v>0</v>
          </cell>
          <cell r="AP105">
            <v>0</v>
          </cell>
          <cell r="AQ105">
            <v>0</v>
          </cell>
          <cell r="AR105">
            <v>0</v>
          </cell>
          <cell r="AS105">
            <v>0</v>
          </cell>
          <cell r="AT105">
            <v>43</v>
          </cell>
          <cell r="AU105">
            <v>43</v>
          </cell>
          <cell r="AV105">
            <v>43</v>
          </cell>
          <cell r="AW105">
            <v>43</v>
          </cell>
          <cell r="AX105">
            <v>43</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43</v>
          </cell>
          <cell r="CG105">
            <v>43</v>
          </cell>
          <cell r="CH105">
            <v>0</v>
          </cell>
          <cell r="CI105">
            <v>0</v>
          </cell>
          <cell r="CJ105">
            <v>0</v>
          </cell>
          <cell r="CK105">
            <v>0</v>
          </cell>
          <cell r="CL105">
            <v>0</v>
          </cell>
          <cell r="CM105">
            <v>0</v>
          </cell>
          <cell r="CN105">
            <v>0</v>
          </cell>
          <cell r="CO105">
            <v>0</v>
          </cell>
          <cell r="CP105">
            <v>43</v>
          </cell>
          <cell r="CQ105">
            <v>43</v>
          </cell>
          <cell r="CR105">
            <v>43</v>
          </cell>
          <cell r="CS105">
            <v>43</v>
          </cell>
          <cell r="CT105">
            <v>43</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43</v>
          </cell>
          <cell r="EC105">
            <v>43</v>
          </cell>
          <cell r="ED105">
            <v>0</v>
          </cell>
          <cell r="EE105">
            <v>0</v>
          </cell>
          <cell r="EF105">
            <v>0</v>
          </cell>
          <cell r="EG105">
            <v>0</v>
          </cell>
          <cell r="EH105">
            <v>0</v>
          </cell>
          <cell r="EI105">
            <v>0</v>
          </cell>
          <cell r="EJ105">
            <v>0</v>
          </cell>
          <cell r="EK105">
            <v>0</v>
          </cell>
          <cell r="EL105">
            <v>43</v>
          </cell>
          <cell r="EM105">
            <v>43</v>
          </cell>
          <cell r="EN105">
            <v>43</v>
          </cell>
          <cell r="EO105">
            <v>43</v>
          </cell>
          <cell r="EP105">
            <v>43</v>
          </cell>
          <cell r="EQ105">
            <v>0</v>
          </cell>
          <cell r="ER105">
            <v>0</v>
          </cell>
          <cell r="ES105">
            <v>0</v>
          </cell>
          <cell r="ET105">
            <v>0</v>
          </cell>
          <cell r="EU105">
            <v>0</v>
          </cell>
          <cell r="EV105">
            <v>0</v>
          </cell>
          <cell r="EW105">
            <v>0</v>
          </cell>
          <cell r="EX105">
            <v>0</v>
          </cell>
          <cell r="EY105">
            <v>0</v>
          </cell>
          <cell r="EZ105">
            <v>0</v>
          </cell>
          <cell r="FA105">
            <v>0</v>
          </cell>
          <cell r="FB105">
            <v>0</v>
          </cell>
          <cell r="FC105">
            <v>0</v>
          </cell>
          <cell r="FD105">
            <v>0</v>
          </cell>
          <cell r="FE105">
            <v>0</v>
          </cell>
          <cell r="FF105">
            <v>0</v>
          </cell>
          <cell r="FG105">
            <v>0</v>
          </cell>
          <cell r="FH105">
            <v>0</v>
          </cell>
          <cell r="FI105">
            <v>0</v>
          </cell>
          <cell r="FJ105">
            <v>0</v>
          </cell>
          <cell r="FK105">
            <v>0</v>
          </cell>
          <cell r="FL105">
            <v>0</v>
          </cell>
          <cell r="FM105">
            <v>0</v>
          </cell>
          <cell r="FN105">
            <v>0</v>
          </cell>
        </row>
        <row r="106">
          <cell r="A106" t="str">
            <v>G3VALDE1</v>
          </cell>
          <cell r="B106" t="str">
            <v>VALDESIA 1</v>
          </cell>
          <cell r="C106">
            <v>0</v>
          </cell>
          <cell r="D106">
            <v>0</v>
          </cell>
          <cell r="E106">
            <v>0</v>
          </cell>
          <cell r="F106">
            <v>0</v>
          </cell>
          <cell r="G106">
            <v>0</v>
          </cell>
          <cell r="H106">
            <v>0</v>
          </cell>
          <cell r="I106">
            <v>0</v>
          </cell>
          <cell r="J106">
            <v>0</v>
          </cell>
          <cell r="K106">
            <v>25</v>
          </cell>
          <cell r="L106">
            <v>25</v>
          </cell>
          <cell r="M106">
            <v>25</v>
          </cell>
          <cell r="N106">
            <v>0</v>
          </cell>
          <cell r="O106">
            <v>0</v>
          </cell>
          <cell r="P106">
            <v>0</v>
          </cell>
          <cell r="Q106">
            <v>0</v>
          </cell>
          <cell r="R106">
            <v>0</v>
          </cell>
          <cell r="S106">
            <v>0</v>
          </cell>
          <cell r="T106">
            <v>0</v>
          </cell>
          <cell r="U106">
            <v>25</v>
          </cell>
          <cell r="V106">
            <v>25</v>
          </cell>
          <cell r="W106">
            <v>25</v>
          </cell>
          <cell r="X106">
            <v>25</v>
          </cell>
          <cell r="Y106">
            <v>0</v>
          </cell>
          <cell r="Z106">
            <v>0</v>
          </cell>
          <cell r="AA106">
            <v>0</v>
          </cell>
          <cell r="AB106">
            <v>0</v>
          </cell>
          <cell r="AC106">
            <v>0</v>
          </cell>
          <cell r="AD106">
            <v>0</v>
          </cell>
          <cell r="AE106">
            <v>0</v>
          </cell>
          <cell r="AF106">
            <v>0</v>
          </cell>
          <cell r="AG106">
            <v>0</v>
          </cell>
          <cell r="AH106">
            <v>0</v>
          </cell>
          <cell r="AI106">
            <v>25</v>
          </cell>
          <cell r="AJ106">
            <v>25</v>
          </cell>
          <cell r="AK106">
            <v>25</v>
          </cell>
          <cell r="AL106">
            <v>0</v>
          </cell>
          <cell r="AM106">
            <v>0</v>
          </cell>
          <cell r="AN106">
            <v>0</v>
          </cell>
          <cell r="AO106">
            <v>0</v>
          </cell>
          <cell r="AP106">
            <v>0</v>
          </cell>
          <cell r="AQ106">
            <v>0</v>
          </cell>
          <cell r="AR106">
            <v>0</v>
          </cell>
          <cell r="AS106">
            <v>25</v>
          </cell>
          <cell r="AT106">
            <v>25</v>
          </cell>
          <cell r="AU106">
            <v>25</v>
          </cell>
          <cell r="AV106">
            <v>25</v>
          </cell>
          <cell r="AW106">
            <v>0</v>
          </cell>
          <cell r="AX106">
            <v>0</v>
          </cell>
          <cell r="AY106">
            <v>0</v>
          </cell>
          <cell r="AZ106">
            <v>0</v>
          </cell>
          <cell r="BA106">
            <v>0</v>
          </cell>
          <cell r="BB106">
            <v>0</v>
          </cell>
          <cell r="BC106">
            <v>0</v>
          </cell>
          <cell r="BD106">
            <v>0</v>
          </cell>
          <cell r="BE106">
            <v>0</v>
          </cell>
          <cell r="BF106">
            <v>0</v>
          </cell>
          <cell r="BG106">
            <v>25</v>
          </cell>
          <cell r="BH106">
            <v>25</v>
          </cell>
          <cell r="BI106">
            <v>25</v>
          </cell>
          <cell r="BJ106">
            <v>0</v>
          </cell>
          <cell r="BK106">
            <v>0</v>
          </cell>
          <cell r="BL106">
            <v>0</v>
          </cell>
          <cell r="BM106">
            <v>0</v>
          </cell>
          <cell r="BN106">
            <v>0</v>
          </cell>
          <cell r="BO106">
            <v>0</v>
          </cell>
          <cell r="BP106">
            <v>0</v>
          </cell>
          <cell r="BQ106">
            <v>25</v>
          </cell>
          <cell r="BR106">
            <v>25</v>
          </cell>
          <cell r="BS106">
            <v>25</v>
          </cell>
          <cell r="BT106">
            <v>25</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25</v>
          </cell>
          <cell r="DD106">
            <v>25</v>
          </cell>
          <cell r="DE106">
            <v>25</v>
          </cell>
          <cell r="DF106">
            <v>0</v>
          </cell>
          <cell r="DG106">
            <v>0</v>
          </cell>
          <cell r="DH106">
            <v>0</v>
          </cell>
          <cell r="DI106">
            <v>0</v>
          </cell>
          <cell r="DJ106">
            <v>0</v>
          </cell>
          <cell r="DK106">
            <v>0</v>
          </cell>
          <cell r="DL106">
            <v>0</v>
          </cell>
          <cell r="DM106">
            <v>25</v>
          </cell>
          <cell r="DN106">
            <v>25</v>
          </cell>
          <cell r="DO106">
            <v>25</v>
          </cell>
          <cell r="DP106">
            <v>25</v>
          </cell>
          <cell r="DQ106">
            <v>0</v>
          </cell>
          <cell r="DR106">
            <v>0</v>
          </cell>
          <cell r="DS106">
            <v>0</v>
          </cell>
          <cell r="DT106">
            <v>0</v>
          </cell>
          <cell r="DU106">
            <v>0</v>
          </cell>
          <cell r="DV106">
            <v>0</v>
          </cell>
          <cell r="DW106">
            <v>0</v>
          </cell>
          <cell r="DX106">
            <v>0</v>
          </cell>
          <cell r="DY106">
            <v>0</v>
          </cell>
          <cell r="DZ106">
            <v>0</v>
          </cell>
          <cell r="EA106">
            <v>0</v>
          </cell>
          <cell r="EB106">
            <v>0</v>
          </cell>
          <cell r="EC106">
            <v>0</v>
          </cell>
          <cell r="ED106">
            <v>0</v>
          </cell>
          <cell r="EE106">
            <v>0</v>
          </cell>
          <cell r="EF106">
            <v>0</v>
          </cell>
          <cell r="EG106">
            <v>0</v>
          </cell>
          <cell r="EH106">
            <v>0</v>
          </cell>
          <cell r="EI106">
            <v>0</v>
          </cell>
          <cell r="EJ106">
            <v>0</v>
          </cell>
          <cell r="EK106">
            <v>0</v>
          </cell>
          <cell r="EL106">
            <v>0</v>
          </cell>
          <cell r="EM106">
            <v>0</v>
          </cell>
          <cell r="EN106">
            <v>0</v>
          </cell>
          <cell r="EO106">
            <v>0</v>
          </cell>
          <cell r="EP106">
            <v>0</v>
          </cell>
          <cell r="EQ106">
            <v>0</v>
          </cell>
          <cell r="ER106">
            <v>0</v>
          </cell>
          <cell r="ES106">
            <v>0</v>
          </cell>
          <cell r="ET106">
            <v>0</v>
          </cell>
          <cell r="EU106">
            <v>0</v>
          </cell>
          <cell r="EV106">
            <v>0</v>
          </cell>
          <cell r="EW106">
            <v>0</v>
          </cell>
          <cell r="EX106">
            <v>0</v>
          </cell>
          <cell r="EY106">
            <v>25</v>
          </cell>
          <cell r="EZ106">
            <v>25</v>
          </cell>
          <cell r="FA106">
            <v>25</v>
          </cell>
          <cell r="FB106">
            <v>0</v>
          </cell>
          <cell r="FC106">
            <v>0</v>
          </cell>
          <cell r="FD106">
            <v>0</v>
          </cell>
          <cell r="FE106">
            <v>0</v>
          </cell>
          <cell r="FF106">
            <v>0</v>
          </cell>
          <cell r="FG106">
            <v>0</v>
          </cell>
          <cell r="FH106">
            <v>0</v>
          </cell>
          <cell r="FI106">
            <v>25</v>
          </cell>
          <cell r="FJ106">
            <v>25</v>
          </cell>
          <cell r="FK106">
            <v>25</v>
          </cell>
          <cell r="FL106">
            <v>25</v>
          </cell>
          <cell r="FM106">
            <v>0</v>
          </cell>
          <cell r="FN106">
            <v>0</v>
          </cell>
        </row>
        <row r="107">
          <cell r="A107" t="str">
            <v>G3VALDE2</v>
          </cell>
          <cell r="B107" t="str">
            <v>VALDESIA 2</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19.5</v>
          </cell>
          <cell r="CF107">
            <v>19.5</v>
          </cell>
          <cell r="CG107">
            <v>19.5</v>
          </cell>
          <cell r="CH107">
            <v>19.5</v>
          </cell>
          <cell r="CI107">
            <v>19.5</v>
          </cell>
          <cell r="CJ107">
            <v>0</v>
          </cell>
          <cell r="CK107">
            <v>0</v>
          </cell>
          <cell r="CL107">
            <v>0</v>
          </cell>
          <cell r="CM107">
            <v>0</v>
          </cell>
          <cell r="CN107">
            <v>0</v>
          </cell>
          <cell r="CO107">
            <v>19.5</v>
          </cell>
          <cell r="CP107">
            <v>19.5</v>
          </cell>
          <cell r="CQ107">
            <v>19.5</v>
          </cell>
          <cell r="CR107">
            <v>19.5</v>
          </cell>
          <cell r="CS107">
            <v>19.5</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25</v>
          </cell>
          <cell r="EB107">
            <v>25</v>
          </cell>
          <cell r="EC107">
            <v>25</v>
          </cell>
          <cell r="ED107">
            <v>0</v>
          </cell>
          <cell r="EE107">
            <v>0</v>
          </cell>
          <cell r="EF107">
            <v>0</v>
          </cell>
          <cell r="EG107">
            <v>0</v>
          </cell>
          <cell r="EH107">
            <v>0</v>
          </cell>
          <cell r="EI107">
            <v>0</v>
          </cell>
          <cell r="EJ107">
            <v>0</v>
          </cell>
          <cell r="EK107">
            <v>25</v>
          </cell>
          <cell r="EL107">
            <v>25</v>
          </cell>
          <cell r="EM107">
            <v>25</v>
          </cell>
          <cell r="EN107">
            <v>25</v>
          </cell>
          <cell r="EO107">
            <v>0</v>
          </cell>
          <cell r="EP107">
            <v>0</v>
          </cell>
          <cell r="EQ107">
            <v>0</v>
          </cell>
          <cell r="ER107">
            <v>0</v>
          </cell>
          <cell r="ES107">
            <v>0</v>
          </cell>
          <cell r="ET107">
            <v>0</v>
          </cell>
          <cell r="EU107">
            <v>0</v>
          </cell>
          <cell r="EV107">
            <v>0</v>
          </cell>
          <cell r="EW107">
            <v>0</v>
          </cell>
          <cell r="EX107">
            <v>0</v>
          </cell>
          <cell r="EY107">
            <v>0</v>
          </cell>
          <cell r="EZ107">
            <v>0</v>
          </cell>
          <cell r="FA107">
            <v>0</v>
          </cell>
          <cell r="FB107">
            <v>0</v>
          </cell>
          <cell r="FC107">
            <v>0</v>
          </cell>
          <cell r="FD107">
            <v>0</v>
          </cell>
          <cell r="FE107">
            <v>0</v>
          </cell>
          <cell r="FF107">
            <v>0</v>
          </cell>
          <cell r="FG107">
            <v>0</v>
          </cell>
          <cell r="FH107">
            <v>0</v>
          </cell>
          <cell r="FI107">
            <v>0</v>
          </cell>
          <cell r="FJ107">
            <v>0</v>
          </cell>
          <cell r="FK107">
            <v>0</v>
          </cell>
          <cell r="FL107">
            <v>0</v>
          </cell>
          <cell r="FM107">
            <v>0</v>
          </cell>
          <cell r="FN107">
            <v>0</v>
          </cell>
        </row>
        <row r="108">
          <cell r="A108" t="str">
            <v>G8AADR</v>
          </cell>
          <cell r="B108" t="str">
            <v>BESA AES ANDRES</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cell r="ED108">
            <v>0</v>
          </cell>
          <cell r="EE108">
            <v>0</v>
          </cell>
          <cell r="EF108">
            <v>0</v>
          </cell>
          <cell r="EG108">
            <v>0</v>
          </cell>
          <cell r="EH108">
            <v>0</v>
          </cell>
          <cell r="EI108">
            <v>0</v>
          </cell>
          <cell r="EJ108">
            <v>0</v>
          </cell>
          <cell r="EK108">
            <v>0</v>
          </cell>
          <cell r="EL108">
            <v>0</v>
          </cell>
          <cell r="EM108">
            <v>0</v>
          </cell>
          <cell r="EN108">
            <v>0</v>
          </cell>
          <cell r="EO108">
            <v>0</v>
          </cell>
          <cell r="EP108">
            <v>0</v>
          </cell>
          <cell r="EQ108">
            <v>0</v>
          </cell>
          <cell r="ER108">
            <v>0</v>
          </cell>
          <cell r="ES108">
            <v>0</v>
          </cell>
          <cell r="ET108">
            <v>0</v>
          </cell>
          <cell r="EU108">
            <v>0</v>
          </cell>
          <cell r="EV108">
            <v>0</v>
          </cell>
          <cell r="EW108">
            <v>0</v>
          </cell>
          <cell r="EX108">
            <v>0</v>
          </cell>
          <cell r="EY108">
            <v>0</v>
          </cell>
          <cell r="EZ108">
            <v>0</v>
          </cell>
          <cell r="FA108">
            <v>0</v>
          </cell>
          <cell r="FB108">
            <v>0</v>
          </cell>
          <cell r="FC108">
            <v>0</v>
          </cell>
          <cell r="FD108">
            <v>0</v>
          </cell>
          <cell r="FE108">
            <v>0</v>
          </cell>
          <cell r="FF108">
            <v>0</v>
          </cell>
          <cell r="FG108">
            <v>0</v>
          </cell>
          <cell r="FH108">
            <v>0</v>
          </cell>
          <cell r="FI108">
            <v>0</v>
          </cell>
          <cell r="FJ108">
            <v>0</v>
          </cell>
          <cell r="FK108">
            <v>0</v>
          </cell>
          <cell r="FL108">
            <v>0</v>
          </cell>
          <cell r="FM108">
            <v>0</v>
          </cell>
          <cell r="FN108">
            <v>0</v>
          </cell>
        </row>
        <row r="109">
          <cell r="A109" t="str">
            <v>G8DPPLDC</v>
          </cell>
          <cell r="B109" t="str">
            <v>BESA DOMINICAN POWER PARTNERS LDC</v>
          </cell>
          <cell r="C109">
            <v>10</v>
          </cell>
          <cell r="D109">
            <v>10</v>
          </cell>
          <cell r="E109">
            <v>10</v>
          </cell>
          <cell r="F109">
            <v>10</v>
          </cell>
          <cell r="G109">
            <v>10</v>
          </cell>
          <cell r="H109">
            <v>10</v>
          </cell>
          <cell r="I109">
            <v>10</v>
          </cell>
          <cell r="J109">
            <v>10</v>
          </cell>
          <cell r="K109">
            <v>10</v>
          </cell>
          <cell r="L109">
            <v>10</v>
          </cell>
          <cell r="M109">
            <v>10</v>
          </cell>
          <cell r="N109">
            <v>10</v>
          </cell>
          <cell r="O109">
            <v>10</v>
          </cell>
          <cell r="P109">
            <v>10</v>
          </cell>
          <cell r="Q109">
            <v>10</v>
          </cell>
          <cell r="R109">
            <v>10</v>
          </cell>
          <cell r="S109">
            <v>10</v>
          </cell>
          <cell r="T109">
            <v>10</v>
          </cell>
          <cell r="U109">
            <v>10</v>
          </cell>
          <cell r="V109">
            <v>10</v>
          </cell>
          <cell r="W109">
            <v>10</v>
          </cell>
          <cell r="X109">
            <v>10</v>
          </cell>
          <cell r="Y109">
            <v>10</v>
          </cell>
          <cell r="Z109">
            <v>10</v>
          </cell>
          <cell r="AA109">
            <v>10</v>
          </cell>
          <cell r="AB109">
            <v>10</v>
          </cell>
          <cell r="AC109">
            <v>10</v>
          </cell>
          <cell r="AD109">
            <v>10</v>
          </cell>
          <cell r="AE109">
            <v>10</v>
          </cell>
          <cell r="AF109">
            <v>10</v>
          </cell>
          <cell r="AG109">
            <v>10</v>
          </cell>
          <cell r="AH109">
            <v>10</v>
          </cell>
          <cell r="AI109">
            <v>10</v>
          </cell>
          <cell r="AJ109">
            <v>10</v>
          </cell>
          <cell r="AK109">
            <v>10</v>
          </cell>
          <cell r="AL109">
            <v>10</v>
          </cell>
          <cell r="AM109">
            <v>10</v>
          </cell>
          <cell r="AN109">
            <v>10</v>
          </cell>
          <cell r="AO109">
            <v>10</v>
          </cell>
          <cell r="AP109">
            <v>10</v>
          </cell>
          <cell r="AQ109">
            <v>10</v>
          </cell>
          <cell r="AR109">
            <v>10</v>
          </cell>
          <cell r="AS109">
            <v>10</v>
          </cell>
          <cell r="AT109">
            <v>10</v>
          </cell>
          <cell r="AU109">
            <v>10</v>
          </cell>
          <cell r="AV109">
            <v>10</v>
          </cell>
          <cell r="AW109">
            <v>10</v>
          </cell>
          <cell r="AX109">
            <v>10</v>
          </cell>
          <cell r="AY109">
            <v>10</v>
          </cell>
          <cell r="AZ109">
            <v>10</v>
          </cell>
          <cell r="BA109">
            <v>10</v>
          </cell>
          <cell r="BB109">
            <v>10</v>
          </cell>
          <cell r="BC109">
            <v>10</v>
          </cell>
          <cell r="BD109">
            <v>10</v>
          </cell>
          <cell r="BE109">
            <v>10</v>
          </cell>
          <cell r="BF109">
            <v>10</v>
          </cell>
          <cell r="BG109">
            <v>10</v>
          </cell>
          <cell r="BH109">
            <v>10</v>
          </cell>
          <cell r="BI109">
            <v>10</v>
          </cell>
          <cell r="BJ109">
            <v>10</v>
          </cell>
          <cell r="BK109">
            <v>10</v>
          </cell>
          <cell r="BL109">
            <v>10</v>
          </cell>
          <cell r="BM109">
            <v>10</v>
          </cell>
          <cell r="BN109">
            <v>10</v>
          </cell>
          <cell r="BO109">
            <v>10</v>
          </cell>
          <cell r="BP109">
            <v>10</v>
          </cell>
          <cell r="BQ109">
            <v>10</v>
          </cell>
          <cell r="BR109">
            <v>10</v>
          </cell>
          <cell r="BS109">
            <v>10</v>
          </cell>
          <cell r="BT109">
            <v>10</v>
          </cell>
          <cell r="BU109">
            <v>10</v>
          </cell>
          <cell r="BV109">
            <v>10</v>
          </cell>
          <cell r="BW109">
            <v>10</v>
          </cell>
          <cell r="BX109">
            <v>10</v>
          </cell>
          <cell r="BY109">
            <v>10</v>
          </cell>
          <cell r="BZ109">
            <v>10</v>
          </cell>
          <cell r="CA109">
            <v>10</v>
          </cell>
          <cell r="CB109">
            <v>10</v>
          </cell>
          <cell r="CC109">
            <v>10</v>
          </cell>
          <cell r="CD109">
            <v>10</v>
          </cell>
          <cell r="CE109">
            <v>10</v>
          </cell>
          <cell r="CF109">
            <v>10</v>
          </cell>
          <cell r="CG109">
            <v>10</v>
          </cell>
          <cell r="CH109">
            <v>10</v>
          </cell>
          <cell r="CI109">
            <v>10</v>
          </cell>
          <cell r="CJ109">
            <v>10</v>
          </cell>
          <cell r="CK109">
            <v>10</v>
          </cell>
          <cell r="CL109">
            <v>10</v>
          </cell>
          <cell r="CM109">
            <v>10</v>
          </cell>
          <cell r="CN109">
            <v>10</v>
          </cell>
          <cell r="CO109">
            <v>10</v>
          </cell>
          <cell r="CP109">
            <v>10</v>
          </cell>
          <cell r="CQ109">
            <v>10</v>
          </cell>
          <cell r="CR109">
            <v>10</v>
          </cell>
          <cell r="CS109">
            <v>10</v>
          </cell>
          <cell r="CT109">
            <v>10</v>
          </cell>
          <cell r="CU109">
            <v>10</v>
          </cell>
          <cell r="CV109">
            <v>10</v>
          </cell>
          <cell r="CW109">
            <v>10</v>
          </cell>
          <cell r="CX109">
            <v>10</v>
          </cell>
          <cell r="CY109">
            <v>10</v>
          </cell>
          <cell r="CZ109">
            <v>10</v>
          </cell>
          <cell r="DA109">
            <v>10</v>
          </cell>
          <cell r="DB109">
            <v>10</v>
          </cell>
          <cell r="DC109">
            <v>10</v>
          </cell>
          <cell r="DD109">
            <v>10</v>
          </cell>
          <cell r="DE109">
            <v>10</v>
          </cell>
          <cell r="DF109">
            <v>10</v>
          </cell>
          <cell r="DG109">
            <v>10</v>
          </cell>
          <cell r="DH109">
            <v>10</v>
          </cell>
          <cell r="DI109">
            <v>10</v>
          </cell>
          <cell r="DJ109">
            <v>10</v>
          </cell>
          <cell r="DK109">
            <v>10</v>
          </cell>
          <cell r="DL109">
            <v>10</v>
          </cell>
          <cell r="DM109">
            <v>10</v>
          </cell>
          <cell r="DN109">
            <v>10</v>
          </cell>
          <cell r="DO109">
            <v>10</v>
          </cell>
          <cell r="DP109">
            <v>10</v>
          </cell>
          <cell r="DQ109">
            <v>10</v>
          </cell>
          <cell r="DR109">
            <v>10</v>
          </cell>
          <cell r="DS109">
            <v>10</v>
          </cell>
          <cell r="DT109">
            <v>10</v>
          </cell>
          <cell r="DU109">
            <v>10</v>
          </cell>
          <cell r="DV109">
            <v>10</v>
          </cell>
          <cell r="DW109">
            <v>10</v>
          </cell>
          <cell r="DX109">
            <v>10</v>
          </cell>
          <cell r="DY109">
            <v>10</v>
          </cell>
          <cell r="DZ109">
            <v>10</v>
          </cell>
          <cell r="EA109">
            <v>10</v>
          </cell>
          <cell r="EB109">
            <v>10</v>
          </cell>
          <cell r="EC109">
            <v>10</v>
          </cell>
          <cell r="ED109">
            <v>10</v>
          </cell>
          <cell r="EE109">
            <v>10</v>
          </cell>
          <cell r="EF109">
            <v>10</v>
          </cell>
          <cell r="EG109">
            <v>10</v>
          </cell>
          <cell r="EH109">
            <v>10</v>
          </cell>
          <cell r="EI109">
            <v>10</v>
          </cell>
          <cell r="EJ109">
            <v>10</v>
          </cell>
          <cell r="EK109">
            <v>10</v>
          </cell>
          <cell r="EL109">
            <v>10</v>
          </cell>
          <cell r="EM109">
            <v>10</v>
          </cell>
          <cell r="EN109">
            <v>10</v>
          </cell>
          <cell r="EO109">
            <v>10</v>
          </cell>
          <cell r="EP109">
            <v>10</v>
          </cell>
          <cell r="EQ109">
            <v>10</v>
          </cell>
          <cell r="ER109">
            <v>10</v>
          </cell>
          <cell r="ES109">
            <v>10</v>
          </cell>
          <cell r="ET109">
            <v>10</v>
          </cell>
          <cell r="EU109">
            <v>10</v>
          </cell>
          <cell r="EV109">
            <v>10</v>
          </cell>
          <cell r="EW109">
            <v>10</v>
          </cell>
          <cell r="EX109">
            <v>10</v>
          </cell>
          <cell r="EY109">
            <v>10</v>
          </cell>
          <cell r="EZ109">
            <v>10</v>
          </cell>
          <cell r="FA109">
            <v>10</v>
          </cell>
          <cell r="FB109">
            <v>10</v>
          </cell>
          <cell r="FC109">
            <v>10</v>
          </cell>
          <cell r="FD109">
            <v>10</v>
          </cell>
          <cell r="FE109">
            <v>10</v>
          </cell>
          <cell r="FF109">
            <v>10</v>
          </cell>
          <cell r="FG109">
            <v>10</v>
          </cell>
          <cell r="FH109">
            <v>10</v>
          </cell>
          <cell r="FI109">
            <v>10</v>
          </cell>
          <cell r="FJ109">
            <v>10</v>
          </cell>
          <cell r="FK109">
            <v>10</v>
          </cell>
          <cell r="FL109">
            <v>10</v>
          </cell>
          <cell r="FM109">
            <v>10</v>
          </cell>
          <cell r="FN109">
            <v>10</v>
          </cell>
        </row>
        <row r="110">
          <cell r="AA110">
            <v>3399.53</v>
          </cell>
          <cell r="AB110">
            <v>3399.53</v>
          </cell>
          <cell r="AC110">
            <v>3332.9300000000007</v>
          </cell>
          <cell r="AD110">
            <v>3332.9300000000007</v>
          </cell>
          <cell r="AE110">
            <v>3332.9300000000007</v>
          </cell>
          <cell r="AF110">
            <v>3320.4300000000007</v>
          </cell>
          <cell r="AG110">
            <v>3320.4700000000007</v>
          </cell>
          <cell r="AH110">
            <v>3334.6500000000005</v>
          </cell>
          <cell r="AI110">
            <v>3596.3500000000004</v>
          </cell>
          <cell r="AJ110">
            <v>3605.84</v>
          </cell>
          <cell r="AK110">
            <v>3611.6200000000003</v>
          </cell>
          <cell r="AL110">
            <v>3532.8800000000006</v>
          </cell>
          <cell r="AM110">
            <v>3486.51</v>
          </cell>
          <cell r="AN110">
            <v>3461.6000000000004</v>
          </cell>
          <cell r="AO110">
            <v>3458.8500000000004</v>
          </cell>
          <cell r="AP110">
            <v>3451.7500000000005</v>
          </cell>
          <cell r="AQ110">
            <v>3432.51</v>
          </cell>
          <cell r="AR110">
            <v>3415.7400000000007</v>
          </cell>
          <cell r="AS110">
            <v>3561.900000000001</v>
          </cell>
          <cell r="AT110">
            <v>3603.7300000000009</v>
          </cell>
          <cell r="AU110">
            <v>3603.7300000000009</v>
          </cell>
          <cell r="AV110">
            <v>3603.7300000000009</v>
          </cell>
          <cell r="AW110">
            <v>3538.7300000000009</v>
          </cell>
          <cell r="AX110">
            <v>3538.7300000000009</v>
          </cell>
          <cell r="AY110">
            <v>3399.53</v>
          </cell>
          <cell r="AZ110">
            <v>3399.53</v>
          </cell>
          <cell r="BA110">
            <v>3332.9300000000007</v>
          </cell>
          <cell r="BB110">
            <v>3332.9300000000007</v>
          </cell>
          <cell r="BC110">
            <v>3332.9300000000007</v>
          </cell>
          <cell r="BD110">
            <v>3320.4300000000007</v>
          </cell>
          <cell r="BE110">
            <v>3320.4700000000007</v>
          </cell>
          <cell r="BF110">
            <v>3319.6500000000005</v>
          </cell>
          <cell r="BG110">
            <v>3532.3500000000004</v>
          </cell>
          <cell r="BH110">
            <v>3586.84</v>
          </cell>
          <cell r="BI110">
            <v>3597.6200000000003</v>
          </cell>
          <cell r="BJ110">
            <v>3518.8800000000006</v>
          </cell>
          <cell r="BK110">
            <v>3472.51</v>
          </cell>
          <cell r="BL110">
            <v>3447.6000000000004</v>
          </cell>
          <cell r="BM110">
            <v>3444.8500000000004</v>
          </cell>
          <cell r="BN110">
            <v>3437.7500000000005</v>
          </cell>
          <cell r="BO110">
            <v>3430.51</v>
          </cell>
          <cell r="BP110">
            <v>3415.7400000000007</v>
          </cell>
          <cell r="BQ110">
            <v>3553.900000000001</v>
          </cell>
          <cell r="BR110">
            <v>3595.7300000000009</v>
          </cell>
          <cell r="BS110">
            <v>3595.7300000000009</v>
          </cell>
          <cell r="BT110">
            <v>3595.7300000000009</v>
          </cell>
          <cell r="BU110">
            <v>3530.7300000000009</v>
          </cell>
          <cell r="BV110">
            <v>3530.7300000000009</v>
          </cell>
          <cell r="BW110">
            <v>3376.53</v>
          </cell>
          <cell r="BX110">
            <v>3376.53</v>
          </cell>
          <cell r="BY110">
            <v>3317.9300000000007</v>
          </cell>
          <cell r="BZ110">
            <v>3317.9300000000007</v>
          </cell>
          <cell r="CA110">
            <v>3317.9300000000007</v>
          </cell>
          <cell r="CB110">
            <v>3305.4300000000007</v>
          </cell>
          <cell r="CC110">
            <v>3314.3700000000008</v>
          </cell>
          <cell r="CD110">
            <v>3339.55</v>
          </cell>
          <cell r="CE110">
            <v>3521.7500000000005</v>
          </cell>
          <cell r="CF110">
            <v>3576.2400000000002</v>
          </cell>
          <cell r="CG110">
            <v>3587.0200000000004</v>
          </cell>
          <cell r="CH110">
            <v>3533.2800000000007</v>
          </cell>
          <cell r="CI110">
            <v>3496.01</v>
          </cell>
          <cell r="CJ110">
            <v>3451.6000000000004</v>
          </cell>
          <cell r="CK110">
            <v>3448.8500000000004</v>
          </cell>
          <cell r="CL110">
            <v>3441.7500000000005</v>
          </cell>
          <cell r="CM110">
            <v>3424.51</v>
          </cell>
          <cell r="CN110">
            <v>3415.7400000000007</v>
          </cell>
          <cell r="CO110">
            <v>3554.3000000000011</v>
          </cell>
          <cell r="CP110">
            <v>3596.130000000001</v>
          </cell>
          <cell r="CQ110">
            <v>3596.130000000001</v>
          </cell>
          <cell r="CR110">
            <v>3596.130000000001</v>
          </cell>
          <cell r="CS110">
            <v>3556.130000000001</v>
          </cell>
          <cell r="CT110">
            <v>3536.630000000001</v>
          </cell>
          <cell r="CU110">
            <v>3377.53</v>
          </cell>
          <cell r="CV110">
            <v>3377.53</v>
          </cell>
          <cell r="CW110">
            <v>3318.9300000000007</v>
          </cell>
          <cell r="CX110">
            <v>3318.9300000000007</v>
          </cell>
          <cell r="CY110">
            <v>3318.9300000000007</v>
          </cell>
          <cell r="CZ110">
            <v>3306.4300000000007</v>
          </cell>
          <cell r="DA110">
            <v>3315.3700000000008</v>
          </cell>
          <cell r="DB110">
            <v>3321.5500000000006</v>
          </cell>
          <cell r="DC110">
            <v>3524.2500000000005</v>
          </cell>
          <cell r="DD110">
            <v>3578.7400000000002</v>
          </cell>
          <cell r="DE110">
            <v>3589.5200000000004</v>
          </cell>
          <cell r="DF110">
            <v>3510.7800000000007</v>
          </cell>
          <cell r="DG110">
            <v>3455.51</v>
          </cell>
          <cell r="DH110">
            <v>3430.6000000000004</v>
          </cell>
          <cell r="DI110">
            <v>3427.8500000000004</v>
          </cell>
          <cell r="DJ110">
            <v>3420.7500000000005</v>
          </cell>
          <cell r="DK110">
            <v>3403.51</v>
          </cell>
          <cell r="DL110">
            <v>3405.7400000000007</v>
          </cell>
          <cell r="DM110">
            <v>3552.8000000000011</v>
          </cell>
          <cell r="DN110">
            <v>3594.630000000001</v>
          </cell>
          <cell r="DO110">
            <v>3594.630000000001</v>
          </cell>
          <cell r="DP110">
            <v>3594.630000000001</v>
          </cell>
          <cell r="DQ110">
            <v>3529.630000000001</v>
          </cell>
          <cell r="DR110">
            <v>3529.630000000001</v>
          </cell>
          <cell r="DS110">
            <v>3381.53</v>
          </cell>
          <cell r="DT110">
            <v>3381.53</v>
          </cell>
          <cell r="DU110">
            <v>3350.9300000000003</v>
          </cell>
          <cell r="DV110">
            <v>3350.9300000000003</v>
          </cell>
          <cell r="DW110">
            <v>3316.9300000000003</v>
          </cell>
          <cell r="DX110">
            <v>3304.4300000000003</v>
          </cell>
          <cell r="DY110">
            <v>3315.3700000000003</v>
          </cell>
          <cell r="DZ110">
            <v>3349.55</v>
          </cell>
          <cell r="EA110">
            <v>3547.2500000000009</v>
          </cell>
          <cell r="EB110">
            <v>3601.7400000000007</v>
          </cell>
          <cell r="EC110">
            <v>3612.5200000000009</v>
          </cell>
          <cell r="ED110">
            <v>3533.7800000000007</v>
          </cell>
          <cell r="EE110">
            <v>3478.51</v>
          </cell>
          <cell r="EF110">
            <v>3453.6000000000004</v>
          </cell>
          <cell r="EG110">
            <v>3460.8500000000004</v>
          </cell>
          <cell r="EH110">
            <v>3453.7500000000005</v>
          </cell>
          <cell r="EI110">
            <v>3429.51</v>
          </cell>
          <cell r="EJ110">
            <v>3409.7400000000007</v>
          </cell>
          <cell r="EK110">
            <v>3562.8000000000011</v>
          </cell>
          <cell r="EL110">
            <v>3604.630000000001</v>
          </cell>
          <cell r="EM110">
            <v>3604.630000000001</v>
          </cell>
          <cell r="EN110">
            <v>3604.630000000001</v>
          </cell>
          <cell r="EO110">
            <v>3539.630000000001</v>
          </cell>
          <cell r="EP110">
            <v>3539.630000000001</v>
          </cell>
          <cell r="EQ110">
            <v>3377.53</v>
          </cell>
          <cell r="ER110">
            <v>3377.53</v>
          </cell>
          <cell r="ES110">
            <v>3318.9300000000007</v>
          </cell>
          <cell r="ET110">
            <v>3318.9300000000007</v>
          </cell>
          <cell r="EU110">
            <v>3318.9300000000007</v>
          </cell>
          <cell r="EV110">
            <v>3306.4300000000007</v>
          </cell>
          <cell r="EW110">
            <v>3306.4700000000007</v>
          </cell>
          <cell r="EX110">
            <v>3317.6500000000005</v>
          </cell>
          <cell r="EY110">
            <v>3502.3500000000008</v>
          </cell>
          <cell r="EZ110">
            <v>3556.3400000000006</v>
          </cell>
          <cell r="FA110">
            <v>3602.1200000000008</v>
          </cell>
          <cell r="FB110">
            <v>3523.3800000000006</v>
          </cell>
          <cell r="FC110">
            <v>3477.51</v>
          </cell>
          <cell r="FD110">
            <v>3452.6000000000004</v>
          </cell>
          <cell r="FE110">
            <v>3449.8500000000004</v>
          </cell>
          <cell r="FF110">
            <v>3442.7500000000005</v>
          </cell>
          <cell r="FG110">
            <v>3418.51</v>
          </cell>
          <cell r="FH110">
            <v>3415.7400000000007</v>
          </cell>
          <cell r="FI110">
            <v>3553.900000000001</v>
          </cell>
          <cell r="FJ110">
            <v>3595.7300000000009</v>
          </cell>
          <cell r="FK110">
            <v>3595.7300000000009</v>
          </cell>
          <cell r="FL110">
            <v>3595.7300000000009</v>
          </cell>
          <cell r="FM110">
            <v>3530.7300000000009</v>
          </cell>
          <cell r="FN110">
            <v>3530.7300000000009</v>
          </cell>
        </row>
        <row r="111">
          <cell r="C111">
            <v>3399.53</v>
          </cell>
          <cell r="D111">
            <v>3399.53</v>
          </cell>
          <cell r="E111">
            <v>3332.9300000000007</v>
          </cell>
          <cell r="F111">
            <v>3332.9300000000007</v>
          </cell>
          <cell r="G111">
            <v>3332.9300000000007</v>
          </cell>
          <cell r="H111">
            <v>3320.4300000000007</v>
          </cell>
          <cell r="I111">
            <v>3320.4700000000007</v>
          </cell>
          <cell r="J111">
            <v>3329.6500000000005</v>
          </cell>
          <cell r="K111">
            <v>3558.3500000000008</v>
          </cell>
          <cell r="L111">
            <v>3612.8400000000006</v>
          </cell>
          <cell r="M111">
            <v>3623.6200000000008</v>
          </cell>
          <cell r="N111">
            <v>3549.8800000000006</v>
          </cell>
          <cell r="O111">
            <v>3516.51</v>
          </cell>
          <cell r="P111">
            <v>3491.6000000000004</v>
          </cell>
          <cell r="Q111">
            <v>3488.8500000000004</v>
          </cell>
          <cell r="R111">
            <v>3481.7500000000005</v>
          </cell>
          <cell r="S111">
            <v>3437.51</v>
          </cell>
          <cell r="T111">
            <v>3415.7400000000007</v>
          </cell>
          <cell r="U111">
            <v>3561.900000000001</v>
          </cell>
          <cell r="V111">
            <v>3603.7300000000009</v>
          </cell>
          <cell r="W111">
            <v>3603.7300000000009</v>
          </cell>
          <cell r="X111">
            <v>3603.7300000000009</v>
          </cell>
          <cell r="Y111">
            <v>3538.7300000000009</v>
          </cell>
          <cell r="Z111">
            <v>3538.7300000000009</v>
          </cell>
          <cell r="AA111">
            <v>6799.06</v>
          </cell>
          <cell r="AB111">
            <v>6799.06</v>
          </cell>
          <cell r="AC111">
            <v>6665.8600000000015</v>
          </cell>
          <cell r="AD111">
            <v>6665.8600000000015</v>
          </cell>
          <cell r="AE111">
            <v>6665.8600000000015</v>
          </cell>
          <cell r="AF111">
            <v>6640.8600000000015</v>
          </cell>
          <cell r="AG111">
            <v>6640.9400000000014</v>
          </cell>
          <cell r="AH111">
            <v>6669.3000000000011</v>
          </cell>
          <cell r="AI111">
            <v>7192.7000000000007</v>
          </cell>
          <cell r="AJ111">
            <v>7211.68</v>
          </cell>
          <cell r="AK111">
            <v>7223.2400000000007</v>
          </cell>
          <cell r="AL111">
            <v>7065.7600000000011</v>
          </cell>
          <cell r="AM111">
            <v>6973.02</v>
          </cell>
          <cell r="AN111">
            <v>6923.2000000000007</v>
          </cell>
          <cell r="AO111">
            <v>6917.7000000000007</v>
          </cell>
          <cell r="AP111">
            <v>6903.5000000000009</v>
          </cell>
          <cell r="AQ111">
            <v>6865.02</v>
          </cell>
          <cell r="AR111">
            <v>6831.4800000000014</v>
          </cell>
          <cell r="AS111">
            <v>7123.800000000002</v>
          </cell>
          <cell r="AT111">
            <v>7207.4600000000019</v>
          </cell>
          <cell r="AU111">
            <v>7207.4600000000019</v>
          </cell>
          <cell r="AV111">
            <v>7207.4600000000019</v>
          </cell>
          <cell r="AW111">
            <v>7077.4600000000019</v>
          </cell>
          <cell r="AX111">
            <v>7077.4600000000019</v>
          </cell>
          <cell r="AY111">
            <v>6799.06</v>
          </cell>
          <cell r="AZ111">
            <v>6799.06</v>
          </cell>
          <cell r="BA111">
            <v>6665.8600000000015</v>
          </cell>
          <cell r="BB111">
            <v>6665.8600000000015</v>
          </cell>
          <cell r="BC111">
            <v>6665.8600000000015</v>
          </cell>
          <cell r="BD111">
            <v>6640.8600000000015</v>
          </cell>
          <cell r="BE111">
            <v>6640.9400000000014</v>
          </cell>
          <cell r="BF111">
            <v>6639.3000000000011</v>
          </cell>
          <cell r="BG111">
            <v>7064.7000000000007</v>
          </cell>
          <cell r="BH111">
            <v>7173.68</v>
          </cell>
          <cell r="BI111">
            <v>7195.2400000000007</v>
          </cell>
          <cell r="BJ111">
            <v>7037.7600000000011</v>
          </cell>
          <cell r="BK111">
            <v>6945.02</v>
          </cell>
          <cell r="BL111">
            <v>6895.2000000000007</v>
          </cell>
          <cell r="BM111">
            <v>6889.7000000000007</v>
          </cell>
          <cell r="BN111">
            <v>6875.5000000000009</v>
          </cell>
          <cell r="BO111">
            <v>6861.02</v>
          </cell>
          <cell r="BP111">
            <v>6831.4800000000014</v>
          </cell>
          <cell r="BQ111">
            <v>7107.800000000002</v>
          </cell>
          <cell r="BR111">
            <v>7191.4600000000019</v>
          </cell>
          <cell r="BS111">
            <v>7191.4600000000019</v>
          </cell>
          <cell r="BT111">
            <v>7191.4600000000019</v>
          </cell>
          <cell r="BU111">
            <v>7061.4600000000019</v>
          </cell>
          <cell r="BV111">
            <v>7061.4600000000019</v>
          </cell>
          <cell r="BW111">
            <v>6753.06</v>
          </cell>
          <cell r="BX111">
            <v>6753.06</v>
          </cell>
          <cell r="BY111">
            <v>6635.8600000000015</v>
          </cell>
          <cell r="BZ111">
            <v>6635.8600000000015</v>
          </cell>
          <cell r="CA111">
            <v>6635.8600000000015</v>
          </cell>
          <cell r="CB111">
            <v>6610.8600000000015</v>
          </cell>
          <cell r="CC111">
            <v>6628.7400000000016</v>
          </cell>
          <cell r="CD111">
            <v>6679.1</v>
          </cell>
          <cell r="CE111">
            <v>7043.5000000000009</v>
          </cell>
          <cell r="CF111">
            <v>7152.4800000000005</v>
          </cell>
          <cell r="CG111">
            <v>7174.0400000000009</v>
          </cell>
          <cell r="CH111">
            <v>7066.5600000000013</v>
          </cell>
          <cell r="CI111">
            <v>6992.02</v>
          </cell>
          <cell r="CJ111">
            <v>6903.2000000000007</v>
          </cell>
          <cell r="CK111">
            <v>6897.7000000000007</v>
          </cell>
          <cell r="CL111">
            <v>6883.5000000000009</v>
          </cell>
          <cell r="CM111">
            <v>6849.02</v>
          </cell>
          <cell r="CN111">
            <v>6831.4800000000014</v>
          </cell>
          <cell r="CO111">
            <v>7108.6000000000022</v>
          </cell>
          <cell r="CP111">
            <v>7192.260000000002</v>
          </cell>
          <cell r="CQ111">
            <v>7192.260000000002</v>
          </cell>
          <cell r="CR111">
            <v>7192.260000000002</v>
          </cell>
          <cell r="CS111">
            <v>7112.260000000002</v>
          </cell>
          <cell r="CT111">
            <v>7073.260000000002</v>
          </cell>
          <cell r="CU111">
            <v>6755.06</v>
          </cell>
          <cell r="CV111">
            <v>6755.06</v>
          </cell>
          <cell r="CW111">
            <v>6637.8600000000015</v>
          </cell>
          <cell r="CX111">
            <v>6637.8600000000015</v>
          </cell>
          <cell r="CY111">
            <v>6637.8600000000015</v>
          </cell>
          <cell r="CZ111">
            <v>6612.8600000000015</v>
          </cell>
          <cell r="DA111">
            <v>6630.7400000000016</v>
          </cell>
          <cell r="DB111">
            <v>6643.1000000000013</v>
          </cell>
          <cell r="DC111">
            <v>7048.5000000000009</v>
          </cell>
          <cell r="DD111">
            <v>7157.4800000000005</v>
          </cell>
          <cell r="DE111">
            <v>7179.0400000000009</v>
          </cell>
          <cell r="DF111">
            <v>7021.5600000000013</v>
          </cell>
          <cell r="DG111">
            <v>6911.02</v>
          </cell>
          <cell r="DH111">
            <v>6861.2000000000007</v>
          </cell>
          <cell r="DI111">
            <v>6855.7000000000007</v>
          </cell>
          <cell r="DJ111">
            <v>6841.5000000000009</v>
          </cell>
          <cell r="DK111">
            <v>6807.02</v>
          </cell>
          <cell r="DL111">
            <v>6811.4800000000014</v>
          </cell>
          <cell r="DM111">
            <v>7105.6000000000022</v>
          </cell>
          <cell r="DN111">
            <v>7189.260000000002</v>
          </cell>
          <cell r="DO111">
            <v>7189.260000000002</v>
          </cell>
          <cell r="DP111">
            <v>7189.260000000002</v>
          </cell>
          <cell r="DQ111">
            <v>7059.260000000002</v>
          </cell>
          <cell r="DR111">
            <v>7059.260000000002</v>
          </cell>
          <cell r="DS111">
            <v>6763.06</v>
          </cell>
          <cell r="DT111">
            <v>6763.06</v>
          </cell>
          <cell r="DU111">
            <v>6701.8600000000006</v>
          </cell>
          <cell r="DV111">
            <v>6701.8600000000006</v>
          </cell>
          <cell r="DW111">
            <v>6633.8600000000006</v>
          </cell>
          <cell r="DX111">
            <v>6608.8600000000006</v>
          </cell>
          <cell r="DY111">
            <v>6630.7400000000007</v>
          </cell>
          <cell r="DZ111">
            <v>6699.1</v>
          </cell>
          <cell r="EA111">
            <v>7094.5000000000018</v>
          </cell>
          <cell r="EB111">
            <v>7203.4800000000014</v>
          </cell>
          <cell r="EC111">
            <v>7225.0400000000018</v>
          </cell>
          <cell r="ED111">
            <v>7067.5600000000013</v>
          </cell>
          <cell r="EE111">
            <v>6957.02</v>
          </cell>
          <cell r="EF111">
            <v>6907.2000000000007</v>
          </cell>
          <cell r="EG111">
            <v>6921.7000000000007</v>
          </cell>
          <cell r="EH111">
            <v>6907.5000000000009</v>
          </cell>
          <cell r="EI111">
            <v>6859.02</v>
          </cell>
          <cell r="EJ111">
            <v>6819.4800000000014</v>
          </cell>
          <cell r="EK111">
            <v>7125.6000000000022</v>
          </cell>
          <cell r="EL111">
            <v>7209.260000000002</v>
          </cell>
          <cell r="EM111">
            <v>7209.260000000002</v>
          </cell>
          <cell r="EN111">
            <v>7209.260000000002</v>
          </cell>
          <cell r="EO111">
            <v>7079.260000000002</v>
          </cell>
          <cell r="EP111">
            <v>7079.260000000002</v>
          </cell>
          <cell r="EQ111">
            <v>6755.06</v>
          </cell>
          <cell r="ER111">
            <v>6755.06</v>
          </cell>
          <cell r="ES111">
            <v>6637.8600000000015</v>
          </cell>
          <cell r="ET111">
            <v>6637.8600000000015</v>
          </cell>
          <cell r="EU111">
            <v>6637.8600000000015</v>
          </cell>
          <cell r="EV111">
            <v>6612.8600000000015</v>
          </cell>
          <cell r="EW111">
            <v>6612.9400000000014</v>
          </cell>
          <cell r="EX111">
            <v>6635.3000000000011</v>
          </cell>
          <cell r="EY111">
            <v>7004.7000000000016</v>
          </cell>
          <cell r="EZ111">
            <v>7112.6800000000012</v>
          </cell>
          <cell r="FA111">
            <v>7204.2400000000016</v>
          </cell>
          <cell r="FB111">
            <v>7046.7600000000011</v>
          </cell>
          <cell r="FC111">
            <v>6955.02</v>
          </cell>
          <cell r="FD111">
            <v>6905.2000000000007</v>
          </cell>
          <cell r="FE111">
            <v>6899.7000000000007</v>
          </cell>
          <cell r="FF111">
            <v>6885.5000000000009</v>
          </cell>
          <cell r="FG111">
            <v>6837.02</v>
          </cell>
          <cell r="FH111">
            <v>6831.4800000000014</v>
          </cell>
          <cell r="FI111">
            <v>7107.800000000002</v>
          </cell>
          <cell r="FJ111">
            <v>7191.4600000000019</v>
          </cell>
          <cell r="FK111">
            <v>7191.4600000000019</v>
          </cell>
          <cell r="FL111">
            <v>7191.4600000000019</v>
          </cell>
          <cell r="FM111">
            <v>7061.4600000000019</v>
          </cell>
          <cell r="FN111">
            <v>7061.4600000000019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11">
          <cell r="A11" t="str">
            <v xml:space="preserve">    G3TAVER1</v>
          </cell>
          <cell r="B11">
            <v>0</v>
          </cell>
          <cell r="C11">
            <v>0</v>
          </cell>
          <cell r="D11">
            <v>0</v>
          </cell>
          <cell r="E11">
            <v>0</v>
          </cell>
          <cell r="F11">
            <v>0</v>
          </cell>
          <cell r="G11">
            <v>0</v>
          </cell>
          <cell r="H11">
            <v>0</v>
          </cell>
          <cell r="I11">
            <v>0</v>
          </cell>
          <cell r="J11">
            <v>0</v>
          </cell>
          <cell r="K11">
            <v>3.1</v>
          </cell>
          <cell r="L11">
            <v>3.1</v>
          </cell>
          <cell r="M11">
            <v>0</v>
          </cell>
          <cell r="N11">
            <v>0</v>
          </cell>
          <cell r="O11">
            <v>0</v>
          </cell>
          <cell r="P11">
            <v>0</v>
          </cell>
          <cell r="Q11">
            <v>0</v>
          </cell>
          <cell r="R11">
            <v>0</v>
          </cell>
          <cell r="S11">
            <v>0</v>
          </cell>
          <cell r="T11">
            <v>0</v>
          </cell>
          <cell r="U11">
            <v>3.1</v>
          </cell>
          <cell r="V11">
            <v>3.1</v>
          </cell>
          <cell r="W11">
            <v>3.1</v>
          </cell>
          <cell r="X11">
            <v>3.1</v>
          </cell>
          <cell r="Y11">
            <v>3.1</v>
          </cell>
        </row>
        <row r="12">
          <cell r="A12" t="str">
            <v xml:space="preserve">    G3PCATA2</v>
          </cell>
          <cell r="B12">
            <v>10.199999999999999</v>
          </cell>
          <cell r="C12">
            <v>10.199999999999999</v>
          </cell>
          <cell r="D12">
            <v>10.199999999999999</v>
          </cell>
          <cell r="E12">
            <v>10.199999999999999</v>
          </cell>
          <cell r="F12">
            <v>10.199999999999999</v>
          </cell>
          <cell r="G12">
            <v>10.199999999999999</v>
          </cell>
          <cell r="H12">
            <v>10.199999999999999</v>
          </cell>
          <cell r="I12">
            <v>10.199999999999999</v>
          </cell>
          <cell r="J12">
            <v>10.199999999999999</v>
          </cell>
          <cell r="K12">
            <v>10.199999999999999</v>
          </cell>
          <cell r="L12">
            <v>10.199999999999999</v>
          </cell>
          <cell r="M12">
            <v>10.199999999999999</v>
          </cell>
          <cell r="N12">
            <v>10.199999999999999</v>
          </cell>
          <cell r="O12">
            <v>10.199999999999999</v>
          </cell>
          <cell r="P12">
            <v>10.199999999999999</v>
          </cell>
          <cell r="Q12">
            <v>10.199999999999999</v>
          </cell>
          <cell r="R12">
            <v>10.199999999999999</v>
          </cell>
          <cell r="S12">
            <v>10.199999999999999</v>
          </cell>
          <cell r="T12">
            <v>10.199999999999999</v>
          </cell>
          <cell r="U12">
            <v>10.199999999999999</v>
          </cell>
          <cell r="V12">
            <v>10.199999999999999</v>
          </cell>
          <cell r="W12">
            <v>10.199999999999999</v>
          </cell>
          <cell r="X12">
            <v>10.199999999999999</v>
          </cell>
          <cell r="Y12">
            <v>10.199999999999999</v>
          </cell>
        </row>
        <row r="13">
          <cell r="A13" t="str">
            <v xml:space="preserve">    G3PCATA1</v>
          </cell>
          <cell r="B13">
            <v>8</v>
          </cell>
          <cell r="C13">
            <v>8</v>
          </cell>
          <cell r="D13">
            <v>8</v>
          </cell>
          <cell r="E13">
            <v>8</v>
          </cell>
          <cell r="F13">
            <v>8</v>
          </cell>
          <cell r="G13">
            <v>8</v>
          </cell>
          <cell r="H13">
            <v>8</v>
          </cell>
          <cell r="I13">
            <v>8</v>
          </cell>
          <cell r="J13">
            <v>8</v>
          </cell>
          <cell r="K13">
            <v>8</v>
          </cell>
          <cell r="L13">
            <v>8</v>
          </cell>
          <cell r="M13">
            <v>8</v>
          </cell>
          <cell r="N13">
            <v>8</v>
          </cell>
          <cell r="O13">
            <v>8</v>
          </cell>
          <cell r="P13">
            <v>8</v>
          </cell>
          <cell r="Q13">
            <v>8</v>
          </cell>
          <cell r="R13">
            <v>8</v>
          </cell>
          <cell r="S13">
            <v>8</v>
          </cell>
          <cell r="T13">
            <v>8</v>
          </cell>
          <cell r="U13">
            <v>8</v>
          </cell>
          <cell r="V13">
            <v>8</v>
          </cell>
          <cell r="W13">
            <v>8</v>
          </cell>
          <cell r="X13">
            <v>8</v>
          </cell>
          <cell r="Y13">
            <v>8</v>
          </cell>
        </row>
        <row r="14">
          <cell r="A14" t="str">
            <v xml:space="preserve">    G3TAVER2</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G3JIGUE2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G3PEMCT</v>
          </cell>
          <cell r="B16">
            <v>15.59</v>
          </cell>
          <cell r="C16">
            <v>15.36</v>
          </cell>
          <cell r="D16">
            <v>16.739999999999998</v>
          </cell>
          <cell r="E16">
            <v>17.22</v>
          </cell>
          <cell r="F16">
            <v>17.059999999999999</v>
          </cell>
          <cell r="G16">
            <v>17.39</v>
          </cell>
          <cell r="H16">
            <v>20</v>
          </cell>
          <cell r="I16">
            <v>19.21</v>
          </cell>
          <cell r="J16">
            <v>19.23</v>
          </cell>
          <cell r="K16">
            <v>18.04</v>
          </cell>
          <cell r="L16">
            <v>18.63</v>
          </cell>
          <cell r="M16">
            <v>20</v>
          </cell>
          <cell r="N16">
            <v>20</v>
          </cell>
          <cell r="O16">
            <v>20</v>
          </cell>
          <cell r="P16">
            <v>20</v>
          </cell>
          <cell r="Q16">
            <v>18.98</v>
          </cell>
          <cell r="R16">
            <v>17.53</v>
          </cell>
          <cell r="S16">
            <v>16.34</v>
          </cell>
          <cell r="T16">
            <v>15.43</v>
          </cell>
          <cell r="U16">
            <v>12.61</v>
          </cell>
          <cell r="V16">
            <v>12.12</v>
          </cell>
          <cell r="W16">
            <v>12.22</v>
          </cell>
          <cell r="X16">
            <v>13.99</v>
          </cell>
          <cell r="Y16">
            <v>14.89</v>
          </cell>
        </row>
        <row r="17">
          <cell r="A17" t="str">
            <v xml:space="preserve">    G3JIGUE1</v>
          </cell>
          <cell r="B17">
            <v>0</v>
          </cell>
          <cell r="C17">
            <v>0</v>
          </cell>
          <cell r="D17">
            <v>0</v>
          </cell>
          <cell r="E17">
            <v>0</v>
          </cell>
          <cell r="F17">
            <v>0</v>
          </cell>
          <cell r="G17">
            <v>0</v>
          </cell>
          <cell r="H17">
            <v>0</v>
          </cell>
          <cell r="I17">
            <v>0</v>
          </cell>
          <cell r="J17">
            <v>1.44</v>
          </cell>
          <cell r="K17">
            <v>1.44</v>
          </cell>
          <cell r="L17">
            <v>1.44</v>
          </cell>
          <cell r="M17">
            <v>2.2999999999999998</v>
          </cell>
          <cell r="N17">
            <v>0</v>
          </cell>
          <cell r="O17">
            <v>0</v>
          </cell>
          <cell r="P17">
            <v>0</v>
          </cell>
          <cell r="Q17">
            <v>0</v>
          </cell>
          <cell r="R17">
            <v>0</v>
          </cell>
          <cell r="S17">
            <v>0</v>
          </cell>
          <cell r="T17">
            <v>1.44</v>
          </cell>
          <cell r="U17">
            <v>1.44</v>
          </cell>
          <cell r="V17">
            <v>1.44</v>
          </cell>
          <cell r="W17">
            <v>1.44</v>
          </cell>
          <cell r="X17">
            <v>1.44</v>
          </cell>
          <cell r="Y17">
            <v>1.44</v>
          </cell>
        </row>
        <row r="18">
          <cell r="A18" t="str">
            <v xml:space="preserve">    G3AGUAC1</v>
          </cell>
          <cell r="B18">
            <v>0</v>
          </cell>
          <cell r="C18">
            <v>0</v>
          </cell>
          <cell r="D18">
            <v>0</v>
          </cell>
          <cell r="E18">
            <v>0</v>
          </cell>
          <cell r="F18">
            <v>0</v>
          </cell>
          <cell r="G18">
            <v>0</v>
          </cell>
          <cell r="H18">
            <v>0</v>
          </cell>
          <cell r="I18">
            <v>0</v>
          </cell>
          <cell r="J18">
            <v>0.84</v>
          </cell>
          <cell r="K18">
            <v>0.84</v>
          </cell>
          <cell r="L18">
            <v>0.84</v>
          </cell>
          <cell r="M18">
            <v>3</v>
          </cell>
          <cell r="N18">
            <v>3</v>
          </cell>
          <cell r="O18">
            <v>3</v>
          </cell>
          <cell r="P18">
            <v>3</v>
          </cell>
          <cell r="Q18">
            <v>3</v>
          </cell>
          <cell r="R18">
            <v>3</v>
          </cell>
          <cell r="S18">
            <v>3</v>
          </cell>
          <cell r="T18">
            <v>0.84</v>
          </cell>
          <cell r="U18">
            <v>0.84</v>
          </cell>
          <cell r="V18">
            <v>0.84</v>
          </cell>
          <cell r="W18">
            <v>0.84</v>
          </cell>
          <cell r="X18">
            <v>2.66</v>
          </cell>
          <cell r="Y18">
            <v>2.66</v>
          </cell>
        </row>
        <row r="19">
          <cell r="A19" t="str">
            <v xml:space="preserve">    G3AANDRE</v>
          </cell>
          <cell r="B19">
            <v>9</v>
          </cell>
          <cell r="C19">
            <v>9</v>
          </cell>
          <cell r="D19">
            <v>9</v>
          </cell>
          <cell r="E19">
            <v>9</v>
          </cell>
          <cell r="F19">
            <v>9</v>
          </cell>
          <cell r="G19">
            <v>9</v>
          </cell>
          <cell r="H19">
            <v>9.01</v>
          </cell>
          <cell r="I19">
            <v>9</v>
          </cell>
          <cell r="J19">
            <v>9</v>
          </cell>
          <cell r="K19">
            <v>9</v>
          </cell>
          <cell r="L19">
            <v>9</v>
          </cell>
          <cell r="M19">
            <v>10.07</v>
          </cell>
          <cell r="N19">
            <v>12.15</v>
          </cell>
          <cell r="O19">
            <v>10.52</v>
          </cell>
          <cell r="P19">
            <v>9.32</v>
          </cell>
          <cell r="Q19">
            <v>9</v>
          </cell>
          <cell r="R19">
            <v>9</v>
          </cell>
          <cell r="S19">
            <v>9</v>
          </cell>
          <cell r="T19">
            <v>9</v>
          </cell>
          <cell r="U19">
            <v>9</v>
          </cell>
          <cell r="V19">
            <v>9</v>
          </cell>
          <cell r="W19">
            <v>9</v>
          </cell>
          <cell r="X19">
            <v>9</v>
          </cell>
          <cell r="Y19">
            <v>9</v>
          </cell>
        </row>
        <row r="20">
          <cell r="A20" t="str">
            <v xml:space="preserve">    G3VALDE2</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row>
        <row r="21">
          <cell r="A21" t="str">
            <v xml:space="preserve">    G3PALOM1</v>
          </cell>
          <cell r="B21">
            <v>0</v>
          </cell>
          <cell r="C21">
            <v>0</v>
          </cell>
          <cell r="D21">
            <v>0</v>
          </cell>
          <cell r="E21">
            <v>0</v>
          </cell>
          <cell r="F21">
            <v>0</v>
          </cell>
          <cell r="G21">
            <v>0</v>
          </cell>
          <cell r="H21">
            <v>0</v>
          </cell>
          <cell r="I21">
            <v>0</v>
          </cell>
          <cell r="J21">
            <v>4.8</v>
          </cell>
          <cell r="K21">
            <v>4.8</v>
          </cell>
          <cell r="L21">
            <v>4.8</v>
          </cell>
          <cell r="M21">
            <v>0</v>
          </cell>
          <cell r="N21">
            <v>0</v>
          </cell>
          <cell r="O21">
            <v>0</v>
          </cell>
          <cell r="P21">
            <v>0</v>
          </cell>
          <cell r="Q21">
            <v>0</v>
          </cell>
          <cell r="R21">
            <v>0</v>
          </cell>
          <cell r="S21">
            <v>0</v>
          </cell>
          <cell r="T21">
            <v>4.83</v>
          </cell>
          <cell r="U21">
            <v>4.83</v>
          </cell>
          <cell r="V21">
            <v>4.83</v>
          </cell>
          <cell r="W21">
            <v>4.83</v>
          </cell>
          <cell r="X21">
            <v>0</v>
          </cell>
          <cell r="Y21">
            <v>0</v>
          </cell>
        </row>
        <row r="22">
          <cell r="A22" t="str">
            <v xml:space="preserve">    G3PALOM2</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23">
          <cell r="A23" t="str">
            <v xml:space="preserve">    G3AGUAC2</v>
          </cell>
          <cell r="B23">
            <v>2</v>
          </cell>
          <cell r="C23">
            <v>2</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G3SFELIP</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row>
        <row r="25">
          <cell r="A25" t="str">
            <v xml:space="preserve">       G3HTG</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row>
        <row r="26">
          <cell r="A26" t="str">
            <v xml:space="preserve">    G3VALDE1</v>
          </cell>
          <cell r="B26">
            <v>0</v>
          </cell>
          <cell r="C26">
            <v>0</v>
          </cell>
          <cell r="D26">
            <v>0</v>
          </cell>
          <cell r="E26">
            <v>0</v>
          </cell>
          <cell r="F26">
            <v>0</v>
          </cell>
          <cell r="G26">
            <v>0</v>
          </cell>
          <cell r="H26">
            <v>0</v>
          </cell>
          <cell r="I26">
            <v>0</v>
          </cell>
          <cell r="J26">
            <v>0.75</v>
          </cell>
          <cell r="K26">
            <v>0.75</v>
          </cell>
          <cell r="L26">
            <v>0.75</v>
          </cell>
          <cell r="M26">
            <v>0</v>
          </cell>
          <cell r="N26">
            <v>0</v>
          </cell>
          <cell r="O26">
            <v>0</v>
          </cell>
          <cell r="P26">
            <v>0</v>
          </cell>
          <cell r="Q26">
            <v>0</v>
          </cell>
          <cell r="R26">
            <v>0</v>
          </cell>
          <cell r="S26">
            <v>0</v>
          </cell>
          <cell r="T26">
            <v>0.75</v>
          </cell>
          <cell r="U26">
            <v>0.75</v>
          </cell>
          <cell r="V26">
            <v>0.75</v>
          </cell>
          <cell r="W26">
            <v>0.75</v>
          </cell>
          <cell r="X26">
            <v>0</v>
          </cell>
          <cell r="Y26">
            <v>0</v>
          </cell>
        </row>
        <row r="27">
          <cell r="A27" t="str">
            <v xml:space="preserve">    G3LMINA6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row>
        <row r="28">
          <cell r="A28" t="str">
            <v xml:space="preserve">    G3MONCI2</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row>
        <row r="29">
          <cell r="A29" t="str">
            <v xml:space="preserve">    G3LANGOS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row>
        <row r="30">
          <cell r="A30" t="str">
            <v xml:space="preserve">    G3LMINA5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G3MONCI1</v>
          </cell>
          <cell r="B31">
            <v>0</v>
          </cell>
          <cell r="C31">
            <v>0</v>
          </cell>
          <cell r="D31">
            <v>0</v>
          </cell>
          <cell r="E31">
            <v>0</v>
          </cell>
          <cell r="F31">
            <v>0</v>
          </cell>
          <cell r="G31">
            <v>0</v>
          </cell>
          <cell r="H31">
            <v>0</v>
          </cell>
          <cell r="I31">
            <v>0</v>
          </cell>
          <cell r="J31">
            <v>0.66</v>
          </cell>
          <cell r="K31">
            <v>0.66</v>
          </cell>
          <cell r="L31">
            <v>0.66</v>
          </cell>
          <cell r="M31">
            <v>2.1</v>
          </cell>
          <cell r="N31">
            <v>2.1</v>
          </cell>
          <cell r="O31">
            <v>1.95</v>
          </cell>
          <cell r="P31">
            <v>1.95</v>
          </cell>
          <cell r="Q31">
            <v>1.95</v>
          </cell>
          <cell r="R31">
            <v>1.95</v>
          </cell>
          <cell r="S31">
            <v>1.98</v>
          </cell>
          <cell r="T31">
            <v>0.66</v>
          </cell>
          <cell r="U31">
            <v>0.66</v>
          </cell>
          <cell r="V31">
            <v>0.66</v>
          </cell>
          <cell r="W31">
            <v>0.66</v>
          </cell>
          <cell r="X31">
            <v>0.66</v>
          </cell>
          <cell r="Y31">
            <v>0.66</v>
          </cell>
        </row>
        <row r="32">
          <cell r="A32" t="str">
            <v xml:space="preserve">    G3PINAL1</v>
          </cell>
          <cell r="B32">
            <v>0</v>
          </cell>
          <cell r="C32">
            <v>0</v>
          </cell>
          <cell r="D32">
            <v>0</v>
          </cell>
          <cell r="E32">
            <v>0</v>
          </cell>
          <cell r="F32">
            <v>0</v>
          </cell>
          <cell r="G32">
            <v>0</v>
          </cell>
          <cell r="H32">
            <v>0</v>
          </cell>
          <cell r="I32">
            <v>0</v>
          </cell>
          <cell r="J32">
            <v>0.6</v>
          </cell>
          <cell r="K32">
            <v>0.6</v>
          </cell>
          <cell r="L32">
            <v>0.6</v>
          </cell>
          <cell r="M32">
            <v>0.6</v>
          </cell>
          <cell r="N32">
            <v>0.6</v>
          </cell>
          <cell r="O32">
            <v>0</v>
          </cell>
          <cell r="P32">
            <v>0</v>
          </cell>
          <cell r="Q32">
            <v>0</v>
          </cell>
          <cell r="R32">
            <v>0</v>
          </cell>
          <cell r="S32">
            <v>0</v>
          </cell>
          <cell r="T32">
            <v>0.6</v>
          </cell>
          <cell r="U32">
            <v>0.6</v>
          </cell>
          <cell r="V32">
            <v>0.6</v>
          </cell>
          <cell r="W32">
            <v>0.6</v>
          </cell>
          <cell r="X32">
            <v>0.6</v>
          </cell>
          <cell r="Y32">
            <v>0.6</v>
          </cell>
        </row>
        <row r="33">
          <cell r="A33" t="str">
            <v xml:space="preserve">    G3PINAL2</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G3CES2GN</v>
          </cell>
          <cell r="B34">
            <v>2.7</v>
          </cell>
          <cell r="C34">
            <v>2.7</v>
          </cell>
          <cell r="D34">
            <v>2.7</v>
          </cell>
          <cell r="E34">
            <v>2.7</v>
          </cell>
          <cell r="F34">
            <v>2.7</v>
          </cell>
          <cell r="G34">
            <v>2.7</v>
          </cell>
          <cell r="H34">
            <v>2.7</v>
          </cell>
          <cell r="I34">
            <v>2.7</v>
          </cell>
          <cell r="J34">
            <v>2.7</v>
          </cell>
          <cell r="K34">
            <v>2.7</v>
          </cell>
          <cell r="L34">
            <v>2.7</v>
          </cell>
          <cell r="M34">
            <v>2.7</v>
          </cell>
          <cell r="N34">
            <v>2.7</v>
          </cell>
          <cell r="O34">
            <v>2.7</v>
          </cell>
          <cell r="P34">
            <v>2.7</v>
          </cell>
          <cell r="Q34">
            <v>2.7</v>
          </cell>
          <cell r="R34">
            <v>2.7</v>
          </cell>
          <cell r="S34">
            <v>2.7</v>
          </cell>
          <cell r="T34">
            <v>2.7</v>
          </cell>
          <cell r="U34">
            <v>2.7</v>
          </cell>
          <cell r="V34">
            <v>2.7</v>
          </cell>
          <cell r="W34">
            <v>2.7</v>
          </cell>
          <cell r="X34">
            <v>2.7</v>
          </cell>
          <cell r="Y34">
            <v>2.7</v>
          </cell>
        </row>
        <row r="35">
          <cell r="A35" t="str">
            <v xml:space="preserve">    G3CES2FO</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G3HATILL</v>
          </cell>
          <cell r="B36">
            <v>0.24</v>
          </cell>
          <cell r="C36">
            <v>0.24</v>
          </cell>
          <cell r="D36">
            <v>0.4</v>
          </cell>
          <cell r="E36">
            <v>0.4</v>
          </cell>
          <cell r="F36">
            <v>0.4</v>
          </cell>
          <cell r="G36">
            <v>0.9</v>
          </cell>
          <cell r="H36">
            <v>0.9</v>
          </cell>
          <cell r="I36">
            <v>0.9</v>
          </cell>
          <cell r="J36">
            <v>0.24</v>
          </cell>
          <cell r="K36">
            <v>0.24</v>
          </cell>
          <cell r="L36">
            <v>0.24</v>
          </cell>
          <cell r="M36">
            <v>0.24</v>
          </cell>
          <cell r="N36">
            <v>0.24</v>
          </cell>
          <cell r="O36">
            <v>0.24</v>
          </cell>
          <cell r="P36">
            <v>0.24</v>
          </cell>
          <cell r="Q36">
            <v>0.24</v>
          </cell>
          <cell r="R36">
            <v>0.24</v>
          </cell>
          <cell r="S36">
            <v>0.24</v>
          </cell>
          <cell r="T36">
            <v>0.24</v>
          </cell>
          <cell r="U36">
            <v>0.24</v>
          </cell>
          <cell r="V36">
            <v>0.24</v>
          </cell>
          <cell r="W36">
            <v>0.24</v>
          </cell>
          <cell r="X36">
            <v>0.24</v>
          </cell>
          <cell r="Y36">
            <v>0.24</v>
          </cell>
        </row>
        <row r="37">
          <cell r="A37" t="str">
            <v xml:space="preserve">    G3CES1FO</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row>
        <row r="38">
          <cell r="A38" t="str">
            <v xml:space="preserve">    G3RBLAN2</v>
          </cell>
          <cell r="B38">
            <v>1</v>
          </cell>
          <cell r="C38">
            <v>1</v>
          </cell>
          <cell r="D38">
            <v>1</v>
          </cell>
          <cell r="E38">
            <v>1</v>
          </cell>
          <cell r="F38">
            <v>1</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G3RBLAN1</v>
          </cell>
          <cell r="B39">
            <v>0</v>
          </cell>
          <cell r="C39">
            <v>0</v>
          </cell>
          <cell r="D39">
            <v>0</v>
          </cell>
          <cell r="E39">
            <v>0</v>
          </cell>
          <cell r="F39">
            <v>0</v>
          </cell>
          <cell r="G39">
            <v>0</v>
          </cell>
          <cell r="H39">
            <v>0</v>
          </cell>
          <cell r="I39">
            <v>0</v>
          </cell>
          <cell r="J39">
            <v>0.38</v>
          </cell>
          <cell r="K39">
            <v>0.38</v>
          </cell>
          <cell r="L39">
            <v>0.38</v>
          </cell>
          <cell r="M39">
            <v>0.38</v>
          </cell>
          <cell r="N39">
            <v>0.38</v>
          </cell>
          <cell r="O39">
            <v>0.38</v>
          </cell>
          <cell r="P39">
            <v>0.38</v>
          </cell>
          <cell r="Q39">
            <v>0.38</v>
          </cell>
          <cell r="R39">
            <v>0.38</v>
          </cell>
          <cell r="S39">
            <v>0.38</v>
          </cell>
          <cell r="T39">
            <v>0.38</v>
          </cell>
          <cell r="U39">
            <v>0.38</v>
          </cell>
          <cell r="V39">
            <v>0.38</v>
          </cell>
          <cell r="W39">
            <v>0.38</v>
          </cell>
          <cell r="X39">
            <v>0.38</v>
          </cell>
          <cell r="Y39">
            <v>0.38</v>
          </cell>
        </row>
        <row r="40">
          <cell r="A40" t="str">
            <v xml:space="preserve">    G3CES1GN</v>
          </cell>
          <cell r="B40">
            <v>2.7</v>
          </cell>
          <cell r="C40">
            <v>2.7</v>
          </cell>
          <cell r="D40">
            <v>2.7</v>
          </cell>
          <cell r="E40">
            <v>2.7</v>
          </cell>
          <cell r="F40">
            <v>2.7</v>
          </cell>
          <cell r="G40">
            <v>2.7</v>
          </cell>
          <cell r="H40">
            <v>2.7</v>
          </cell>
          <cell r="I40">
            <v>2.7</v>
          </cell>
          <cell r="J40">
            <v>2.7</v>
          </cell>
          <cell r="K40">
            <v>2.7</v>
          </cell>
          <cell r="L40">
            <v>2.7</v>
          </cell>
          <cell r="M40">
            <v>2.7</v>
          </cell>
          <cell r="N40">
            <v>2.7</v>
          </cell>
          <cell r="O40">
            <v>2.7</v>
          </cell>
          <cell r="P40">
            <v>2.7</v>
          </cell>
          <cell r="Q40">
            <v>2.7</v>
          </cell>
          <cell r="R40">
            <v>2.7</v>
          </cell>
          <cell r="S40">
            <v>2.7</v>
          </cell>
          <cell r="T40">
            <v>2.7</v>
          </cell>
          <cell r="U40">
            <v>2.7</v>
          </cell>
          <cell r="V40">
            <v>2.7</v>
          </cell>
          <cell r="W40">
            <v>2.7</v>
          </cell>
          <cell r="X40">
            <v>2.7</v>
          </cell>
          <cell r="Y40">
            <v>2.7</v>
          </cell>
        </row>
        <row r="41">
          <cell r="A41" t="str">
            <v xml:space="preserve">    G3SYEGUA</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row>
        <row r="42">
          <cell r="A42" t="str">
            <v xml:space="preserve">    G3CES3GN</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G3CES3FO</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row>
        <row r="44">
          <cell r="A44" t="str">
            <v xml:space="preserve">    G3RINCON</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5">
          <cell r="A45" t="str">
            <v xml:space="preserve">    G3LDAMAS</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row>
        <row r="46">
          <cell r="A46" t="str">
            <v xml:space="preserve">    G3QUI2GN</v>
          </cell>
          <cell r="B46">
            <v>7.7</v>
          </cell>
          <cell r="C46">
            <v>7.7</v>
          </cell>
          <cell r="D46">
            <v>7.7</v>
          </cell>
          <cell r="E46">
            <v>7.7</v>
          </cell>
          <cell r="F46">
            <v>7.7</v>
          </cell>
          <cell r="G46">
            <v>7.7</v>
          </cell>
          <cell r="H46">
            <v>7.7</v>
          </cell>
          <cell r="I46">
            <v>7.7</v>
          </cell>
          <cell r="J46">
            <v>7.7</v>
          </cell>
          <cell r="K46">
            <v>7.7</v>
          </cell>
          <cell r="L46">
            <v>7.7</v>
          </cell>
          <cell r="M46">
            <v>7.7</v>
          </cell>
          <cell r="N46">
            <v>7.7</v>
          </cell>
          <cell r="O46">
            <v>7.7</v>
          </cell>
          <cell r="P46">
            <v>7.7</v>
          </cell>
          <cell r="Q46">
            <v>7.7</v>
          </cell>
          <cell r="R46">
            <v>7.7</v>
          </cell>
          <cell r="S46">
            <v>7.7</v>
          </cell>
          <cell r="T46">
            <v>7.7</v>
          </cell>
          <cell r="U46">
            <v>7.7</v>
          </cell>
          <cell r="V46">
            <v>7.7</v>
          </cell>
          <cell r="W46">
            <v>7.7</v>
          </cell>
          <cell r="X46">
            <v>7.7</v>
          </cell>
          <cell r="Y46">
            <v>7.7</v>
          </cell>
        </row>
        <row r="47">
          <cell r="A47" t="str">
            <v xml:space="preserve">    G3QUI2FO</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 xml:space="preserve">     G3CEPP2</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row>
        <row r="49">
          <cell r="A49" t="str">
            <v xml:space="preserve">    G3Q1SPGN</v>
          </cell>
          <cell r="B49">
            <v>2.0499999999999998</v>
          </cell>
          <cell r="C49">
            <v>2.0499999999999998</v>
          </cell>
          <cell r="D49">
            <v>2.0499999999999998</v>
          </cell>
          <cell r="E49">
            <v>2.0499999999999998</v>
          </cell>
          <cell r="F49">
            <v>2.0499999999999998</v>
          </cell>
          <cell r="G49">
            <v>2.0499999999999998</v>
          </cell>
          <cell r="H49">
            <v>2.0499999999999998</v>
          </cell>
          <cell r="I49">
            <v>2.0499999999999998</v>
          </cell>
          <cell r="J49">
            <v>2.0499999999999998</v>
          </cell>
          <cell r="K49">
            <v>2.0499999999999998</v>
          </cell>
          <cell r="L49">
            <v>2.0499999999999998</v>
          </cell>
          <cell r="M49">
            <v>2.0499999999999998</v>
          </cell>
          <cell r="N49">
            <v>2.0499999999999998</v>
          </cell>
          <cell r="O49">
            <v>2.0499999999999998</v>
          </cell>
          <cell r="P49">
            <v>2.0499999999999998</v>
          </cell>
          <cell r="Q49">
            <v>2.0499999999999998</v>
          </cell>
          <cell r="R49">
            <v>2.0499999999999998</v>
          </cell>
          <cell r="S49">
            <v>2.0499999999999998</v>
          </cell>
          <cell r="T49">
            <v>2.0499999999999998</v>
          </cell>
          <cell r="U49">
            <v>2.0499999999999998</v>
          </cell>
          <cell r="V49">
            <v>2.0499999999999998</v>
          </cell>
          <cell r="W49">
            <v>2.0499999999999998</v>
          </cell>
          <cell r="X49">
            <v>2.0499999999999998</v>
          </cell>
          <cell r="Y49">
            <v>2.0499999999999998</v>
          </cell>
        </row>
        <row r="50">
          <cell r="A50" t="str">
            <v xml:space="preserve">    G3Q1SPFO</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row>
        <row r="51">
          <cell r="A51" t="str">
            <v xml:space="preserve">    G3QUI1GN</v>
          </cell>
          <cell r="B51">
            <v>3.5</v>
          </cell>
          <cell r="C51">
            <v>3.5</v>
          </cell>
          <cell r="D51">
            <v>3.5</v>
          </cell>
          <cell r="E51">
            <v>3.5</v>
          </cell>
          <cell r="F51">
            <v>3.5</v>
          </cell>
          <cell r="G51">
            <v>3.5</v>
          </cell>
          <cell r="H51">
            <v>3.5</v>
          </cell>
          <cell r="I51">
            <v>3.5</v>
          </cell>
          <cell r="J51">
            <v>3.5</v>
          </cell>
          <cell r="K51">
            <v>3.5</v>
          </cell>
          <cell r="L51">
            <v>3.5</v>
          </cell>
          <cell r="M51">
            <v>3.5</v>
          </cell>
          <cell r="N51">
            <v>3.5</v>
          </cell>
          <cell r="O51">
            <v>3.5</v>
          </cell>
          <cell r="P51">
            <v>3.5</v>
          </cell>
          <cell r="Q51">
            <v>3.5</v>
          </cell>
          <cell r="R51">
            <v>3.5</v>
          </cell>
          <cell r="S51">
            <v>3.5</v>
          </cell>
          <cell r="T51">
            <v>3.5</v>
          </cell>
          <cell r="U51">
            <v>3.5</v>
          </cell>
          <cell r="V51">
            <v>3.5</v>
          </cell>
          <cell r="W51">
            <v>3.5</v>
          </cell>
          <cell r="X51">
            <v>3.5</v>
          </cell>
          <cell r="Y51">
            <v>3.5</v>
          </cell>
        </row>
        <row r="52">
          <cell r="A52" t="str">
            <v xml:space="preserve">    G3QUI1FO</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A53" t="str">
            <v xml:space="preserve">    G3LOPPGN</v>
          </cell>
          <cell r="B53">
            <v>1.58</v>
          </cell>
          <cell r="C53">
            <v>1.58</v>
          </cell>
          <cell r="D53">
            <v>1.58</v>
          </cell>
          <cell r="E53">
            <v>1.58</v>
          </cell>
          <cell r="F53">
            <v>1.58</v>
          </cell>
          <cell r="G53">
            <v>1.58</v>
          </cell>
          <cell r="H53">
            <v>1.58</v>
          </cell>
          <cell r="I53">
            <v>1.58</v>
          </cell>
          <cell r="J53">
            <v>0.76</v>
          </cell>
          <cell r="K53">
            <v>0</v>
          </cell>
          <cell r="L53">
            <v>0</v>
          </cell>
          <cell r="M53">
            <v>1.58</v>
          </cell>
          <cell r="N53">
            <v>0.5</v>
          </cell>
          <cell r="O53">
            <v>1.58</v>
          </cell>
          <cell r="P53">
            <v>1.58</v>
          </cell>
          <cell r="Q53">
            <v>1.58</v>
          </cell>
          <cell r="R53">
            <v>1.58</v>
          </cell>
          <cell r="S53">
            <v>1.58</v>
          </cell>
          <cell r="T53">
            <v>1.58</v>
          </cell>
          <cell r="U53">
            <v>1.58</v>
          </cell>
          <cell r="V53">
            <v>1.58</v>
          </cell>
          <cell r="W53">
            <v>1.58</v>
          </cell>
          <cell r="X53">
            <v>1.58</v>
          </cell>
          <cell r="Y53">
            <v>1.58</v>
          </cell>
        </row>
        <row r="54">
          <cell r="A54" t="str">
            <v xml:space="preserve">    G3LOPPFO</v>
          </cell>
          <cell r="B54">
            <v>1.58</v>
          </cell>
          <cell r="C54">
            <v>1.58</v>
          </cell>
          <cell r="D54">
            <v>0.5</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1.58</v>
          </cell>
          <cell r="W54">
            <v>1.58</v>
          </cell>
          <cell r="X54">
            <v>1.58</v>
          </cell>
          <cell r="Y54">
            <v>0</v>
          </cell>
        </row>
        <row r="55">
          <cell r="A55" t="str">
            <v xml:space="preserve">    G3EM2SFO</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row>
        <row r="56">
          <cell r="A56" t="str">
            <v xml:space="preserve">    G3EM2CFO</v>
          </cell>
          <cell r="B56">
            <v>3.08</v>
          </cell>
          <cell r="C56">
            <v>3.08</v>
          </cell>
          <cell r="D56">
            <v>3.08</v>
          </cell>
          <cell r="E56">
            <v>3.08</v>
          </cell>
          <cell r="F56">
            <v>3.08</v>
          </cell>
          <cell r="G56">
            <v>3.08</v>
          </cell>
          <cell r="H56">
            <v>3.08</v>
          </cell>
          <cell r="I56">
            <v>3.08</v>
          </cell>
          <cell r="J56">
            <v>0</v>
          </cell>
          <cell r="K56">
            <v>0</v>
          </cell>
          <cell r="L56">
            <v>0</v>
          </cell>
          <cell r="M56">
            <v>0</v>
          </cell>
          <cell r="N56">
            <v>1.54</v>
          </cell>
          <cell r="O56">
            <v>3.08</v>
          </cell>
          <cell r="P56">
            <v>3.08</v>
          </cell>
          <cell r="Q56">
            <v>3.08</v>
          </cell>
          <cell r="R56">
            <v>3.08</v>
          </cell>
          <cell r="S56">
            <v>3.08</v>
          </cell>
          <cell r="T56">
            <v>3.08</v>
          </cell>
          <cell r="U56">
            <v>3.08</v>
          </cell>
          <cell r="V56">
            <v>3.08</v>
          </cell>
          <cell r="W56">
            <v>3.08</v>
          </cell>
          <cell r="X56">
            <v>3.08</v>
          </cell>
          <cell r="Y56">
            <v>3.08</v>
          </cell>
        </row>
        <row r="57">
          <cell r="A57" t="str">
            <v xml:space="preserve">    G3EM2SGN</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row>
        <row r="58">
          <cell r="A58" t="str">
            <v xml:space="preserve">    G3EM2CGN</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row>
        <row r="59">
          <cell r="A59" t="str">
            <v xml:space="preserve">    G3METALD</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row>
        <row r="60">
          <cell r="A60" t="str">
            <v xml:space="preserve">    G3PIMEN3</v>
          </cell>
          <cell r="B60">
            <v>1.54</v>
          </cell>
          <cell r="C60">
            <v>1.54</v>
          </cell>
          <cell r="D60">
            <v>1.54</v>
          </cell>
          <cell r="E60">
            <v>1.54</v>
          </cell>
          <cell r="F60">
            <v>0</v>
          </cell>
          <cell r="G60">
            <v>0</v>
          </cell>
          <cell r="H60">
            <v>0</v>
          </cell>
          <cell r="I60">
            <v>0</v>
          </cell>
          <cell r="J60">
            <v>0</v>
          </cell>
          <cell r="K60">
            <v>0</v>
          </cell>
          <cell r="L60">
            <v>0</v>
          </cell>
          <cell r="M60">
            <v>0</v>
          </cell>
          <cell r="N60">
            <v>0</v>
          </cell>
          <cell r="O60">
            <v>0</v>
          </cell>
          <cell r="P60">
            <v>0</v>
          </cell>
          <cell r="Q60">
            <v>0</v>
          </cell>
          <cell r="R60">
            <v>1.54</v>
          </cell>
          <cell r="S60">
            <v>1.54</v>
          </cell>
          <cell r="T60">
            <v>0</v>
          </cell>
          <cell r="U60">
            <v>1.54</v>
          </cell>
          <cell r="V60">
            <v>1.54</v>
          </cell>
          <cell r="W60">
            <v>1.54</v>
          </cell>
          <cell r="X60">
            <v>1.54</v>
          </cell>
          <cell r="Y60">
            <v>1.54</v>
          </cell>
        </row>
        <row r="61">
          <cell r="A61" t="str">
            <v xml:space="preserve">    G3PIMEN2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62">
          <cell r="A62" t="str">
            <v xml:space="preserve">     G3CEPP1</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row>
        <row r="63">
          <cell r="A63" t="str">
            <v xml:space="preserve">    G3LTORO1</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row>
        <row r="64">
          <cell r="A64" t="str">
            <v xml:space="preserve">    G3PIMEN1</v>
          </cell>
          <cell r="B64">
            <v>0</v>
          </cell>
          <cell r="C64">
            <v>0</v>
          </cell>
          <cell r="D64">
            <v>0</v>
          </cell>
          <cell r="E64">
            <v>0</v>
          </cell>
          <cell r="F64">
            <v>0.72</v>
          </cell>
          <cell r="G64">
            <v>0</v>
          </cell>
          <cell r="H64">
            <v>0</v>
          </cell>
          <cell r="I64">
            <v>0</v>
          </cell>
          <cell r="J64">
            <v>0</v>
          </cell>
          <cell r="K64">
            <v>0</v>
          </cell>
          <cell r="L64">
            <v>0</v>
          </cell>
          <cell r="M64">
            <v>0</v>
          </cell>
          <cell r="N64">
            <v>0</v>
          </cell>
          <cell r="O64">
            <v>0</v>
          </cell>
          <cell r="P64">
            <v>0</v>
          </cell>
          <cell r="Q64">
            <v>0</v>
          </cell>
          <cell r="R64">
            <v>0</v>
          </cell>
          <cell r="S64">
            <v>0</v>
          </cell>
          <cell r="T64">
            <v>0.72</v>
          </cell>
          <cell r="U64">
            <v>0</v>
          </cell>
          <cell r="V64">
            <v>0</v>
          </cell>
          <cell r="W64">
            <v>0</v>
          </cell>
          <cell r="X64">
            <v>0</v>
          </cell>
          <cell r="Y64">
            <v>0.72</v>
          </cell>
        </row>
        <row r="65">
          <cell r="A65" t="str">
            <v xml:space="preserve">    G3LTORO2</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row>
        <row r="66">
          <cell r="A66" t="str">
            <v xml:space="preserve">    G3BERSAL</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row>
        <row r="67">
          <cell r="A67" t="str">
            <v xml:space="preserve">    G3JIMENO</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row>
        <row r="68">
          <cell r="A68" t="str">
            <v xml:space="preserve">     G3LVEGA</v>
          </cell>
          <cell r="B68">
            <v>2.21</v>
          </cell>
          <cell r="C68">
            <v>2.21</v>
          </cell>
          <cell r="D68">
            <v>2.76</v>
          </cell>
          <cell r="E68">
            <v>2.21</v>
          </cell>
          <cell r="F68">
            <v>2.21</v>
          </cell>
          <cell r="G68">
            <v>2.21</v>
          </cell>
          <cell r="H68">
            <v>0</v>
          </cell>
          <cell r="I68">
            <v>0</v>
          </cell>
          <cell r="J68">
            <v>0</v>
          </cell>
          <cell r="K68">
            <v>0</v>
          </cell>
          <cell r="L68">
            <v>0</v>
          </cell>
          <cell r="M68">
            <v>0</v>
          </cell>
          <cell r="N68">
            <v>0</v>
          </cell>
          <cell r="O68">
            <v>0.55000000000000004</v>
          </cell>
          <cell r="P68">
            <v>1.1000000000000001</v>
          </cell>
          <cell r="Q68">
            <v>2.21</v>
          </cell>
          <cell r="R68">
            <v>2.21</v>
          </cell>
          <cell r="S68">
            <v>2.21</v>
          </cell>
          <cell r="T68">
            <v>1.1000000000000001</v>
          </cell>
          <cell r="U68">
            <v>2.21</v>
          </cell>
          <cell r="V68">
            <v>2.21</v>
          </cell>
          <cell r="W68">
            <v>2.21</v>
          </cell>
          <cell r="X68">
            <v>2.21</v>
          </cell>
          <cell r="Y68">
            <v>2.21</v>
          </cell>
        </row>
        <row r="69">
          <cell r="A69" t="str">
            <v xml:space="preserve">    G3SABANE</v>
          </cell>
          <cell r="B69">
            <v>0.14000000000000001</v>
          </cell>
          <cell r="C69">
            <v>0.14000000000000001</v>
          </cell>
          <cell r="D69">
            <v>0.14000000000000001</v>
          </cell>
          <cell r="E69">
            <v>0.14000000000000001</v>
          </cell>
          <cell r="F69">
            <v>0.14000000000000001</v>
          </cell>
          <cell r="G69">
            <v>0.2</v>
          </cell>
          <cell r="H69">
            <v>0.2</v>
          </cell>
          <cell r="I69">
            <v>0.2</v>
          </cell>
          <cell r="J69">
            <v>0.14000000000000001</v>
          </cell>
          <cell r="K69">
            <v>0.14000000000000001</v>
          </cell>
          <cell r="L69">
            <v>0.14000000000000001</v>
          </cell>
          <cell r="M69">
            <v>0.14000000000000001</v>
          </cell>
          <cell r="N69">
            <v>0.14000000000000001</v>
          </cell>
          <cell r="O69">
            <v>0.14000000000000001</v>
          </cell>
          <cell r="P69">
            <v>0.14000000000000001</v>
          </cell>
          <cell r="Q69">
            <v>0.14000000000000001</v>
          </cell>
          <cell r="R69">
            <v>0.14000000000000001</v>
          </cell>
          <cell r="S69">
            <v>0.14000000000000001</v>
          </cell>
          <cell r="T69">
            <v>0.14000000000000001</v>
          </cell>
          <cell r="U69">
            <v>0.14000000000000001</v>
          </cell>
          <cell r="V69">
            <v>0.14000000000000001</v>
          </cell>
          <cell r="W69">
            <v>0.14000000000000001</v>
          </cell>
          <cell r="X69">
            <v>0.14000000000000001</v>
          </cell>
          <cell r="Y69">
            <v>0.14000000000000001</v>
          </cell>
        </row>
        <row r="70">
          <cell r="A70" t="str">
            <v xml:space="preserve">    G3PALAMA</v>
          </cell>
          <cell r="B70">
            <v>1.85</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0.93</v>
          </cell>
          <cell r="X70">
            <v>1.24</v>
          </cell>
          <cell r="Y70">
            <v>0</v>
          </cell>
        </row>
        <row r="71">
          <cell r="A71" t="str">
            <v xml:space="preserve">     G3SESTE</v>
          </cell>
          <cell r="B71">
            <v>2</v>
          </cell>
          <cell r="C71">
            <v>2</v>
          </cell>
          <cell r="D71">
            <v>2</v>
          </cell>
          <cell r="E71">
            <v>2</v>
          </cell>
          <cell r="F71">
            <v>2</v>
          </cell>
          <cell r="G71">
            <v>2</v>
          </cell>
          <cell r="H71">
            <v>1.5</v>
          </cell>
          <cell r="I71">
            <v>1.5</v>
          </cell>
          <cell r="J71">
            <v>0</v>
          </cell>
          <cell r="K71">
            <v>0</v>
          </cell>
          <cell r="L71">
            <v>0</v>
          </cell>
          <cell r="M71">
            <v>1.5</v>
          </cell>
          <cell r="N71">
            <v>0</v>
          </cell>
          <cell r="O71">
            <v>0</v>
          </cell>
          <cell r="P71">
            <v>2</v>
          </cell>
          <cell r="Q71">
            <v>2</v>
          </cell>
          <cell r="R71">
            <v>2</v>
          </cell>
          <cell r="S71">
            <v>2</v>
          </cell>
          <cell r="T71">
            <v>2</v>
          </cell>
          <cell r="U71">
            <v>2</v>
          </cell>
          <cell r="V71">
            <v>2</v>
          </cell>
          <cell r="W71">
            <v>2</v>
          </cell>
          <cell r="X71">
            <v>2</v>
          </cell>
          <cell r="Y71">
            <v>2</v>
          </cell>
        </row>
        <row r="72">
          <cell r="A72" t="str">
            <v xml:space="preserve">      G3MRIO</v>
          </cell>
          <cell r="B72">
            <v>2.81</v>
          </cell>
          <cell r="C72">
            <v>2.11</v>
          </cell>
          <cell r="D72">
            <v>1.64</v>
          </cell>
          <cell r="E72">
            <v>1.4</v>
          </cell>
          <cell r="F72">
            <v>0</v>
          </cell>
          <cell r="G72">
            <v>0</v>
          </cell>
          <cell r="H72">
            <v>0</v>
          </cell>
          <cell r="I72">
            <v>0</v>
          </cell>
          <cell r="J72">
            <v>0</v>
          </cell>
          <cell r="K72">
            <v>0</v>
          </cell>
          <cell r="L72">
            <v>0</v>
          </cell>
          <cell r="M72">
            <v>0</v>
          </cell>
          <cell r="N72">
            <v>0</v>
          </cell>
          <cell r="O72">
            <v>0</v>
          </cell>
          <cell r="P72">
            <v>0</v>
          </cell>
          <cell r="Q72">
            <v>1.4</v>
          </cell>
          <cell r="R72">
            <v>1.4</v>
          </cell>
          <cell r="S72">
            <v>1.4</v>
          </cell>
          <cell r="T72">
            <v>0</v>
          </cell>
          <cell r="U72">
            <v>2.57</v>
          </cell>
          <cell r="V72">
            <v>2.81</v>
          </cell>
          <cell r="W72">
            <v>2.81</v>
          </cell>
          <cell r="X72">
            <v>2.81</v>
          </cell>
          <cell r="Y72">
            <v>2.34</v>
          </cell>
        </row>
        <row r="75">
          <cell r="A75" t="str">
            <v>RESERVA DE RPF DE CADA CENTRAL</v>
          </cell>
        </row>
        <row r="76">
          <cell r="A76" t="str">
            <v>CENTRALES</v>
          </cell>
          <cell r="B76">
            <v>1</v>
          </cell>
          <cell r="C76">
            <v>2</v>
          </cell>
          <cell r="D76">
            <v>3</v>
          </cell>
          <cell r="E76">
            <v>4</v>
          </cell>
          <cell r="F76">
            <v>5</v>
          </cell>
          <cell r="G76">
            <v>6</v>
          </cell>
          <cell r="H76">
            <v>7</v>
          </cell>
          <cell r="I76">
            <v>8</v>
          </cell>
          <cell r="J76">
            <v>9</v>
          </cell>
          <cell r="K76">
            <v>10</v>
          </cell>
          <cell r="L76">
            <v>11</v>
          </cell>
          <cell r="M76">
            <v>12</v>
          </cell>
          <cell r="N76">
            <v>13</v>
          </cell>
          <cell r="O76">
            <v>14</v>
          </cell>
          <cell r="P76">
            <v>15</v>
          </cell>
          <cell r="Q76">
            <v>16</v>
          </cell>
          <cell r="R76">
            <v>17</v>
          </cell>
          <cell r="S76">
            <v>18</v>
          </cell>
          <cell r="T76">
            <v>19</v>
          </cell>
          <cell r="U76">
            <v>20</v>
          </cell>
          <cell r="V76">
            <v>21</v>
          </cell>
          <cell r="W76">
            <v>22</v>
          </cell>
          <cell r="X76">
            <v>23</v>
          </cell>
          <cell r="Y76">
            <v>24</v>
          </cell>
        </row>
        <row r="77">
          <cell r="A77" t="str">
            <v xml:space="preserve">    G3TAVER1</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sheetData>
      <sheetData sheetId="56" refreshError="1"/>
      <sheetData sheetId="57">
        <row r="10">
          <cell r="A10" t="str">
            <v xml:space="preserve">    G3TAVER1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A11" t="str">
            <v xml:space="preserve">    G3TAVER2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G3JIGUE1</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G3JIGUE2</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G3AGUAC1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G3AGUAC2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G3CES2FO</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G3CES1FO</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G3SFELIP</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G3CES3FO</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G3CEPP2</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row>
        <row r="21">
          <cell r="A21" t="str">
            <v xml:space="preserve">    G3PIMEN1</v>
          </cell>
          <cell r="B21">
            <v>0</v>
          </cell>
          <cell r="C21">
            <v>0</v>
          </cell>
          <cell r="D21">
            <v>0</v>
          </cell>
          <cell r="E21">
            <v>0</v>
          </cell>
          <cell r="F21">
            <v>4.5</v>
          </cell>
          <cell r="G21">
            <v>0</v>
          </cell>
          <cell r="H21">
            <v>0</v>
          </cell>
          <cell r="I21">
            <v>0</v>
          </cell>
          <cell r="J21">
            <v>0</v>
          </cell>
          <cell r="K21">
            <v>0</v>
          </cell>
          <cell r="L21">
            <v>0</v>
          </cell>
          <cell r="M21">
            <v>0</v>
          </cell>
          <cell r="N21">
            <v>0</v>
          </cell>
          <cell r="O21">
            <v>0</v>
          </cell>
          <cell r="P21">
            <v>0</v>
          </cell>
          <cell r="Q21">
            <v>0</v>
          </cell>
          <cell r="R21">
            <v>0</v>
          </cell>
          <cell r="S21">
            <v>0</v>
          </cell>
          <cell r="T21">
            <v>4.5</v>
          </cell>
          <cell r="U21">
            <v>0</v>
          </cell>
          <cell r="V21">
            <v>0</v>
          </cell>
          <cell r="W21">
            <v>0</v>
          </cell>
          <cell r="X21">
            <v>0</v>
          </cell>
          <cell r="Y21">
            <v>4.5</v>
          </cell>
        </row>
        <row r="22">
          <cell r="A22" t="str">
            <v xml:space="preserve">    G3PIMEN2</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23">
          <cell r="A23" t="str">
            <v xml:space="preserve">    G3Q1SPFO</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G3QUI1FO</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row>
        <row r="25">
          <cell r="A25" t="str">
            <v xml:space="preserve">    G3PALAMA</v>
          </cell>
          <cell r="B25">
            <v>3.6</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3</v>
          </cell>
          <cell r="X25">
            <v>2.4</v>
          </cell>
          <cell r="Y25">
            <v>0</v>
          </cell>
        </row>
        <row r="26">
          <cell r="A26" t="str">
            <v xml:space="preserve">    G3PIMEN3</v>
          </cell>
          <cell r="B26">
            <v>12.69</v>
          </cell>
          <cell r="C26">
            <v>12.69</v>
          </cell>
          <cell r="D26">
            <v>12.69</v>
          </cell>
          <cell r="E26">
            <v>12.69</v>
          </cell>
          <cell r="F26">
            <v>0</v>
          </cell>
          <cell r="G26">
            <v>0</v>
          </cell>
          <cell r="H26">
            <v>0</v>
          </cell>
          <cell r="I26">
            <v>0</v>
          </cell>
          <cell r="J26">
            <v>0</v>
          </cell>
          <cell r="K26">
            <v>0</v>
          </cell>
          <cell r="L26">
            <v>0</v>
          </cell>
          <cell r="M26">
            <v>0</v>
          </cell>
          <cell r="N26">
            <v>0</v>
          </cell>
          <cell r="O26">
            <v>0</v>
          </cell>
          <cell r="P26">
            <v>0</v>
          </cell>
          <cell r="Q26">
            <v>0</v>
          </cell>
          <cell r="R26">
            <v>12.69</v>
          </cell>
          <cell r="S26">
            <v>12.69</v>
          </cell>
          <cell r="T26">
            <v>0</v>
          </cell>
          <cell r="U26">
            <v>12.69</v>
          </cell>
          <cell r="V26">
            <v>12.69</v>
          </cell>
          <cell r="W26">
            <v>12.69</v>
          </cell>
          <cell r="X26">
            <v>12.69</v>
          </cell>
          <cell r="Y26">
            <v>12.69</v>
          </cell>
        </row>
        <row r="27">
          <cell r="A27" t="str">
            <v xml:space="preserve">    G3LOPPFO</v>
          </cell>
          <cell r="B27">
            <v>8.2200000000000006</v>
          </cell>
          <cell r="C27">
            <v>8.2200000000000006</v>
          </cell>
          <cell r="D27">
            <v>6.52</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8.2200000000000006</v>
          </cell>
          <cell r="W27">
            <v>8.2200000000000006</v>
          </cell>
          <cell r="X27">
            <v>8.2200000000000006</v>
          </cell>
          <cell r="Y27">
            <v>0</v>
          </cell>
        </row>
        <row r="28">
          <cell r="A28" t="str">
            <v xml:space="preserve">      G3MRIO</v>
          </cell>
          <cell r="B28">
            <v>4.3</v>
          </cell>
          <cell r="C28">
            <v>4.3</v>
          </cell>
          <cell r="D28">
            <v>2.8</v>
          </cell>
          <cell r="E28">
            <v>2.4</v>
          </cell>
          <cell r="F28">
            <v>0</v>
          </cell>
          <cell r="G28">
            <v>0</v>
          </cell>
          <cell r="H28">
            <v>0</v>
          </cell>
          <cell r="I28">
            <v>0</v>
          </cell>
          <cell r="J28">
            <v>0</v>
          </cell>
          <cell r="K28">
            <v>0</v>
          </cell>
          <cell r="L28">
            <v>0</v>
          </cell>
          <cell r="M28">
            <v>0</v>
          </cell>
          <cell r="N28">
            <v>0</v>
          </cell>
          <cell r="O28">
            <v>0</v>
          </cell>
          <cell r="P28">
            <v>0</v>
          </cell>
          <cell r="Q28">
            <v>2.4</v>
          </cell>
          <cell r="R28">
            <v>2.4</v>
          </cell>
          <cell r="S28">
            <v>2.4</v>
          </cell>
          <cell r="T28">
            <v>0</v>
          </cell>
          <cell r="U28">
            <v>4.3</v>
          </cell>
          <cell r="V28">
            <v>4.3</v>
          </cell>
          <cell r="W28">
            <v>4.3</v>
          </cell>
          <cell r="X28">
            <v>4.3</v>
          </cell>
          <cell r="Y28">
            <v>4.3</v>
          </cell>
        </row>
        <row r="29">
          <cell r="A29" t="str">
            <v xml:space="preserve">     G3LVEGA</v>
          </cell>
          <cell r="B29">
            <v>2.4</v>
          </cell>
          <cell r="C29">
            <v>2.4</v>
          </cell>
          <cell r="D29">
            <v>3</v>
          </cell>
          <cell r="E29">
            <v>1.8</v>
          </cell>
          <cell r="F29">
            <v>2.4</v>
          </cell>
          <cell r="G29">
            <v>2.4</v>
          </cell>
          <cell r="H29">
            <v>0</v>
          </cell>
          <cell r="I29">
            <v>0</v>
          </cell>
          <cell r="J29">
            <v>0</v>
          </cell>
          <cell r="K29">
            <v>0</v>
          </cell>
          <cell r="L29">
            <v>0</v>
          </cell>
          <cell r="M29">
            <v>0</v>
          </cell>
          <cell r="N29">
            <v>0</v>
          </cell>
          <cell r="O29">
            <v>0.6</v>
          </cell>
          <cell r="P29">
            <v>1.2</v>
          </cell>
          <cell r="Q29">
            <v>1.8</v>
          </cell>
          <cell r="R29">
            <v>1.2</v>
          </cell>
          <cell r="S29">
            <v>1.2</v>
          </cell>
          <cell r="T29">
            <v>1.2</v>
          </cell>
          <cell r="U29">
            <v>2.4</v>
          </cell>
          <cell r="V29">
            <v>2.4</v>
          </cell>
          <cell r="W29">
            <v>2.4</v>
          </cell>
          <cell r="X29">
            <v>2.4</v>
          </cell>
          <cell r="Y29">
            <v>2.4</v>
          </cell>
        </row>
        <row r="30">
          <cell r="A30" t="str">
            <v xml:space="preserve">     G3SESTE</v>
          </cell>
          <cell r="B30">
            <v>4</v>
          </cell>
          <cell r="C30">
            <v>4</v>
          </cell>
          <cell r="D30">
            <v>4</v>
          </cell>
          <cell r="E30">
            <v>4</v>
          </cell>
          <cell r="F30">
            <v>4</v>
          </cell>
          <cell r="G30">
            <v>4</v>
          </cell>
          <cell r="H30">
            <v>3</v>
          </cell>
          <cell r="I30">
            <v>3</v>
          </cell>
          <cell r="J30">
            <v>0</v>
          </cell>
          <cell r="K30">
            <v>0</v>
          </cell>
          <cell r="L30">
            <v>0</v>
          </cell>
          <cell r="M30">
            <v>3</v>
          </cell>
          <cell r="N30">
            <v>0</v>
          </cell>
          <cell r="O30">
            <v>0</v>
          </cell>
          <cell r="P30">
            <v>4</v>
          </cell>
          <cell r="Q30">
            <v>4</v>
          </cell>
          <cell r="R30">
            <v>4</v>
          </cell>
          <cell r="S30">
            <v>4</v>
          </cell>
          <cell r="T30">
            <v>4</v>
          </cell>
          <cell r="U30">
            <v>4</v>
          </cell>
          <cell r="V30">
            <v>4</v>
          </cell>
          <cell r="W30">
            <v>4</v>
          </cell>
          <cell r="X30">
            <v>4</v>
          </cell>
          <cell r="Y30">
            <v>4</v>
          </cell>
        </row>
        <row r="31">
          <cell r="A31" t="str">
            <v xml:space="preserve">    G3EM2SGN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row>
        <row r="32">
          <cell r="A32" t="str">
            <v xml:space="preserve">    G3EM2SFO</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G3EM2CGN</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G3EM2CFO</v>
          </cell>
          <cell r="B34">
            <v>5.12</v>
          </cell>
          <cell r="C34">
            <v>5.12</v>
          </cell>
          <cell r="D34">
            <v>5.12</v>
          </cell>
          <cell r="E34">
            <v>5.12</v>
          </cell>
          <cell r="F34">
            <v>5.12</v>
          </cell>
          <cell r="G34">
            <v>5.12</v>
          </cell>
          <cell r="H34">
            <v>5.12</v>
          </cell>
          <cell r="I34">
            <v>5.12</v>
          </cell>
          <cell r="J34">
            <v>0</v>
          </cell>
          <cell r="K34">
            <v>0</v>
          </cell>
          <cell r="L34">
            <v>0</v>
          </cell>
          <cell r="M34">
            <v>0</v>
          </cell>
          <cell r="N34">
            <v>2.56</v>
          </cell>
          <cell r="O34">
            <v>5.12</v>
          </cell>
          <cell r="P34">
            <v>5.12</v>
          </cell>
          <cell r="Q34">
            <v>5.12</v>
          </cell>
          <cell r="R34">
            <v>5.12</v>
          </cell>
          <cell r="S34">
            <v>5.12</v>
          </cell>
          <cell r="T34">
            <v>5.12</v>
          </cell>
          <cell r="U34">
            <v>5.12</v>
          </cell>
          <cell r="V34">
            <v>5.12</v>
          </cell>
          <cell r="W34">
            <v>5.12</v>
          </cell>
          <cell r="X34">
            <v>5.12</v>
          </cell>
          <cell r="Y34">
            <v>5.12</v>
          </cell>
        </row>
        <row r="35">
          <cell r="A35" t="str">
            <v xml:space="preserve">    G3QUI2FO</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G3LOPPGN</v>
          </cell>
          <cell r="B36">
            <v>4.07</v>
          </cell>
          <cell r="C36">
            <v>4.07</v>
          </cell>
          <cell r="D36">
            <v>4.07</v>
          </cell>
          <cell r="E36">
            <v>4.07</v>
          </cell>
          <cell r="F36">
            <v>4.07</v>
          </cell>
          <cell r="G36">
            <v>4.07</v>
          </cell>
          <cell r="H36">
            <v>4.07</v>
          </cell>
          <cell r="I36">
            <v>4.07</v>
          </cell>
          <cell r="J36">
            <v>4.8899999999999997</v>
          </cell>
          <cell r="K36">
            <v>0</v>
          </cell>
          <cell r="L36">
            <v>0</v>
          </cell>
          <cell r="M36">
            <v>4.07</v>
          </cell>
          <cell r="N36">
            <v>5.15</v>
          </cell>
          <cell r="O36">
            <v>4.07</v>
          </cell>
          <cell r="P36">
            <v>4.07</v>
          </cell>
          <cell r="Q36">
            <v>4.07</v>
          </cell>
          <cell r="R36">
            <v>4.07</v>
          </cell>
          <cell r="S36">
            <v>4.07</v>
          </cell>
          <cell r="T36">
            <v>4.07</v>
          </cell>
          <cell r="U36">
            <v>4.07</v>
          </cell>
          <cell r="V36">
            <v>4.07</v>
          </cell>
          <cell r="W36">
            <v>4.07</v>
          </cell>
          <cell r="X36">
            <v>4.07</v>
          </cell>
          <cell r="Y36">
            <v>4.07</v>
          </cell>
        </row>
        <row r="37">
          <cell r="A37" t="str">
            <v xml:space="preserve">    G3CES1GN</v>
          </cell>
          <cell r="B37">
            <v>7.4</v>
          </cell>
          <cell r="C37">
            <v>7.4</v>
          </cell>
          <cell r="D37">
            <v>7.4</v>
          </cell>
          <cell r="E37">
            <v>7.4</v>
          </cell>
          <cell r="F37">
            <v>7.4</v>
          </cell>
          <cell r="G37">
            <v>7.4</v>
          </cell>
          <cell r="H37">
            <v>7.4</v>
          </cell>
          <cell r="I37">
            <v>7.4</v>
          </cell>
          <cell r="J37">
            <v>7.4</v>
          </cell>
          <cell r="K37">
            <v>7.4</v>
          </cell>
          <cell r="L37">
            <v>7.4</v>
          </cell>
          <cell r="M37">
            <v>7.4</v>
          </cell>
          <cell r="N37">
            <v>7.4</v>
          </cell>
          <cell r="O37">
            <v>7.4</v>
          </cell>
          <cell r="P37">
            <v>7.4</v>
          </cell>
          <cell r="Q37">
            <v>7.4</v>
          </cell>
          <cell r="R37">
            <v>7.4</v>
          </cell>
          <cell r="S37">
            <v>7.4</v>
          </cell>
          <cell r="T37">
            <v>7.4</v>
          </cell>
          <cell r="U37">
            <v>7.4</v>
          </cell>
          <cell r="V37">
            <v>7.4</v>
          </cell>
          <cell r="W37">
            <v>7.4</v>
          </cell>
          <cell r="X37">
            <v>7.4</v>
          </cell>
          <cell r="Y37">
            <v>7.4</v>
          </cell>
        </row>
        <row r="38">
          <cell r="A38" t="str">
            <v xml:space="preserve">    G3CES3GN</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G3CES2GN</v>
          </cell>
          <cell r="B39">
            <v>9</v>
          </cell>
          <cell r="C39">
            <v>9</v>
          </cell>
          <cell r="D39">
            <v>9</v>
          </cell>
          <cell r="E39">
            <v>9</v>
          </cell>
          <cell r="F39">
            <v>9</v>
          </cell>
          <cell r="G39">
            <v>9</v>
          </cell>
          <cell r="H39">
            <v>9</v>
          </cell>
          <cell r="I39">
            <v>9</v>
          </cell>
          <cell r="J39">
            <v>9</v>
          </cell>
          <cell r="K39">
            <v>9</v>
          </cell>
          <cell r="L39">
            <v>9</v>
          </cell>
          <cell r="M39">
            <v>9</v>
          </cell>
          <cell r="N39">
            <v>9</v>
          </cell>
          <cell r="O39">
            <v>9</v>
          </cell>
          <cell r="P39">
            <v>9</v>
          </cell>
          <cell r="Q39">
            <v>9</v>
          </cell>
          <cell r="R39">
            <v>9</v>
          </cell>
          <cell r="S39">
            <v>9</v>
          </cell>
          <cell r="T39">
            <v>9</v>
          </cell>
          <cell r="U39">
            <v>9</v>
          </cell>
          <cell r="V39">
            <v>9</v>
          </cell>
          <cell r="W39">
            <v>9</v>
          </cell>
          <cell r="X39">
            <v>9</v>
          </cell>
          <cell r="Y39">
            <v>9</v>
          </cell>
        </row>
        <row r="40">
          <cell r="A40" t="str">
            <v xml:space="preserve">    G3LMINA5</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row>
        <row r="41">
          <cell r="A41" t="str">
            <v xml:space="preserve">    G3QUI2GN</v>
          </cell>
          <cell r="B41">
            <v>20.69</v>
          </cell>
          <cell r="C41">
            <v>21.51</v>
          </cell>
          <cell r="D41">
            <v>22.16</v>
          </cell>
          <cell r="E41">
            <v>24</v>
          </cell>
          <cell r="F41">
            <v>24</v>
          </cell>
          <cell r="G41">
            <v>24</v>
          </cell>
          <cell r="H41">
            <v>24</v>
          </cell>
          <cell r="I41">
            <v>24</v>
          </cell>
          <cell r="J41">
            <v>24</v>
          </cell>
          <cell r="K41">
            <v>24</v>
          </cell>
          <cell r="L41">
            <v>24</v>
          </cell>
          <cell r="M41">
            <v>24</v>
          </cell>
          <cell r="N41">
            <v>24</v>
          </cell>
          <cell r="O41">
            <v>24</v>
          </cell>
          <cell r="P41">
            <v>24</v>
          </cell>
          <cell r="Q41">
            <v>24</v>
          </cell>
          <cell r="R41">
            <v>24</v>
          </cell>
          <cell r="S41">
            <v>24</v>
          </cell>
          <cell r="T41">
            <v>24</v>
          </cell>
          <cell r="U41">
            <v>24</v>
          </cell>
          <cell r="V41">
            <v>24</v>
          </cell>
          <cell r="W41">
            <v>24</v>
          </cell>
          <cell r="X41">
            <v>24</v>
          </cell>
          <cell r="Y41">
            <v>24</v>
          </cell>
        </row>
        <row r="42">
          <cell r="A42" t="str">
            <v xml:space="preserve">    G3LMINA6</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G3Q1SPGN</v>
          </cell>
          <cell r="B43">
            <v>0</v>
          </cell>
          <cell r="C43">
            <v>0</v>
          </cell>
          <cell r="D43">
            <v>0</v>
          </cell>
          <cell r="E43">
            <v>4.54</v>
          </cell>
          <cell r="F43">
            <v>8</v>
          </cell>
          <cell r="G43">
            <v>8</v>
          </cell>
          <cell r="H43">
            <v>8</v>
          </cell>
          <cell r="I43">
            <v>8</v>
          </cell>
          <cell r="J43">
            <v>8</v>
          </cell>
          <cell r="K43">
            <v>8</v>
          </cell>
          <cell r="L43">
            <v>8</v>
          </cell>
          <cell r="M43">
            <v>8</v>
          </cell>
          <cell r="N43">
            <v>8</v>
          </cell>
          <cell r="O43">
            <v>8</v>
          </cell>
          <cell r="P43">
            <v>8</v>
          </cell>
          <cell r="Q43">
            <v>8</v>
          </cell>
          <cell r="R43">
            <v>8</v>
          </cell>
          <cell r="S43">
            <v>8</v>
          </cell>
          <cell r="T43">
            <v>8</v>
          </cell>
          <cell r="U43">
            <v>8</v>
          </cell>
          <cell r="V43">
            <v>4.6100000000000003</v>
          </cell>
          <cell r="W43">
            <v>1.97</v>
          </cell>
          <cell r="X43">
            <v>1.51</v>
          </cell>
          <cell r="Y43">
            <v>5.95</v>
          </cell>
        </row>
        <row r="44">
          <cell r="A44" t="str">
            <v xml:space="preserve">    G3QUI1GN</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5">
          <cell r="A45" t="str">
            <v xml:space="preserve">    G3AANDRE</v>
          </cell>
          <cell r="B45">
            <v>0</v>
          </cell>
          <cell r="C45">
            <v>0</v>
          </cell>
          <cell r="D45">
            <v>0</v>
          </cell>
          <cell r="E45">
            <v>0</v>
          </cell>
          <cell r="F45">
            <v>5.56</v>
          </cell>
          <cell r="G45">
            <v>9.23</v>
          </cell>
          <cell r="H45">
            <v>12.54</v>
          </cell>
          <cell r="I45">
            <v>11.74</v>
          </cell>
          <cell r="J45">
            <v>21.95</v>
          </cell>
          <cell r="K45">
            <v>28.43</v>
          </cell>
          <cell r="L45">
            <v>29.03</v>
          </cell>
          <cell r="M45">
            <v>22.4</v>
          </cell>
          <cell r="N45">
            <v>20.89</v>
          </cell>
          <cell r="O45">
            <v>19.690000000000001</v>
          </cell>
          <cell r="P45">
            <v>16.12</v>
          </cell>
          <cell r="Q45">
            <v>13.96</v>
          </cell>
          <cell r="R45">
            <v>1.62</v>
          </cell>
          <cell r="S45">
            <v>0.47</v>
          </cell>
          <cell r="T45">
            <v>12.37</v>
          </cell>
          <cell r="U45">
            <v>3.45</v>
          </cell>
          <cell r="V45">
            <v>0</v>
          </cell>
          <cell r="W45">
            <v>0</v>
          </cell>
          <cell r="X45">
            <v>0</v>
          </cell>
          <cell r="Y45">
            <v>0</v>
          </cell>
        </row>
        <row r="47">
          <cell r="A47" t="str">
            <v xml:space="preserve">TOT        </v>
          </cell>
          <cell r="B47">
            <v>1</v>
          </cell>
          <cell r="C47">
            <v>2</v>
          </cell>
          <cell r="D47">
            <v>3</v>
          </cell>
          <cell r="E47">
            <v>4</v>
          </cell>
          <cell r="F47">
            <v>5</v>
          </cell>
          <cell r="G47">
            <v>6</v>
          </cell>
          <cell r="H47">
            <v>7</v>
          </cell>
          <cell r="I47">
            <v>8</v>
          </cell>
          <cell r="J47">
            <v>9</v>
          </cell>
          <cell r="K47">
            <v>10</v>
          </cell>
          <cell r="L47">
            <v>11</v>
          </cell>
          <cell r="M47">
            <v>12</v>
          </cell>
          <cell r="N47">
            <v>13</v>
          </cell>
          <cell r="O47">
            <v>14</v>
          </cell>
          <cell r="P47">
            <v>15</v>
          </cell>
          <cell r="Q47">
            <v>16</v>
          </cell>
          <cell r="R47">
            <v>17</v>
          </cell>
          <cell r="S47">
            <v>18</v>
          </cell>
          <cell r="T47">
            <v>19</v>
          </cell>
          <cell r="U47">
            <v>20</v>
          </cell>
          <cell r="V47">
            <v>21</v>
          </cell>
          <cell r="W47">
            <v>22</v>
          </cell>
          <cell r="X47">
            <v>23</v>
          </cell>
          <cell r="Y47">
            <v>24</v>
          </cell>
        </row>
        <row r="48">
          <cell r="A48" t="str">
            <v xml:space="preserve">MRSF       </v>
          </cell>
          <cell r="B48">
            <v>81.48</v>
          </cell>
          <cell r="C48">
            <v>78.7</v>
          </cell>
          <cell r="D48">
            <v>76.760000000000005</v>
          </cell>
          <cell r="E48">
            <v>75.02</v>
          </cell>
          <cell r="F48">
            <v>74.05</v>
          </cell>
          <cell r="G48">
            <v>73.22</v>
          </cell>
          <cell r="H48">
            <v>73.13</v>
          </cell>
          <cell r="I48">
            <v>72.33</v>
          </cell>
          <cell r="J48">
            <v>75.239999999999995</v>
          </cell>
          <cell r="K48">
            <v>76.83</v>
          </cell>
          <cell r="L48">
            <v>77.430000000000007</v>
          </cell>
          <cell r="M48">
            <v>77.86</v>
          </cell>
          <cell r="N48">
            <v>77</v>
          </cell>
          <cell r="O48">
            <v>77.87</v>
          </cell>
          <cell r="P48">
            <v>78.91</v>
          </cell>
          <cell r="Q48">
            <v>79.75</v>
          </cell>
          <cell r="R48">
            <v>79.489999999999995</v>
          </cell>
          <cell r="S48">
            <v>78.349999999999994</v>
          </cell>
          <cell r="T48">
            <v>79.66</v>
          </cell>
          <cell r="U48">
            <v>84.43</v>
          </cell>
          <cell r="V48">
            <v>85.81</v>
          </cell>
          <cell r="W48">
            <v>86.17</v>
          </cell>
          <cell r="X48">
            <v>85.1</v>
          </cell>
          <cell r="Y48">
            <v>83.43</v>
          </cell>
        </row>
        <row r="49">
          <cell r="A49" t="str">
            <v xml:space="preserve">%MRSF      </v>
          </cell>
          <cell r="B49">
            <v>0.03</v>
          </cell>
          <cell r="C49">
            <v>0.03</v>
          </cell>
          <cell r="D49">
            <v>0.03</v>
          </cell>
          <cell r="E49">
            <v>0.03</v>
          </cell>
          <cell r="F49">
            <v>0.03</v>
          </cell>
          <cell r="G49">
            <v>0.03</v>
          </cell>
          <cell r="H49">
            <v>0.03</v>
          </cell>
          <cell r="I49">
            <v>0.03</v>
          </cell>
          <cell r="J49">
            <v>0.03</v>
          </cell>
          <cell r="K49">
            <v>0.03</v>
          </cell>
          <cell r="L49">
            <v>0.03</v>
          </cell>
          <cell r="M49">
            <v>0.03</v>
          </cell>
          <cell r="N49">
            <v>0.03</v>
          </cell>
          <cell r="O49">
            <v>0.03</v>
          </cell>
          <cell r="P49">
            <v>0.03</v>
          </cell>
          <cell r="Q49">
            <v>0.03</v>
          </cell>
          <cell r="R49">
            <v>0.03</v>
          </cell>
          <cell r="S49">
            <v>0.03</v>
          </cell>
          <cell r="T49">
            <v>0.03</v>
          </cell>
          <cell r="U49">
            <v>0.03</v>
          </cell>
          <cell r="V49">
            <v>0.03</v>
          </cell>
          <cell r="W49">
            <v>0.03</v>
          </cell>
          <cell r="X49">
            <v>0.03</v>
          </cell>
          <cell r="Y49">
            <v>0.03</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5">
          <cell r="A5" t="str">
            <v xml:space="preserve">    G3AANDRE</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row>
        <row r="6">
          <cell r="A6" t="str">
            <v xml:space="preserve">    G3SLORE1</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row>
        <row r="7">
          <cell r="A7" t="str">
            <v xml:space="preserve">    G3LMINA6</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row>
        <row r="8">
          <cell r="A8" t="str">
            <v xml:space="preserve">    G3LMINA5</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row>
        <row r="9">
          <cell r="A9" t="str">
            <v xml:space="preserve">    G3BCARBO</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row>
        <row r="10">
          <cell r="A10" t="str">
            <v xml:space="preserve">    G3ITABO2</v>
          </cell>
          <cell r="B10">
            <v>0</v>
          </cell>
          <cell r="C10">
            <v>0</v>
          </cell>
          <cell r="D10">
            <v>0</v>
          </cell>
          <cell r="E10">
            <v>0</v>
          </cell>
          <cell r="F10">
            <v>0</v>
          </cell>
          <cell r="G10">
            <v>0</v>
          </cell>
          <cell r="H10">
            <v>0</v>
          </cell>
          <cell r="I10">
            <v>0</v>
          </cell>
          <cell r="J10">
            <v>0</v>
          </cell>
          <cell r="K10">
            <v>16.66</v>
          </cell>
          <cell r="L10">
            <v>20</v>
          </cell>
          <cell r="M10">
            <v>3.91</v>
          </cell>
          <cell r="N10">
            <v>7.29</v>
          </cell>
          <cell r="O10">
            <v>0</v>
          </cell>
          <cell r="P10">
            <v>0</v>
          </cell>
          <cell r="Q10">
            <v>0</v>
          </cell>
          <cell r="R10">
            <v>0</v>
          </cell>
          <cell r="S10">
            <v>0</v>
          </cell>
          <cell r="T10">
            <v>0</v>
          </cell>
          <cell r="U10">
            <v>0</v>
          </cell>
          <cell r="V10">
            <v>0</v>
          </cell>
          <cell r="W10">
            <v>0</v>
          </cell>
          <cell r="X10">
            <v>0</v>
          </cell>
          <cell r="Y10">
            <v>0</v>
          </cell>
        </row>
        <row r="11">
          <cell r="A11" t="str">
            <v xml:space="preserve">    G3ITABO1</v>
          </cell>
          <cell r="B11">
            <v>0</v>
          </cell>
          <cell r="C11">
            <v>0</v>
          </cell>
          <cell r="D11">
            <v>0</v>
          </cell>
          <cell r="E11">
            <v>0</v>
          </cell>
          <cell r="F11">
            <v>0</v>
          </cell>
          <cell r="G11">
            <v>0</v>
          </cell>
          <cell r="H11">
            <v>0</v>
          </cell>
          <cell r="I11">
            <v>0</v>
          </cell>
          <cell r="J11">
            <v>0</v>
          </cell>
          <cell r="K11">
            <v>0</v>
          </cell>
          <cell r="L11">
            <v>14.26</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G3SESTE</v>
          </cell>
          <cell r="B12">
            <v>0</v>
          </cell>
          <cell r="C12">
            <v>0</v>
          </cell>
          <cell r="D12">
            <v>0</v>
          </cell>
          <cell r="E12">
            <v>0</v>
          </cell>
          <cell r="F12">
            <v>0</v>
          </cell>
          <cell r="G12">
            <v>0</v>
          </cell>
          <cell r="H12">
            <v>7.6</v>
          </cell>
          <cell r="I12">
            <v>22.73</v>
          </cell>
          <cell r="J12">
            <v>0</v>
          </cell>
          <cell r="K12">
            <v>0</v>
          </cell>
          <cell r="L12">
            <v>0</v>
          </cell>
          <cell r="M12">
            <v>22.99</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G3PIMEN3</v>
          </cell>
          <cell r="B13">
            <v>0</v>
          </cell>
          <cell r="C13">
            <v>5.65</v>
          </cell>
          <cell r="D13">
            <v>5.65</v>
          </cell>
          <cell r="E13">
            <v>5.65</v>
          </cell>
          <cell r="F13">
            <v>0</v>
          </cell>
          <cell r="G13">
            <v>0</v>
          </cell>
          <cell r="H13">
            <v>0</v>
          </cell>
          <cell r="I13">
            <v>0</v>
          </cell>
          <cell r="J13">
            <v>0</v>
          </cell>
          <cell r="K13">
            <v>0</v>
          </cell>
          <cell r="L13">
            <v>0</v>
          </cell>
          <cell r="M13">
            <v>0</v>
          </cell>
          <cell r="N13">
            <v>0</v>
          </cell>
          <cell r="O13">
            <v>0</v>
          </cell>
          <cell r="P13">
            <v>0</v>
          </cell>
          <cell r="Q13">
            <v>0</v>
          </cell>
          <cell r="R13">
            <v>5.65</v>
          </cell>
          <cell r="S13">
            <v>5.65</v>
          </cell>
          <cell r="T13">
            <v>0</v>
          </cell>
          <cell r="U13">
            <v>2.06</v>
          </cell>
          <cell r="V13">
            <v>0</v>
          </cell>
          <cell r="W13">
            <v>1.25</v>
          </cell>
          <cell r="X13">
            <v>0</v>
          </cell>
          <cell r="Y13">
            <v>2.84</v>
          </cell>
        </row>
        <row r="14">
          <cell r="A14" t="str">
            <v xml:space="preserve">     G3CEPP2</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G3EM2CGN</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row>
        <row r="16">
          <cell r="A16" t="str">
            <v xml:space="preserve">    G3EM2SGN</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row>
        <row r="17">
          <cell r="A17" t="str">
            <v xml:space="preserve">    G3EM2CFO</v>
          </cell>
          <cell r="B17">
            <v>0</v>
          </cell>
          <cell r="C17">
            <v>0</v>
          </cell>
          <cell r="D17">
            <v>0</v>
          </cell>
          <cell r="E17">
            <v>0</v>
          </cell>
          <cell r="F17">
            <v>0</v>
          </cell>
          <cell r="G17">
            <v>0</v>
          </cell>
          <cell r="H17">
            <v>0</v>
          </cell>
          <cell r="I17">
            <v>0</v>
          </cell>
          <cell r="J17">
            <v>0</v>
          </cell>
          <cell r="K17">
            <v>0</v>
          </cell>
          <cell r="L17">
            <v>0</v>
          </cell>
          <cell r="M17">
            <v>0</v>
          </cell>
          <cell r="N17">
            <v>45.8</v>
          </cell>
          <cell r="O17">
            <v>0</v>
          </cell>
          <cell r="P17">
            <v>0</v>
          </cell>
          <cell r="Q17">
            <v>0</v>
          </cell>
          <cell r="R17">
            <v>0</v>
          </cell>
          <cell r="S17">
            <v>0</v>
          </cell>
          <cell r="T17">
            <v>0</v>
          </cell>
          <cell r="U17">
            <v>0</v>
          </cell>
          <cell r="V17">
            <v>0</v>
          </cell>
          <cell r="W17">
            <v>0</v>
          </cell>
          <cell r="X17">
            <v>0</v>
          </cell>
          <cell r="Y17">
            <v>0</v>
          </cell>
        </row>
        <row r="18">
          <cell r="A18" t="str">
            <v xml:space="preserve">    G3EM2SFO</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G3PIMEN2</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G3PIMEN1</v>
          </cell>
          <cell r="B20">
            <v>0</v>
          </cell>
          <cell r="C20">
            <v>0</v>
          </cell>
          <cell r="D20">
            <v>0</v>
          </cell>
          <cell r="E20">
            <v>0</v>
          </cell>
          <cell r="F20">
            <v>13.06</v>
          </cell>
          <cell r="G20">
            <v>0</v>
          </cell>
          <cell r="H20">
            <v>0</v>
          </cell>
          <cell r="I20">
            <v>0</v>
          </cell>
          <cell r="J20">
            <v>0</v>
          </cell>
          <cell r="K20">
            <v>0</v>
          </cell>
          <cell r="L20">
            <v>0</v>
          </cell>
          <cell r="M20">
            <v>0</v>
          </cell>
          <cell r="N20">
            <v>0</v>
          </cell>
          <cell r="O20">
            <v>0</v>
          </cell>
          <cell r="P20">
            <v>0</v>
          </cell>
          <cell r="Q20">
            <v>0</v>
          </cell>
          <cell r="R20">
            <v>0</v>
          </cell>
          <cell r="S20">
            <v>0</v>
          </cell>
          <cell r="T20">
            <v>13.06</v>
          </cell>
          <cell r="U20">
            <v>0</v>
          </cell>
          <cell r="V20">
            <v>0</v>
          </cell>
          <cell r="W20">
            <v>0</v>
          </cell>
          <cell r="X20">
            <v>0</v>
          </cell>
          <cell r="Y20">
            <v>13.06</v>
          </cell>
        </row>
        <row r="21">
          <cell r="A21" t="str">
            <v xml:space="preserve">    G3METALD</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A22" t="str">
            <v xml:space="preserve">      G3MRIO</v>
          </cell>
          <cell r="B22">
            <v>0</v>
          </cell>
          <cell r="C22">
            <v>12.71</v>
          </cell>
          <cell r="D22">
            <v>0.72</v>
          </cell>
          <cell r="E22">
            <v>1.99</v>
          </cell>
          <cell r="F22">
            <v>0</v>
          </cell>
          <cell r="G22">
            <v>0</v>
          </cell>
          <cell r="H22">
            <v>0</v>
          </cell>
          <cell r="I22">
            <v>0</v>
          </cell>
          <cell r="J22">
            <v>0</v>
          </cell>
          <cell r="K22">
            <v>0</v>
          </cell>
          <cell r="L22">
            <v>0</v>
          </cell>
          <cell r="M22">
            <v>0</v>
          </cell>
          <cell r="N22">
            <v>0</v>
          </cell>
          <cell r="O22">
            <v>0</v>
          </cell>
          <cell r="P22">
            <v>0</v>
          </cell>
          <cell r="Q22">
            <v>25.39</v>
          </cell>
          <cell r="R22">
            <v>25.39</v>
          </cell>
          <cell r="S22">
            <v>25.39</v>
          </cell>
          <cell r="T22">
            <v>0</v>
          </cell>
          <cell r="U22">
            <v>0</v>
          </cell>
          <cell r="V22">
            <v>0</v>
          </cell>
          <cell r="W22">
            <v>0</v>
          </cell>
          <cell r="X22">
            <v>0</v>
          </cell>
          <cell r="Y22">
            <v>0</v>
          </cell>
        </row>
        <row r="23">
          <cell r="A23" t="str">
            <v xml:space="preserve">     G3CEPP1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A24" t="str">
            <v xml:space="preserve">    G3PALAMA</v>
          </cell>
          <cell r="B24">
            <v>19.11</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66.95</v>
          </cell>
          <cell r="X24">
            <v>46.94</v>
          </cell>
          <cell r="Y24">
            <v>0</v>
          </cell>
        </row>
        <row r="25">
          <cell r="A25" t="str">
            <v xml:space="preserve">     G3LVEGA</v>
          </cell>
          <cell r="B25">
            <v>9.56</v>
          </cell>
          <cell r="C25">
            <v>7.96</v>
          </cell>
          <cell r="D25">
            <v>14.83</v>
          </cell>
          <cell r="E25">
            <v>46.01</v>
          </cell>
          <cell r="F25">
            <v>3.57</v>
          </cell>
          <cell r="G25">
            <v>9.0299999999999994</v>
          </cell>
          <cell r="H25">
            <v>0</v>
          </cell>
          <cell r="I25">
            <v>0</v>
          </cell>
          <cell r="J25">
            <v>0</v>
          </cell>
          <cell r="K25">
            <v>0</v>
          </cell>
          <cell r="L25">
            <v>0</v>
          </cell>
          <cell r="M25">
            <v>0</v>
          </cell>
          <cell r="N25">
            <v>0</v>
          </cell>
          <cell r="O25">
            <v>66.72</v>
          </cell>
          <cell r="P25">
            <v>59.39</v>
          </cell>
          <cell r="Q25">
            <v>41.82</v>
          </cell>
          <cell r="R25">
            <v>55.73</v>
          </cell>
          <cell r="S25">
            <v>55.08</v>
          </cell>
          <cell r="T25">
            <v>31.84</v>
          </cell>
          <cell r="U25">
            <v>18.96</v>
          </cell>
          <cell r="V25">
            <v>19.510000000000002</v>
          </cell>
          <cell r="W25">
            <v>20.49</v>
          </cell>
          <cell r="X25">
            <v>18.670000000000002</v>
          </cell>
          <cell r="Y25">
            <v>15.24</v>
          </cell>
        </row>
        <row r="26">
          <cell r="A26" t="str">
            <v xml:space="preserve">    G3CES1FO</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 xml:space="preserve">    G3CES2FO</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row>
        <row r="28">
          <cell r="A28" t="str">
            <v xml:space="preserve">    G3CES3FO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row>
        <row r="29">
          <cell r="A29" t="str">
            <v xml:space="preserve">    G3CES1GN</v>
          </cell>
          <cell r="B29">
            <v>0</v>
          </cell>
          <cell r="C29">
            <v>0</v>
          </cell>
          <cell r="D29">
            <v>0</v>
          </cell>
          <cell r="E29">
            <v>0</v>
          </cell>
          <cell r="F29">
            <v>0</v>
          </cell>
          <cell r="G29">
            <v>0</v>
          </cell>
          <cell r="H29">
            <v>0</v>
          </cell>
          <cell r="I29">
            <v>0</v>
          </cell>
          <cell r="J29">
            <v>2.21</v>
          </cell>
          <cell r="K29">
            <v>3.8</v>
          </cell>
          <cell r="L29">
            <v>3.8</v>
          </cell>
          <cell r="M29">
            <v>3.8</v>
          </cell>
          <cell r="N29">
            <v>3.8</v>
          </cell>
          <cell r="O29">
            <v>0</v>
          </cell>
          <cell r="P29">
            <v>0</v>
          </cell>
          <cell r="Q29">
            <v>0</v>
          </cell>
          <cell r="R29">
            <v>0</v>
          </cell>
          <cell r="S29">
            <v>0</v>
          </cell>
          <cell r="T29">
            <v>0</v>
          </cell>
          <cell r="U29">
            <v>0</v>
          </cell>
          <cell r="V29">
            <v>0</v>
          </cell>
          <cell r="W29">
            <v>0</v>
          </cell>
          <cell r="X29">
            <v>0</v>
          </cell>
          <cell r="Y29">
            <v>0</v>
          </cell>
        </row>
        <row r="30">
          <cell r="A30" t="str">
            <v xml:space="preserve">    G3CES2GN</v>
          </cell>
          <cell r="B30">
            <v>0</v>
          </cell>
          <cell r="C30">
            <v>0</v>
          </cell>
          <cell r="D30">
            <v>0</v>
          </cell>
          <cell r="E30">
            <v>0</v>
          </cell>
          <cell r="F30">
            <v>0</v>
          </cell>
          <cell r="G30">
            <v>0</v>
          </cell>
          <cell r="H30">
            <v>0</v>
          </cell>
          <cell r="I30">
            <v>0</v>
          </cell>
          <cell r="J30">
            <v>0</v>
          </cell>
          <cell r="K30">
            <v>0.6</v>
          </cell>
          <cell r="L30">
            <v>0.6</v>
          </cell>
          <cell r="M30">
            <v>0.6</v>
          </cell>
          <cell r="N30">
            <v>0.6</v>
          </cell>
          <cell r="O30">
            <v>0</v>
          </cell>
          <cell r="P30">
            <v>0</v>
          </cell>
          <cell r="Q30">
            <v>0</v>
          </cell>
          <cell r="R30">
            <v>0</v>
          </cell>
          <cell r="S30">
            <v>0</v>
          </cell>
          <cell r="T30">
            <v>0</v>
          </cell>
          <cell r="U30">
            <v>0</v>
          </cell>
          <cell r="V30">
            <v>0</v>
          </cell>
          <cell r="W30">
            <v>0</v>
          </cell>
          <cell r="X30">
            <v>0</v>
          </cell>
          <cell r="Y30">
            <v>0</v>
          </cell>
        </row>
        <row r="31">
          <cell r="A31" t="str">
            <v xml:space="preserve">    G3CES3GN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row>
        <row r="32">
          <cell r="A32" t="str">
            <v xml:space="preserve">    G3SFELIP</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G3SFCC</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G3SFV</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row>
        <row r="35">
          <cell r="A35" t="str">
            <v xml:space="preserve">    G3SPVAPO</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G3HTG</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7">
          <cell r="A37" t="str">
            <v xml:space="preserve">     G3IKM22</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row>
        <row r="38">
          <cell r="A38" t="str">
            <v xml:space="preserve">    G3LOPPFO</v>
          </cell>
          <cell r="B38">
            <v>0</v>
          </cell>
          <cell r="C38">
            <v>0</v>
          </cell>
          <cell r="D38">
            <v>5.55</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G3LOPPGN</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row>
        <row r="40">
          <cell r="A40" t="str">
            <v xml:space="preserve">    G3QUI1FO</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row>
        <row r="41">
          <cell r="A41" t="str">
            <v xml:space="preserve">    G3QUI1GN</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row>
        <row r="42">
          <cell r="A42" t="str">
            <v xml:space="preserve">    G3BERSAL</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G3PEMCP</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row>
        <row r="44">
          <cell r="A44" t="str">
            <v xml:space="preserve">     G3PEMCT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5">
          <cell r="A45" t="str">
            <v xml:space="preserve">    G3PALENQ</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9.91</v>
          </cell>
          <cell r="W45">
            <v>0</v>
          </cell>
          <cell r="X45">
            <v>0</v>
          </cell>
          <cell r="Y45">
            <v>0</v>
          </cell>
        </row>
        <row r="46">
          <cell r="A46" t="str">
            <v xml:space="preserve">    G3Q1SPFO</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A47" t="str">
            <v xml:space="preserve">    G3Q1SPGN</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 xml:space="preserve">    G3PCATA1</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row>
        <row r="49">
          <cell r="A49" t="str">
            <v xml:space="preserve">    G3PCATA2</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row>
        <row r="50">
          <cell r="A50" t="str">
            <v xml:space="preserve">    G3QUI2FO</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row>
        <row r="51">
          <cell r="A51" t="str">
            <v xml:space="preserve">    G3QUI2GN</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row>
        <row r="53">
          <cell r="A53" t="str">
            <v>RTERM TOTAL</v>
          </cell>
          <cell r="B53">
            <v>28.667000000000002</v>
          </cell>
          <cell r="C53">
            <v>26.32</v>
          </cell>
          <cell r="D53">
            <v>26.75</v>
          </cell>
          <cell r="E53">
            <v>53.655999999999999</v>
          </cell>
          <cell r="F53">
            <v>16.634</v>
          </cell>
          <cell r="G53">
            <v>9.0329999999999995</v>
          </cell>
          <cell r="H53">
            <v>7.5960000000000001</v>
          </cell>
          <cell r="I53">
            <v>22.727</v>
          </cell>
          <cell r="J53">
            <v>2.214</v>
          </cell>
          <cell r="K53">
            <v>21.061</v>
          </cell>
          <cell r="L53">
            <v>38.658000000000001</v>
          </cell>
          <cell r="M53">
            <v>31.303999999999998</v>
          </cell>
          <cell r="N53">
            <v>57.491</v>
          </cell>
          <cell r="O53">
            <v>66.716999999999999</v>
          </cell>
          <cell r="P53">
            <v>59.386000000000003</v>
          </cell>
          <cell r="Q53">
            <v>67.212000000000003</v>
          </cell>
          <cell r="R53">
            <v>86.775000000000006</v>
          </cell>
          <cell r="S53">
            <v>86.120999999999995</v>
          </cell>
          <cell r="T53">
            <v>44.896999999999998</v>
          </cell>
          <cell r="U53">
            <v>21.026</v>
          </cell>
          <cell r="V53">
            <v>29.428999999999998</v>
          </cell>
          <cell r="W53">
            <v>88.686000000000007</v>
          </cell>
          <cell r="X53">
            <v>65.61</v>
          </cell>
          <cell r="Y53">
            <v>31.146999999999998</v>
          </cell>
        </row>
      </sheetData>
      <sheetData sheetId="67">
        <row r="7">
          <cell r="A7" t="str">
            <v xml:space="preserve">CENTRALES  </v>
          </cell>
          <cell r="B7">
            <v>1</v>
          </cell>
          <cell r="C7">
            <v>2</v>
          </cell>
          <cell r="D7">
            <v>3</v>
          </cell>
          <cell r="E7">
            <v>4</v>
          </cell>
          <cell r="F7">
            <v>5</v>
          </cell>
          <cell r="G7">
            <v>6</v>
          </cell>
          <cell r="H7">
            <v>7</v>
          </cell>
          <cell r="I7">
            <v>8</v>
          </cell>
          <cell r="J7">
            <v>9</v>
          </cell>
          <cell r="K7">
            <v>10</v>
          </cell>
          <cell r="L7">
            <v>11</v>
          </cell>
          <cell r="M7">
            <v>12</v>
          </cell>
          <cell r="N7">
            <v>13</v>
          </cell>
          <cell r="O7">
            <v>14</v>
          </cell>
          <cell r="P7">
            <v>15</v>
          </cell>
          <cell r="Q7">
            <v>16</v>
          </cell>
          <cell r="R7">
            <v>17</v>
          </cell>
          <cell r="S7">
            <v>18</v>
          </cell>
          <cell r="T7">
            <v>19</v>
          </cell>
          <cell r="U7">
            <v>20</v>
          </cell>
          <cell r="V7">
            <v>21</v>
          </cell>
          <cell r="W7">
            <v>22</v>
          </cell>
          <cell r="X7">
            <v>23</v>
          </cell>
          <cell r="Y7">
            <v>24</v>
          </cell>
        </row>
        <row r="8">
          <cell r="A8" t="str">
            <v xml:space="preserve">    G3AANDRE</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row>
        <row r="9">
          <cell r="A9" t="str">
            <v xml:space="preserve">    G3SLORE1</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row>
        <row r="10">
          <cell r="A10" t="str">
            <v xml:space="preserve">    G3LMINA6</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A11" t="str">
            <v xml:space="preserve">    G3LMINA5</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12">
          <cell r="A12" t="str">
            <v xml:space="preserve">    G3BCARBO</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A13" t="str">
            <v xml:space="preserve">    G3ITABO2</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row>
        <row r="14">
          <cell r="A14" t="str">
            <v xml:space="preserve">    G3ITABO1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row>
        <row r="15">
          <cell r="A15" t="str">
            <v xml:space="preserve">     G3SESTE</v>
          </cell>
          <cell r="B15">
            <v>0</v>
          </cell>
          <cell r="C15">
            <v>0</v>
          </cell>
          <cell r="D15">
            <v>0</v>
          </cell>
          <cell r="E15">
            <v>0</v>
          </cell>
          <cell r="F15">
            <v>0</v>
          </cell>
          <cell r="G15">
            <v>0</v>
          </cell>
          <cell r="H15">
            <v>0</v>
          </cell>
          <cell r="I15">
            <v>0</v>
          </cell>
          <cell r="J15">
            <v>66</v>
          </cell>
          <cell r="K15">
            <v>66</v>
          </cell>
          <cell r="L15">
            <v>66</v>
          </cell>
          <cell r="M15">
            <v>0</v>
          </cell>
          <cell r="N15">
            <v>66</v>
          </cell>
          <cell r="O15">
            <v>66</v>
          </cell>
          <cell r="P15">
            <v>0</v>
          </cell>
          <cell r="Q15">
            <v>0</v>
          </cell>
          <cell r="R15">
            <v>0</v>
          </cell>
          <cell r="S15">
            <v>0</v>
          </cell>
          <cell r="T15">
            <v>0</v>
          </cell>
          <cell r="U15">
            <v>0</v>
          </cell>
          <cell r="V15">
            <v>0</v>
          </cell>
          <cell r="W15">
            <v>0</v>
          </cell>
          <cell r="X15">
            <v>0</v>
          </cell>
          <cell r="Y15">
            <v>0</v>
          </cell>
        </row>
        <row r="16">
          <cell r="A16" t="str">
            <v xml:space="preserve">    G3PIMEN3</v>
          </cell>
          <cell r="B16">
            <v>0</v>
          </cell>
          <cell r="C16">
            <v>0</v>
          </cell>
          <cell r="D16">
            <v>0</v>
          </cell>
          <cell r="E16">
            <v>0</v>
          </cell>
          <cell r="F16">
            <v>51.2</v>
          </cell>
          <cell r="G16">
            <v>51.2</v>
          </cell>
          <cell r="H16">
            <v>51.2</v>
          </cell>
          <cell r="I16">
            <v>51.2</v>
          </cell>
          <cell r="J16">
            <v>51.2</v>
          </cell>
          <cell r="K16">
            <v>51.2</v>
          </cell>
          <cell r="L16">
            <v>51.2</v>
          </cell>
          <cell r="M16">
            <v>51.2</v>
          </cell>
          <cell r="N16">
            <v>51.2</v>
          </cell>
          <cell r="O16">
            <v>51.2</v>
          </cell>
          <cell r="P16">
            <v>51.2</v>
          </cell>
          <cell r="Q16">
            <v>51.2</v>
          </cell>
          <cell r="R16">
            <v>0</v>
          </cell>
          <cell r="S16">
            <v>0</v>
          </cell>
          <cell r="T16">
            <v>51.2</v>
          </cell>
          <cell r="U16">
            <v>0</v>
          </cell>
          <cell r="V16">
            <v>0</v>
          </cell>
          <cell r="W16">
            <v>0</v>
          </cell>
          <cell r="X16">
            <v>0</v>
          </cell>
          <cell r="Y16">
            <v>0</v>
          </cell>
        </row>
        <row r="17">
          <cell r="A17" t="str">
            <v xml:space="preserve">     G3CEPP2</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row>
        <row r="18">
          <cell r="A18" t="str">
            <v xml:space="preserve">    G3EM2CGN</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row>
        <row r="19">
          <cell r="A19" t="str">
            <v xml:space="preserve">    G3EM2SGN</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t="str">
            <v xml:space="preserve">    G3EM2CFO</v>
          </cell>
          <cell r="B20">
            <v>0</v>
          </cell>
          <cell r="C20">
            <v>0</v>
          </cell>
          <cell r="D20">
            <v>0</v>
          </cell>
          <cell r="E20">
            <v>0</v>
          </cell>
          <cell r="F20">
            <v>0</v>
          </cell>
          <cell r="G20">
            <v>0</v>
          </cell>
          <cell r="H20">
            <v>0</v>
          </cell>
          <cell r="I20">
            <v>0</v>
          </cell>
          <cell r="J20">
            <v>103</v>
          </cell>
          <cell r="K20">
            <v>103</v>
          </cell>
          <cell r="L20">
            <v>103</v>
          </cell>
          <cell r="M20">
            <v>103</v>
          </cell>
          <cell r="N20">
            <v>0</v>
          </cell>
          <cell r="O20">
            <v>0</v>
          </cell>
          <cell r="P20">
            <v>0</v>
          </cell>
          <cell r="Q20">
            <v>0</v>
          </cell>
          <cell r="R20">
            <v>0</v>
          </cell>
          <cell r="S20">
            <v>0</v>
          </cell>
          <cell r="T20">
            <v>0</v>
          </cell>
          <cell r="U20">
            <v>0</v>
          </cell>
          <cell r="V20">
            <v>0</v>
          </cell>
          <cell r="W20">
            <v>0</v>
          </cell>
          <cell r="X20">
            <v>0</v>
          </cell>
          <cell r="Y20">
            <v>0</v>
          </cell>
        </row>
        <row r="21">
          <cell r="A21" t="str">
            <v xml:space="preserve">    G3EM2SFO</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A22" t="str">
            <v xml:space="preserve">    G3PIMEN2</v>
          </cell>
          <cell r="B22">
            <v>27.9</v>
          </cell>
          <cell r="C22">
            <v>27.9</v>
          </cell>
          <cell r="D22">
            <v>27.9</v>
          </cell>
          <cell r="E22">
            <v>27.9</v>
          </cell>
          <cell r="F22">
            <v>27.9</v>
          </cell>
          <cell r="G22">
            <v>27.9</v>
          </cell>
          <cell r="H22">
            <v>27.9</v>
          </cell>
          <cell r="I22">
            <v>27.9</v>
          </cell>
          <cell r="J22">
            <v>27.9</v>
          </cell>
          <cell r="K22">
            <v>27.9</v>
          </cell>
          <cell r="L22">
            <v>27.9</v>
          </cell>
          <cell r="M22">
            <v>27.9</v>
          </cell>
          <cell r="N22">
            <v>27.9</v>
          </cell>
          <cell r="O22">
            <v>27.9</v>
          </cell>
          <cell r="P22">
            <v>27.9</v>
          </cell>
          <cell r="Q22">
            <v>27.9</v>
          </cell>
          <cell r="R22">
            <v>27.9</v>
          </cell>
          <cell r="S22">
            <v>27.9</v>
          </cell>
          <cell r="T22">
            <v>27.9</v>
          </cell>
          <cell r="U22">
            <v>27.9</v>
          </cell>
          <cell r="V22">
            <v>27.9</v>
          </cell>
          <cell r="W22">
            <v>27.9</v>
          </cell>
          <cell r="X22">
            <v>27.9</v>
          </cell>
          <cell r="Y22">
            <v>27.9</v>
          </cell>
        </row>
        <row r="23">
          <cell r="A23" t="str">
            <v xml:space="preserve">    G3PIMEN1</v>
          </cell>
          <cell r="B23">
            <v>31.4</v>
          </cell>
          <cell r="C23">
            <v>31.4</v>
          </cell>
          <cell r="D23">
            <v>31.4</v>
          </cell>
          <cell r="E23">
            <v>31.4</v>
          </cell>
          <cell r="F23">
            <v>0</v>
          </cell>
          <cell r="G23">
            <v>31.4</v>
          </cell>
          <cell r="H23">
            <v>31.4</v>
          </cell>
          <cell r="I23">
            <v>31.4</v>
          </cell>
          <cell r="J23">
            <v>31.4</v>
          </cell>
          <cell r="K23">
            <v>31.4</v>
          </cell>
          <cell r="L23">
            <v>31.4</v>
          </cell>
          <cell r="M23">
            <v>31.4</v>
          </cell>
          <cell r="N23">
            <v>31.4</v>
          </cell>
          <cell r="O23">
            <v>31.4</v>
          </cell>
          <cell r="P23">
            <v>31.4</v>
          </cell>
          <cell r="Q23">
            <v>31.4</v>
          </cell>
          <cell r="R23">
            <v>31.4</v>
          </cell>
          <cell r="S23">
            <v>31.4</v>
          </cell>
          <cell r="T23">
            <v>0</v>
          </cell>
          <cell r="U23">
            <v>31.4</v>
          </cell>
          <cell r="V23">
            <v>31.4</v>
          </cell>
          <cell r="W23">
            <v>31.4</v>
          </cell>
          <cell r="X23">
            <v>31.4</v>
          </cell>
          <cell r="Y23">
            <v>0</v>
          </cell>
        </row>
        <row r="24">
          <cell r="A24" t="str">
            <v xml:space="preserve">    G3METALD</v>
          </cell>
          <cell r="B24">
            <v>40</v>
          </cell>
          <cell r="C24">
            <v>40</v>
          </cell>
          <cell r="D24">
            <v>40</v>
          </cell>
          <cell r="E24">
            <v>40</v>
          </cell>
          <cell r="F24">
            <v>40</v>
          </cell>
          <cell r="G24">
            <v>40</v>
          </cell>
          <cell r="H24">
            <v>40</v>
          </cell>
          <cell r="I24">
            <v>40</v>
          </cell>
          <cell r="J24">
            <v>40</v>
          </cell>
          <cell r="K24">
            <v>40</v>
          </cell>
          <cell r="L24">
            <v>40</v>
          </cell>
          <cell r="M24">
            <v>40</v>
          </cell>
          <cell r="N24">
            <v>40</v>
          </cell>
          <cell r="O24">
            <v>40</v>
          </cell>
          <cell r="P24">
            <v>40</v>
          </cell>
          <cell r="Q24">
            <v>40</v>
          </cell>
          <cell r="R24">
            <v>40</v>
          </cell>
          <cell r="S24">
            <v>40</v>
          </cell>
          <cell r="T24">
            <v>40</v>
          </cell>
          <cell r="U24">
            <v>40</v>
          </cell>
          <cell r="V24">
            <v>40</v>
          </cell>
          <cell r="W24">
            <v>40</v>
          </cell>
          <cell r="X24">
            <v>40</v>
          </cell>
          <cell r="Y24">
            <v>40</v>
          </cell>
        </row>
        <row r="25">
          <cell r="A25" t="str">
            <v xml:space="preserve">      G3MRIO</v>
          </cell>
          <cell r="B25">
            <v>0</v>
          </cell>
          <cell r="C25">
            <v>0</v>
          </cell>
          <cell r="D25">
            <v>0</v>
          </cell>
          <cell r="E25">
            <v>0</v>
          </cell>
          <cell r="F25">
            <v>54.6</v>
          </cell>
          <cell r="G25">
            <v>54.6</v>
          </cell>
          <cell r="H25">
            <v>54.6</v>
          </cell>
          <cell r="I25">
            <v>54.6</v>
          </cell>
          <cell r="J25">
            <v>54.6</v>
          </cell>
          <cell r="K25">
            <v>54.6</v>
          </cell>
          <cell r="L25">
            <v>54.6</v>
          </cell>
          <cell r="M25">
            <v>78</v>
          </cell>
          <cell r="N25">
            <v>78</v>
          </cell>
          <cell r="O25">
            <v>78</v>
          </cell>
          <cell r="P25">
            <v>78</v>
          </cell>
          <cell r="Q25">
            <v>0</v>
          </cell>
          <cell r="R25">
            <v>0</v>
          </cell>
          <cell r="S25">
            <v>0</v>
          </cell>
          <cell r="T25">
            <v>93.2</v>
          </cell>
          <cell r="U25">
            <v>0</v>
          </cell>
          <cell r="V25">
            <v>0</v>
          </cell>
          <cell r="W25">
            <v>0</v>
          </cell>
          <cell r="X25">
            <v>0</v>
          </cell>
          <cell r="Y25">
            <v>0</v>
          </cell>
        </row>
        <row r="26">
          <cell r="A26" t="str">
            <v xml:space="preserve">     G3CEPP1</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 xml:space="preserve">    G3PALAMA</v>
          </cell>
          <cell r="B27">
            <v>0</v>
          </cell>
          <cell r="C27">
            <v>96</v>
          </cell>
          <cell r="D27">
            <v>96</v>
          </cell>
          <cell r="E27">
            <v>96</v>
          </cell>
          <cell r="F27">
            <v>96</v>
          </cell>
          <cell r="G27">
            <v>96</v>
          </cell>
          <cell r="H27">
            <v>96</v>
          </cell>
          <cell r="I27">
            <v>96</v>
          </cell>
          <cell r="J27">
            <v>96</v>
          </cell>
          <cell r="K27">
            <v>96</v>
          </cell>
          <cell r="L27">
            <v>96</v>
          </cell>
          <cell r="M27">
            <v>96</v>
          </cell>
          <cell r="N27">
            <v>96</v>
          </cell>
          <cell r="O27">
            <v>96</v>
          </cell>
          <cell r="P27">
            <v>96</v>
          </cell>
          <cell r="Q27">
            <v>96</v>
          </cell>
          <cell r="R27">
            <v>96</v>
          </cell>
          <cell r="S27">
            <v>96</v>
          </cell>
          <cell r="T27">
            <v>96</v>
          </cell>
          <cell r="U27">
            <v>96</v>
          </cell>
          <cell r="V27">
            <v>96</v>
          </cell>
          <cell r="W27">
            <v>0</v>
          </cell>
          <cell r="X27">
            <v>0</v>
          </cell>
          <cell r="Y27">
            <v>96</v>
          </cell>
        </row>
        <row r="28">
          <cell r="A28" t="str">
            <v xml:space="preserve">     G3LVEGA</v>
          </cell>
          <cell r="B28">
            <v>0</v>
          </cell>
          <cell r="C28">
            <v>0</v>
          </cell>
          <cell r="D28">
            <v>0</v>
          </cell>
          <cell r="E28">
            <v>0</v>
          </cell>
          <cell r="F28">
            <v>0</v>
          </cell>
          <cell r="G28">
            <v>0</v>
          </cell>
          <cell r="H28">
            <v>84</v>
          </cell>
          <cell r="I28">
            <v>84</v>
          </cell>
          <cell r="J28">
            <v>84</v>
          </cell>
          <cell r="K28">
            <v>84</v>
          </cell>
          <cell r="L28">
            <v>84</v>
          </cell>
          <cell r="M28">
            <v>84</v>
          </cell>
          <cell r="N28">
            <v>84</v>
          </cell>
          <cell r="O28">
            <v>0</v>
          </cell>
          <cell r="P28">
            <v>0</v>
          </cell>
          <cell r="Q28">
            <v>0</v>
          </cell>
          <cell r="R28">
            <v>0</v>
          </cell>
          <cell r="S28">
            <v>0</v>
          </cell>
          <cell r="T28">
            <v>0</v>
          </cell>
          <cell r="U28">
            <v>0</v>
          </cell>
          <cell r="V28">
            <v>0</v>
          </cell>
          <cell r="W28">
            <v>0</v>
          </cell>
          <cell r="X28">
            <v>0</v>
          </cell>
          <cell r="Y28">
            <v>0</v>
          </cell>
        </row>
        <row r="29">
          <cell r="A29" t="str">
            <v xml:space="preserve">    G3CES1FO</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row>
        <row r="30">
          <cell r="A30" t="str">
            <v xml:space="preserve">    G3CES2FO</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row>
        <row r="31">
          <cell r="A31" t="str">
            <v xml:space="preserve">    G3CES3FO</v>
          </cell>
          <cell r="B31">
            <v>90</v>
          </cell>
          <cell r="C31">
            <v>90</v>
          </cell>
          <cell r="D31">
            <v>90</v>
          </cell>
          <cell r="E31">
            <v>90</v>
          </cell>
          <cell r="F31">
            <v>90</v>
          </cell>
          <cell r="G31">
            <v>90</v>
          </cell>
          <cell r="H31">
            <v>90</v>
          </cell>
          <cell r="I31">
            <v>90</v>
          </cell>
          <cell r="J31">
            <v>90</v>
          </cell>
          <cell r="K31">
            <v>90</v>
          </cell>
          <cell r="L31">
            <v>90</v>
          </cell>
          <cell r="M31">
            <v>90</v>
          </cell>
          <cell r="N31">
            <v>90</v>
          </cell>
          <cell r="O31">
            <v>90</v>
          </cell>
          <cell r="P31">
            <v>90</v>
          </cell>
          <cell r="Q31">
            <v>90</v>
          </cell>
          <cell r="R31">
            <v>90</v>
          </cell>
          <cell r="S31">
            <v>90</v>
          </cell>
          <cell r="T31">
            <v>90</v>
          </cell>
          <cell r="U31">
            <v>90</v>
          </cell>
          <cell r="V31">
            <v>90</v>
          </cell>
          <cell r="W31">
            <v>90</v>
          </cell>
          <cell r="X31">
            <v>90</v>
          </cell>
          <cell r="Y31">
            <v>90</v>
          </cell>
        </row>
        <row r="32">
          <cell r="A32" t="str">
            <v xml:space="preserve">    G3CES1GN</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row>
        <row r="33">
          <cell r="A33" t="str">
            <v xml:space="preserve">    G3CES2GN</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row r="34">
          <cell r="A34" t="str">
            <v xml:space="preserve">    G3CES3GN</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row>
        <row r="35">
          <cell r="A35" t="str">
            <v xml:space="preserve">    G3SFELIP</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row>
        <row r="36">
          <cell r="A36" t="str">
            <v xml:space="preserve">      G3SFCC</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7">
          <cell r="A37" t="str">
            <v xml:space="preserve">       G3SFV</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row>
        <row r="38">
          <cell r="A38" t="str">
            <v xml:space="preserve">    G3SPVAPO</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 xml:space="preserve">       G3HTG</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row>
        <row r="40">
          <cell r="A40" t="str">
            <v xml:space="preserve">     G3IKM22</v>
          </cell>
          <cell r="B40">
            <v>14.4</v>
          </cell>
          <cell r="C40">
            <v>14.4</v>
          </cell>
          <cell r="D40">
            <v>14.4</v>
          </cell>
          <cell r="E40">
            <v>14.4</v>
          </cell>
          <cell r="F40">
            <v>14.4</v>
          </cell>
          <cell r="G40">
            <v>14.4</v>
          </cell>
          <cell r="H40">
            <v>14.4</v>
          </cell>
          <cell r="I40">
            <v>14.4</v>
          </cell>
          <cell r="J40">
            <v>14.4</v>
          </cell>
          <cell r="K40">
            <v>14.4</v>
          </cell>
          <cell r="L40">
            <v>14.4</v>
          </cell>
          <cell r="M40">
            <v>14.4</v>
          </cell>
          <cell r="N40">
            <v>14.4</v>
          </cell>
          <cell r="O40">
            <v>14.4</v>
          </cell>
          <cell r="P40">
            <v>14.4</v>
          </cell>
          <cell r="Q40">
            <v>14.4</v>
          </cell>
          <cell r="R40">
            <v>14.4</v>
          </cell>
          <cell r="S40">
            <v>14.4</v>
          </cell>
          <cell r="T40">
            <v>14.4</v>
          </cell>
          <cell r="U40">
            <v>14.4</v>
          </cell>
          <cell r="V40">
            <v>14.4</v>
          </cell>
          <cell r="W40">
            <v>14.4</v>
          </cell>
          <cell r="X40">
            <v>14.4</v>
          </cell>
          <cell r="Y40">
            <v>14.4</v>
          </cell>
        </row>
        <row r="41">
          <cell r="A41" t="str">
            <v xml:space="preserve">    G3LOPPFO</v>
          </cell>
          <cell r="B41">
            <v>0</v>
          </cell>
          <cell r="C41">
            <v>0</v>
          </cell>
          <cell r="D41">
            <v>0</v>
          </cell>
          <cell r="E41">
            <v>33.6</v>
          </cell>
          <cell r="F41">
            <v>33.6</v>
          </cell>
          <cell r="G41">
            <v>33.6</v>
          </cell>
          <cell r="H41">
            <v>33.6</v>
          </cell>
          <cell r="I41">
            <v>33.6</v>
          </cell>
          <cell r="J41">
            <v>33.6</v>
          </cell>
          <cell r="K41">
            <v>33.6</v>
          </cell>
          <cell r="L41">
            <v>33.6</v>
          </cell>
          <cell r="M41">
            <v>33.6</v>
          </cell>
          <cell r="N41">
            <v>33.6</v>
          </cell>
          <cell r="O41">
            <v>33.6</v>
          </cell>
          <cell r="P41">
            <v>33.6</v>
          </cell>
          <cell r="Q41">
            <v>33.6</v>
          </cell>
          <cell r="R41">
            <v>33.6</v>
          </cell>
          <cell r="S41">
            <v>33.6</v>
          </cell>
          <cell r="T41">
            <v>33.6</v>
          </cell>
          <cell r="U41">
            <v>33.6</v>
          </cell>
          <cell r="V41">
            <v>0</v>
          </cell>
          <cell r="W41">
            <v>0</v>
          </cell>
          <cell r="X41">
            <v>0</v>
          </cell>
          <cell r="Y41">
            <v>33.6</v>
          </cell>
        </row>
        <row r="42">
          <cell r="A42" t="str">
            <v xml:space="preserve">    G3LOPPGN</v>
          </cell>
          <cell r="B42">
            <v>0</v>
          </cell>
          <cell r="C42">
            <v>0</v>
          </cell>
          <cell r="D42">
            <v>0</v>
          </cell>
          <cell r="E42">
            <v>0</v>
          </cell>
          <cell r="F42">
            <v>0</v>
          </cell>
          <cell r="G42">
            <v>0</v>
          </cell>
          <cell r="H42">
            <v>0</v>
          </cell>
          <cell r="I42">
            <v>0</v>
          </cell>
          <cell r="J42">
            <v>0</v>
          </cell>
          <cell r="K42">
            <v>25.3</v>
          </cell>
          <cell r="L42">
            <v>25.3</v>
          </cell>
          <cell r="M42">
            <v>0</v>
          </cell>
          <cell r="N42">
            <v>0</v>
          </cell>
          <cell r="O42">
            <v>0</v>
          </cell>
          <cell r="P42">
            <v>0</v>
          </cell>
          <cell r="Q42">
            <v>0</v>
          </cell>
          <cell r="R42">
            <v>0</v>
          </cell>
          <cell r="S42">
            <v>0</v>
          </cell>
          <cell r="T42">
            <v>0</v>
          </cell>
          <cell r="U42">
            <v>0</v>
          </cell>
          <cell r="V42">
            <v>0</v>
          </cell>
          <cell r="W42">
            <v>0</v>
          </cell>
          <cell r="X42">
            <v>0</v>
          </cell>
          <cell r="Y42">
            <v>0</v>
          </cell>
        </row>
        <row r="43">
          <cell r="A43" t="str">
            <v xml:space="preserve">    G3QUI1FO</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row>
        <row r="44">
          <cell r="A44" t="str">
            <v xml:space="preserve">    G3QUI1GN</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row>
        <row r="45">
          <cell r="A45" t="str">
            <v xml:space="preserve">    G3BERSAL</v>
          </cell>
          <cell r="B45">
            <v>15</v>
          </cell>
          <cell r="C45">
            <v>15</v>
          </cell>
          <cell r="D45">
            <v>15</v>
          </cell>
          <cell r="E45">
            <v>15</v>
          </cell>
          <cell r="F45">
            <v>15</v>
          </cell>
          <cell r="G45">
            <v>15</v>
          </cell>
          <cell r="H45">
            <v>15</v>
          </cell>
          <cell r="I45">
            <v>15</v>
          </cell>
          <cell r="J45">
            <v>15</v>
          </cell>
          <cell r="K45">
            <v>15</v>
          </cell>
          <cell r="L45">
            <v>15</v>
          </cell>
          <cell r="M45">
            <v>15</v>
          </cell>
          <cell r="N45">
            <v>15</v>
          </cell>
          <cell r="O45">
            <v>15</v>
          </cell>
          <cell r="P45">
            <v>15</v>
          </cell>
          <cell r="Q45">
            <v>15</v>
          </cell>
          <cell r="R45">
            <v>15</v>
          </cell>
          <cell r="S45">
            <v>15</v>
          </cell>
          <cell r="T45">
            <v>15</v>
          </cell>
          <cell r="U45">
            <v>15</v>
          </cell>
          <cell r="V45">
            <v>15</v>
          </cell>
          <cell r="W45">
            <v>15</v>
          </cell>
          <cell r="X45">
            <v>15</v>
          </cell>
          <cell r="Y45">
            <v>15</v>
          </cell>
        </row>
        <row r="46">
          <cell r="A46" t="str">
            <v xml:space="preserve">     G3PEMCP</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A47" t="str">
            <v xml:space="preserve">     G3PEMCT</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 xml:space="preserve">    G3PALENQ</v>
          </cell>
          <cell r="B48">
            <v>18</v>
          </cell>
          <cell r="C48">
            <v>18</v>
          </cell>
          <cell r="D48">
            <v>18</v>
          </cell>
          <cell r="E48">
            <v>18</v>
          </cell>
          <cell r="F48">
            <v>18</v>
          </cell>
          <cell r="G48">
            <v>18</v>
          </cell>
          <cell r="H48">
            <v>18</v>
          </cell>
          <cell r="I48">
            <v>18</v>
          </cell>
          <cell r="J48">
            <v>18</v>
          </cell>
          <cell r="K48">
            <v>18</v>
          </cell>
          <cell r="L48">
            <v>18</v>
          </cell>
          <cell r="M48">
            <v>18</v>
          </cell>
          <cell r="N48">
            <v>18</v>
          </cell>
          <cell r="O48">
            <v>18</v>
          </cell>
          <cell r="P48">
            <v>18</v>
          </cell>
          <cell r="Q48">
            <v>18</v>
          </cell>
          <cell r="R48">
            <v>18</v>
          </cell>
          <cell r="S48">
            <v>18</v>
          </cell>
          <cell r="T48">
            <v>18</v>
          </cell>
          <cell r="U48">
            <v>18</v>
          </cell>
          <cell r="V48">
            <v>0</v>
          </cell>
          <cell r="W48">
            <v>18</v>
          </cell>
          <cell r="X48">
            <v>18</v>
          </cell>
          <cell r="Y48">
            <v>18</v>
          </cell>
        </row>
        <row r="49">
          <cell r="A49" t="str">
            <v xml:space="preserve">    G3Q1SPFO</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row>
        <row r="50">
          <cell r="A50" t="str">
            <v xml:space="preserve">    G3Q1SPGN</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row>
        <row r="51">
          <cell r="A51" t="str">
            <v xml:space="preserve">    G3PCATA1</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row>
        <row r="52">
          <cell r="A52" t="str">
            <v xml:space="preserve">    G3PCATA2</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A53" t="str">
            <v xml:space="preserve">    G3QUI2FO</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4">
          <cell r="A54" t="str">
            <v xml:space="preserve">    G3QUI2GN</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row>
        <row r="55">
          <cell r="A55" t="str">
            <v>RFRIA TOTAL</v>
          </cell>
          <cell r="B55">
            <v>236.7</v>
          </cell>
          <cell r="C55">
            <v>332.7</v>
          </cell>
          <cell r="D55">
            <v>332.7</v>
          </cell>
          <cell r="E55">
            <v>366.3</v>
          </cell>
          <cell r="F55">
            <v>440.7</v>
          </cell>
          <cell r="G55">
            <v>472.1</v>
          </cell>
          <cell r="H55">
            <v>556.1</v>
          </cell>
          <cell r="I55">
            <v>556.1</v>
          </cell>
          <cell r="J55">
            <v>725.1</v>
          </cell>
          <cell r="K55">
            <v>750.4</v>
          </cell>
          <cell r="L55">
            <v>750.4</v>
          </cell>
          <cell r="M55">
            <v>682.5</v>
          </cell>
          <cell r="N55">
            <v>645.5</v>
          </cell>
          <cell r="O55">
            <v>561.5</v>
          </cell>
          <cell r="P55">
            <v>495.5</v>
          </cell>
          <cell r="Q55">
            <v>417.5</v>
          </cell>
          <cell r="R55">
            <v>366.3</v>
          </cell>
          <cell r="S55">
            <v>366.3</v>
          </cell>
          <cell r="T55">
            <v>479.3</v>
          </cell>
          <cell r="U55">
            <v>366.3</v>
          </cell>
          <cell r="V55">
            <v>314.7</v>
          </cell>
          <cell r="W55">
            <v>236.7</v>
          </cell>
          <cell r="X55">
            <v>236.7</v>
          </cell>
          <cell r="Y55">
            <v>334.9</v>
          </cell>
        </row>
        <row r="58">
          <cell r="A58" t="str">
            <v>RESERVA TOTAL SENI</v>
          </cell>
        </row>
        <row r="60">
          <cell r="A60" t="str">
            <v xml:space="preserve">PERIODOS   </v>
          </cell>
          <cell r="B60">
            <v>1</v>
          </cell>
          <cell r="C60">
            <v>2</v>
          </cell>
          <cell r="D60">
            <v>3</v>
          </cell>
          <cell r="E60">
            <v>4</v>
          </cell>
          <cell r="F60">
            <v>5</v>
          </cell>
          <cell r="G60">
            <v>6</v>
          </cell>
          <cell r="H60">
            <v>7</v>
          </cell>
          <cell r="I60">
            <v>8</v>
          </cell>
          <cell r="J60">
            <v>9</v>
          </cell>
          <cell r="K60">
            <v>10</v>
          </cell>
          <cell r="L60">
            <v>11</v>
          </cell>
          <cell r="M60">
            <v>12</v>
          </cell>
          <cell r="N60">
            <v>13</v>
          </cell>
          <cell r="O60">
            <v>14</v>
          </cell>
          <cell r="P60">
            <v>15</v>
          </cell>
          <cell r="Q60">
            <v>16</v>
          </cell>
          <cell r="R60">
            <v>17</v>
          </cell>
          <cell r="S60">
            <v>18</v>
          </cell>
          <cell r="T60">
            <v>19</v>
          </cell>
          <cell r="U60">
            <v>20</v>
          </cell>
          <cell r="V60">
            <v>21</v>
          </cell>
          <cell r="W60">
            <v>22</v>
          </cell>
          <cell r="X60">
            <v>23</v>
          </cell>
          <cell r="Y60">
            <v>24</v>
          </cell>
        </row>
        <row r="61">
          <cell r="A61" t="str">
            <v xml:space="preserve">TOTAL      </v>
          </cell>
          <cell r="B61">
            <v>265.37</v>
          </cell>
          <cell r="C61">
            <v>359.02</v>
          </cell>
          <cell r="D61">
            <v>359.45</v>
          </cell>
          <cell r="E61">
            <v>419.95</v>
          </cell>
          <cell r="F61">
            <v>457.33</v>
          </cell>
          <cell r="G61">
            <v>481.13</v>
          </cell>
          <cell r="H61">
            <v>563.70000000000005</v>
          </cell>
          <cell r="I61">
            <v>578.83000000000004</v>
          </cell>
          <cell r="J61">
            <v>727.31</v>
          </cell>
          <cell r="K61">
            <v>771.46</v>
          </cell>
          <cell r="L61">
            <v>789.06</v>
          </cell>
          <cell r="M61">
            <v>713.8</v>
          </cell>
          <cell r="N61">
            <v>702.99</v>
          </cell>
          <cell r="O61">
            <v>628.22</v>
          </cell>
          <cell r="P61">
            <v>554.89</v>
          </cell>
          <cell r="Q61">
            <v>484.71</v>
          </cell>
          <cell r="R61">
            <v>453.07</v>
          </cell>
          <cell r="S61">
            <v>452.42</v>
          </cell>
          <cell r="T61">
            <v>524.20000000000005</v>
          </cell>
          <cell r="U61">
            <v>387.32</v>
          </cell>
          <cell r="V61">
            <v>344.12</v>
          </cell>
          <cell r="W61">
            <v>325.39</v>
          </cell>
          <cell r="X61">
            <v>302.31</v>
          </cell>
          <cell r="Y61">
            <v>366.04</v>
          </cell>
        </row>
        <row r="64">
          <cell r="A64" t="str">
            <v>VECTOR RESERVA DEL SENI</v>
          </cell>
        </row>
        <row r="66">
          <cell r="A66" t="str">
            <v xml:space="preserve">PERIODOS   </v>
          </cell>
          <cell r="B66">
            <v>1</v>
          </cell>
          <cell r="C66">
            <v>2</v>
          </cell>
          <cell r="D66">
            <v>3</v>
          </cell>
          <cell r="E66">
            <v>4</v>
          </cell>
          <cell r="F66">
            <v>5</v>
          </cell>
          <cell r="G66">
            <v>6</v>
          </cell>
          <cell r="H66">
            <v>7</v>
          </cell>
          <cell r="I66">
            <v>8</v>
          </cell>
          <cell r="J66">
            <v>9</v>
          </cell>
          <cell r="K66">
            <v>10</v>
          </cell>
          <cell r="L66">
            <v>11</v>
          </cell>
          <cell r="M66">
            <v>12</v>
          </cell>
          <cell r="N66">
            <v>13</v>
          </cell>
          <cell r="O66">
            <v>14</v>
          </cell>
          <cell r="P66">
            <v>15</v>
          </cell>
          <cell r="Q66">
            <v>16</v>
          </cell>
          <cell r="R66">
            <v>17</v>
          </cell>
          <cell r="S66">
            <v>18</v>
          </cell>
          <cell r="T66">
            <v>19</v>
          </cell>
          <cell r="U66">
            <v>20</v>
          </cell>
          <cell r="V66">
            <v>21</v>
          </cell>
          <cell r="W66">
            <v>22</v>
          </cell>
          <cell r="X66">
            <v>23</v>
          </cell>
          <cell r="Y66">
            <v>24</v>
          </cell>
        </row>
        <row r="67">
          <cell r="A67" t="str">
            <v>VECTOR RESERVA</v>
          </cell>
          <cell r="B67">
            <v>9.56</v>
          </cell>
          <cell r="C67">
            <v>20.67</v>
          </cell>
          <cell r="D67">
            <v>21.1</v>
          </cell>
          <cell r="E67">
            <v>81.599999999999994</v>
          </cell>
          <cell r="F67">
            <v>284.87</v>
          </cell>
          <cell r="G67">
            <v>0</v>
          </cell>
          <cell r="H67">
            <v>0</v>
          </cell>
          <cell r="I67">
            <v>0</v>
          </cell>
          <cell r="J67">
            <v>2.21</v>
          </cell>
          <cell r="K67">
            <v>17.260000000000002</v>
          </cell>
          <cell r="L67">
            <v>34.86</v>
          </cell>
          <cell r="M67">
            <v>111.31</v>
          </cell>
          <cell r="N67">
            <v>11.69</v>
          </cell>
          <cell r="O67">
            <v>66</v>
          </cell>
          <cell r="P67">
            <v>0</v>
          </cell>
          <cell r="Q67">
            <v>41.82</v>
          </cell>
          <cell r="R67">
            <v>114.72</v>
          </cell>
          <cell r="S67">
            <v>114.07</v>
          </cell>
          <cell r="T67">
            <v>351.74</v>
          </cell>
          <cell r="U67">
            <v>52.56</v>
          </cell>
          <cell r="V67">
            <v>115.51</v>
          </cell>
          <cell r="W67">
            <v>21.74</v>
          </cell>
          <cell r="X67">
            <v>18.670000000000002</v>
          </cell>
          <cell r="Y67">
            <v>193.58</v>
          </cell>
        </row>
        <row r="70">
          <cell r="A70" t="str">
            <v>RESERVA ACUMULADA DEL SENI</v>
          </cell>
        </row>
        <row r="72">
          <cell r="A72" t="str">
            <v xml:space="preserve">PERIODOS   </v>
          </cell>
          <cell r="B72">
            <v>1</v>
          </cell>
          <cell r="C72">
            <v>2</v>
          </cell>
          <cell r="D72">
            <v>3</v>
          </cell>
          <cell r="E72">
            <v>4</v>
          </cell>
          <cell r="F72">
            <v>5</v>
          </cell>
          <cell r="G72">
            <v>6</v>
          </cell>
          <cell r="H72">
            <v>7</v>
          </cell>
          <cell r="I72">
            <v>8</v>
          </cell>
          <cell r="J72">
            <v>9</v>
          </cell>
          <cell r="K72">
            <v>10</v>
          </cell>
          <cell r="L72">
            <v>11</v>
          </cell>
          <cell r="M72">
            <v>12</v>
          </cell>
          <cell r="N72">
            <v>13</v>
          </cell>
          <cell r="O72">
            <v>14</v>
          </cell>
          <cell r="P72">
            <v>15</v>
          </cell>
          <cell r="Q72">
            <v>16</v>
          </cell>
          <cell r="R72">
            <v>17</v>
          </cell>
          <cell r="S72">
            <v>18</v>
          </cell>
          <cell r="T72">
            <v>19</v>
          </cell>
          <cell r="U72">
            <v>20</v>
          </cell>
          <cell r="V72">
            <v>21</v>
          </cell>
          <cell r="W72">
            <v>22</v>
          </cell>
          <cell r="X72">
            <v>23</v>
          </cell>
          <cell r="Y72">
            <v>24</v>
          </cell>
        </row>
        <row r="73">
          <cell r="A73" t="str">
            <v xml:space="preserve">    G3AANDRE</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row>
        <row r="74">
          <cell r="A74" t="str">
            <v xml:space="preserve">    G3SLORE1</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row>
        <row r="75">
          <cell r="A75" t="str">
            <v xml:space="preserve">    G3LMINA6</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IQUETA"/>
      <sheetName val="MENU PRINCIPAL"/>
      <sheetName val="Información Recibida"/>
      <sheetName val="CONSIDERACIONES PARA LA PSO"/>
      <sheetName val="DISPONIBILIDAD POR UNIDADES"/>
      <sheetName val="DISPONIBILIDAD"/>
      <sheetName val="INDISPONIBILIDAD"/>
      <sheetName val="EMBALSE"/>
      <sheetName val="Costos Variables de Producción"/>
      <sheetName val="Lista de Mérito"/>
      <sheetName val="Lista de Mérito RPF"/>
      <sheetName val="Demanda"/>
      <sheetName val="Factores de Nodo Generación"/>
      <sheetName val="Factores de Nodo (Inyección)"/>
      <sheetName val="Factores de Nodo (Retiro)"/>
      <sheetName val="Chart1"/>
      <sheetName val="SEGUIMIENTO CONSUMO COMBUSTIBLE"/>
    </sheetNames>
    <sheetDataSet>
      <sheetData sheetId="0"/>
      <sheetData sheetId="1">
        <row r="6">
          <cell r="H6">
            <v>42378</v>
          </cell>
        </row>
        <row r="9">
          <cell r="G9" t="str">
            <v>PSD_09-01_15-01-2016</v>
          </cell>
        </row>
      </sheetData>
      <sheetData sheetId="2"/>
      <sheetData sheetId="3"/>
      <sheetData sheetId="4"/>
      <sheetData sheetId="5">
        <row r="6">
          <cell r="C6">
            <v>1</v>
          </cell>
        </row>
      </sheetData>
      <sheetData sheetId="6"/>
      <sheetData sheetId="7"/>
      <sheetData sheetId="8">
        <row r="14">
          <cell r="B14" t="str">
            <v>G3HAINA1</v>
          </cell>
        </row>
      </sheetData>
      <sheetData sheetId="9"/>
      <sheetData sheetId="10"/>
      <sheetData sheetId="11">
        <row r="4">
          <cell r="B4" t="str">
            <v xml:space="preserve">Sábado </v>
          </cell>
        </row>
      </sheetData>
      <sheetData sheetId="12"/>
      <sheetData sheetId="13">
        <row r="7">
          <cell r="C7" t="str">
            <v>BARAHONA CARBÓN</v>
          </cell>
        </row>
      </sheetData>
      <sheetData sheetId="14">
        <row r="7">
          <cell r="C7" t="str">
            <v>Inapa</v>
          </cell>
        </row>
      </sheetData>
      <sheetData sheetId="15" refreshError="1"/>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2)"/>
      <sheetName val="MENU"/>
      <sheetName val="resumen_flujos"/>
      <sheetName val="Dist._Piloto"/>
      <sheetName val="Gen_Pot_Reactiva"/>
      <sheetName val="Variables_de_control"/>
      <sheetName val="Dem_Zona_de_Concepcion"/>
      <sheetName val="Limites de transf. ante (N-1)"/>
      <sheetName val="Deslastre_de_carga"/>
      <sheetName val="Param"/>
      <sheetName val="Gen_Eolica"/>
      <sheetName val="BARRAS"/>
      <sheetName val="Pdem"/>
      <sheetName val="Qdem"/>
      <sheetName val="Formulas_Generador"/>
      <sheetName val="Gen_Mot"/>
      <sheetName val="Variable_Semanal"/>
      <sheetName val="STATUS_EQUIPOS"/>
      <sheetName val="resultado_flujos"/>
      <sheetName val="STATUS_LINEAS"/>
      <sheetName val="TOPOLOGIA_INTERRUPTORES"/>
      <sheetName val="Gen_Pot_Activa"/>
      <sheetName val="Consignas_Nodos_Pilotos"/>
      <sheetName val="Gen_Consigna_Tension"/>
      <sheetName val="Variables_Control"/>
      <sheetName val="Resultados_GenBarra"/>
      <sheetName val="resultados_violaciones_cortes"/>
      <sheetName val="Cambios_Topologia"/>
      <sheetName val="Topologia_Cargada"/>
      <sheetName val="PDemanda"/>
      <sheetName val="QDemanda"/>
      <sheetName val="Demanda Zonal"/>
      <sheetName val="Despacho Potenc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C4" t="str">
            <v>G3AGUAC1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a Activa Declarada"/>
      <sheetName val="MENU PRINCIPAL"/>
      <sheetName val="Despacho Potencia"/>
      <sheetName val="S_RPF"/>
      <sheetName val="S_RSF"/>
      <sheetName val="RTERM"/>
      <sheetName val="RFRI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F656-8402-4620-B4C5-BC914E7C09B3}">
  <sheetPr codeName="Sheet1"/>
  <dimension ref="A1:U29"/>
  <sheetViews>
    <sheetView showGridLines="0" tabSelected="1" zoomScale="145" zoomScaleNormal="145" workbookViewId="0">
      <selection activeCell="L18" sqref="L18"/>
    </sheetView>
  </sheetViews>
  <sheetFormatPr defaultColWidth="0" defaultRowHeight="14.4" customHeight="1" zeroHeight="1" x14ac:dyDescent="0.3"/>
  <cols>
    <col min="1" max="1" width="5.88671875" customWidth="1"/>
    <col min="2" max="14" width="9.109375" customWidth="1"/>
    <col min="15" max="15" width="9.109375" style="103" customWidth="1"/>
    <col min="16" max="16" width="7.5546875" style="100" hidden="1" customWidth="1"/>
    <col min="17" max="17" width="13.109375" hidden="1" customWidth="1"/>
    <col min="18" max="19" width="21.109375" hidden="1" customWidth="1"/>
    <col min="20" max="20" width="15" style="128" hidden="1" customWidth="1"/>
    <col min="21" max="16384" width="9.109375" hidden="1"/>
  </cols>
  <sheetData>
    <row r="1" spans="2:21" x14ac:dyDescent="0.3">
      <c r="O1"/>
      <c r="P1" s="99" t="s">
        <v>200</v>
      </c>
      <c r="Q1" s="127" t="s">
        <v>201</v>
      </c>
      <c r="R1" s="127" t="s">
        <v>202</v>
      </c>
      <c r="S1" s="127" t="s">
        <v>203</v>
      </c>
      <c r="T1" s="128">
        <f>+EOMONTH($L$17,-1)+1</f>
        <v>46174</v>
      </c>
      <c r="U1">
        <f t="shared" ref="U1:U14" si="0">+IFERROR(WEEKDAY(T1),"")</f>
        <v>2</v>
      </c>
    </row>
    <row r="2" spans="2:21" x14ac:dyDescent="0.3">
      <c r="O2"/>
      <c r="P2" s="100" t="s">
        <v>204</v>
      </c>
      <c r="Q2" t="s">
        <v>204</v>
      </c>
      <c r="R2" t="s">
        <v>204</v>
      </c>
      <c r="T2" s="128">
        <f>IF($L$17&gt;$T1,T1+1,"")</f>
        <v>46175</v>
      </c>
      <c r="U2">
        <f t="shared" si="0"/>
        <v>3</v>
      </c>
    </row>
    <row r="3" spans="2:21" x14ac:dyDescent="0.3">
      <c r="O3"/>
      <c r="P3" s="100" t="s">
        <v>204</v>
      </c>
      <c r="Q3" t="s">
        <v>204</v>
      </c>
      <c r="R3" t="s">
        <v>204</v>
      </c>
      <c r="T3" s="128">
        <f t="shared" ref="T3:T14" si="1">IF($L$17&gt;$T2,T2+1,"")</f>
        <v>46176</v>
      </c>
      <c r="U3">
        <f t="shared" si="0"/>
        <v>4</v>
      </c>
    </row>
    <row r="4" spans="2:21" x14ac:dyDescent="0.3">
      <c r="O4"/>
      <c r="P4" s="100" t="s">
        <v>204</v>
      </c>
      <c r="Q4" t="s">
        <v>204</v>
      </c>
      <c r="R4" t="s">
        <v>204</v>
      </c>
      <c r="T4" s="128">
        <f t="shared" si="1"/>
        <v>46177</v>
      </c>
      <c r="U4">
        <f t="shared" si="0"/>
        <v>5</v>
      </c>
    </row>
    <row r="5" spans="2:21" x14ac:dyDescent="0.3">
      <c r="O5"/>
      <c r="P5" s="100" t="s">
        <v>204</v>
      </c>
      <c r="Q5" t="s">
        <v>204</v>
      </c>
      <c r="R5" t="s">
        <v>204</v>
      </c>
      <c r="T5" s="128">
        <f t="shared" si="1"/>
        <v>46178</v>
      </c>
      <c r="U5">
        <f t="shared" si="0"/>
        <v>6</v>
      </c>
    </row>
    <row r="6" spans="2:21" x14ac:dyDescent="0.3">
      <c r="O6"/>
      <c r="P6" s="100" t="s">
        <v>204</v>
      </c>
      <c r="Q6" t="s">
        <v>204</v>
      </c>
      <c r="R6" t="s">
        <v>204</v>
      </c>
      <c r="T6" s="128" t="str">
        <f t="shared" si="1"/>
        <v/>
      </c>
      <c r="U6" t="str">
        <f t="shared" si="0"/>
        <v/>
      </c>
    </row>
    <row r="7" spans="2:21" x14ac:dyDescent="0.3">
      <c r="O7"/>
      <c r="P7" s="100" t="s">
        <v>204</v>
      </c>
      <c r="Q7" t="s">
        <v>204</v>
      </c>
      <c r="R7" t="s">
        <v>204</v>
      </c>
      <c r="T7" s="128" t="str">
        <f t="shared" si="1"/>
        <v/>
      </c>
      <c r="U7" t="str">
        <f t="shared" si="0"/>
        <v/>
      </c>
    </row>
    <row r="8" spans="2:21" x14ac:dyDescent="0.3">
      <c r="O8"/>
      <c r="P8" s="100" t="s">
        <v>204</v>
      </c>
      <c r="Q8" t="s">
        <v>204</v>
      </c>
      <c r="R8" t="s">
        <v>204</v>
      </c>
      <c r="T8" s="128" t="str">
        <f t="shared" si="1"/>
        <v/>
      </c>
      <c r="U8" t="str">
        <f t="shared" si="0"/>
        <v/>
      </c>
    </row>
    <row r="9" spans="2:21" x14ac:dyDescent="0.3">
      <c r="O9"/>
      <c r="T9" s="128" t="str">
        <f t="shared" si="1"/>
        <v/>
      </c>
      <c r="U9" t="str">
        <f t="shared" si="0"/>
        <v/>
      </c>
    </row>
    <row r="10" spans="2:21" x14ac:dyDescent="0.3">
      <c r="O10"/>
      <c r="P10" s="100" t="s">
        <v>204</v>
      </c>
      <c r="Q10" t="s">
        <v>204</v>
      </c>
      <c r="R10" t="s">
        <v>204</v>
      </c>
      <c r="T10" s="128" t="str">
        <f t="shared" si="1"/>
        <v/>
      </c>
      <c r="U10">
        <v>4</v>
      </c>
    </row>
    <row r="11" spans="2:21" x14ac:dyDescent="0.3">
      <c r="O11"/>
      <c r="P11" s="100" t="s">
        <v>204</v>
      </c>
      <c r="Q11" t="s">
        <v>204</v>
      </c>
      <c r="R11" t="s">
        <v>204</v>
      </c>
      <c r="T11" s="128" t="str">
        <f t="shared" si="1"/>
        <v/>
      </c>
      <c r="U11" t="str">
        <f t="shared" si="0"/>
        <v/>
      </c>
    </row>
    <row r="12" spans="2:21" x14ac:dyDescent="0.3">
      <c r="O12"/>
      <c r="P12" s="100" t="s">
        <v>204</v>
      </c>
      <c r="R12" t="s">
        <v>204</v>
      </c>
      <c r="T12" s="128" t="str">
        <f t="shared" si="1"/>
        <v/>
      </c>
      <c r="U12" t="str">
        <f t="shared" ref="U12" si="2">+IFERROR(WEEKDAY(T12),"")</f>
        <v/>
      </c>
    </row>
    <row r="13" spans="2:21" ht="18" x14ac:dyDescent="0.3">
      <c r="B13" s="186"/>
      <c r="C13" s="186"/>
      <c r="D13" s="186"/>
      <c r="E13" s="186"/>
      <c r="F13" s="186"/>
      <c r="G13" s="186"/>
      <c r="H13" s="186"/>
      <c r="I13" s="186"/>
      <c r="J13" s="186"/>
      <c r="K13" s="186"/>
      <c r="L13" s="186"/>
      <c r="M13" s="186"/>
      <c r="N13" s="186"/>
      <c r="O13"/>
      <c r="P13" s="100" t="s">
        <v>204</v>
      </c>
      <c r="R13" t="s">
        <v>204</v>
      </c>
      <c r="T13" s="128" t="str">
        <f t="shared" si="1"/>
        <v/>
      </c>
      <c r="U13" t="str">
        <f t="shared" si="0"/>
        <v/>
      </c>
    </row>
    <row r="14" spans="2:21" ht="18" x14ac:dyDescent="0.3">
      <c r="B14" s="187"/>
      <c r="C14" s="187"/>
      <c r="D14" s="187"/>
      <c r="E14" s="187"/>
      <c r="F14" s="187"/>
      <c r="G14" s="187"/>
      <c r="H14" s="187"/>
      <c r="I14" s="187"/>
      <c r="J14" s="187"/>
      <c r="K14" s="187"/>
      <c r="L14" s="187"/>
      <c r="M14" s="187"/>
      <c r="N14" s="187"/>
      <c r="O14"/>
      <c r="T14" s="128" t="str">
        <f t="shared" si="1"/>
        <v/>
      </c>
      <c r="U14" t="str">
        <f t="shared" si="0"/>
        <v/>
      </c>
    </row>
    <row r="15" spans="2:21" ht="18" x14ac:dyDescent="0.3">
      <c r="B15" s="101"/>
      <c r="C15" s="102"/>
      <c r="D15" s="102"/>
      <c r="E15" s="102"/>
      <c r="F15" s="102"/>
      <c r="G15" s="102"/>
      <c r="H15" s="102"/>
      <c r="I15" s="102"/>
      <c r="J15" s="102"/>
      <c r="K15" s="102"/>
      <c r="L15" s="102"/>
      <c r="M15" s="102"/>
      <c r="N15" s="102"/>
      <c r="O15"/>
    </row>
    <row r="16" spans="2:21" ht="18" x14ac:dyDescent="0.3">
      <c r="C16" s="188" t="s">
        <v>127</v>
      </c>
      <c r="D16" s="188"/>
      <c r="E16" s="188"/>
      <c r="F16" s="188" t="s">
        <v>128</v>
      </c>
      <c r="G16" s="188"/>
      <c r="H16" s="188"/>
      <c r="I16" s="188" t="s">
        <v>129</v>
      </c>
      <c r="J16" s="188"/>
      <c r="K16" s="188"/>
      <c r="L16" s="188" t="s">
        <v>205</v>
      </c>
      <c r="M16" s="188"/>
      <c r="N16" s="188"/>
      <c r="O16"/>
    </row>
    <row r="17" spans="3:17" ht="18" x14ac:dyDescent="0.3">
      <c r="C17" s="184" t="s">
        <v>229</v>
      </c>
      <c r="D17" s="184"/>
      <c r="E17" s="184"/>
      <c r="F17" s="184" t="s">
        <v>131</v>
      </c>
      <c r="G17" s="184"/>
      <c r="H17" s="184"/>
      <c r="I17" s="184" t="s">
        <v>131</v>
      </c>
      <c r="J17" s="184"/>
      <c r="K17" s="184"/>
      <c r="L17" s="185">
        <v>46178</v>
      </c>
      <c r="M17" s="184"/>
      <c r="N17" s="184"/>
    </row>
    <row r="18" spans="3:17" x14ac:dyDescent="0.3"/>
    <row r="19" spans="3:17" hidden="1" x14ac:dyDescent="0.3">
      <c r="O19" s="103" t="str">
        <f ca="1">CELL("filename",K1)</f>
        <v>Y:\Gerencia Operaciones\3.PROGRAMACION\10.PROGRAMACION SEMANAL\2026\6.JUNIO\1. 06-06_12-06-2026\1.OC 70-2025\[VERIFICACION CVP_06-06_12-06-26.xlsx]ETIQUETA</v>
      </c>
    </row>
    <row r="20" spans="3:17" hidden="1" x14ac:dyDescent="0.3">
      <c r="O20" s="103" t="str">
        <f ca="1">RIGHT(O19,32)</f>
        <v>CVP_06-06_12-06-26.xlsx]ETIQUETA</v>
      </c>
    </row>
    <row r="21" spans="3:17" hidden="1" x14ac:dyDescent="0.3">
      <c r="O21" s="103" t="str">
        <f ca="1">LEFT(O20,18)</f>
        <v>CVP_06-06_12-06-26</v>
      </c>
    </row>
    <row r="22" spans="3:17" hidden="1" x14ac:dyDescent="0.3">
      <c r="O22" s="103" t="str">
        <f ca="1">CONCATENATE("SEMANA DEL "&amp;O21)</f>
        <v>SEMANA DEL CVP_06-06_12-06-26</v>
      </c>
    </row>
    <row r="23" spans="3:17" ht="14.4" hidden="1" customHeight="1" x14ac:dyDescent="0.3">
      <c r="O23" s="129">
        <f>IF(COUNTIF($U$1:$U$14,4)=2,MONTH(T1-1),MONTH(T1-2))</f>
        <v>5</v>
      </c>
    </row>
    <row r="24" spans="3:17" ht="14.4" customHeight="1" x14ac:dyDescent="0.3"/>
    <row r="25" spans="3:17" ht="14.4" customHeight="1" x14ac:dyDescent="0.3">
      <c r="Q25" s="128"/>
    </row>
    <row r="26" spans="3:17" ht="14.4" customHeight="1" x14ac:dyDescent="0.3"/>
    <row r="27" spans="3:17" ht="14.4" customHeight="1" x14ac:dyDescent="0.3"/>
    <row r="28" spans="3:17" ht="14.4" customHeight="1" x14ac:dyDescent="0.3"/>
    <row r="29" spans="3:17" ht="14.4" customHeight="1" x14ac:dyDescent="0.3"/>
  </sheetData>
  <protectedRanges>
    <protectedRange algorithmName="SHA-512" hashValue="hAqHxYaoHpk8Fl1fJN9BuW4/OAr9NpBoG5cGMBW23ed6LBa7ZmkhtVrg1zqRqNXgXgneiXLbEcw7OWyqzCArBQ==" saltValue="mXIcFmwg21XoM64RsWPA7A==" spinCount="100000" sqref="C17:N17" name="Range1"/>
  </protectedRanges>
  <dataConsolidate/>
  <mergeCells count="10">
    <mergeCell ref="C17:E17"/>
    <mergeCell ref="F17:H17"/>
    <mergeCell ref="I17:K17"/>
    <mergeCell ref="L17:N17"/>
    <mergeCell ref="B13:N13"/>
    <mergeCell ref="B14:N14"/>
    <mergeCell ref="C16:E16"/>
    <mergeCell ref="F16:H16"/>
    <mergeCell ref="I16:K16"/>
    <mergeCell ref="L16:N16"/>
  </mergeCells>
  <conditionalFormatting sqref="C17">
    <cfRule type="expression" dxfId="18" priority="3">
      <formula>OR(AND(XFD17="DANIEL MARTICH",LEFT(RIGHT(XFC14,3),1)="P"),AND(XFD17="FRANNA QUEZADA", LEFT(RIGHT(XFC14,3),1)="P"),AND(XFD17="WADENSON FÉLIZ", LEFT(RIGHT(XFC14,3),1)="P"),AND(XFD17="SAMUEL GONZÁLEZ", LEFT(RIGHT(XFC14,3),1)="P"),AND(XFD17="ALEXIS VÁSQUEZ", LEFT(RIGHT(XFC14,3),1)="P"))</formula>
    </cfRule>
  </conditionalFormatting>
  <conditionalFormatting sqref="F17">
    <cfRule type="expression" dxfId="17" priority="1">
      <formula>OR(AND(C17="DANIEL MARTICH",LEFT(RIGHT(B14,3),1)="P"),AND(C17="FRANNA QUEZADA", LEFT(RIGHT(B14,3),1)="P"),AND(C17="WADENSON FÉLIZ", LEFT(RIGHT(B14,3),1)="P"),AND(C17="SAMUEL GONZÁLEZ", LEFT(RIGHT(B14,3),1)="P"),AND(C17="ALEXIS VÁSQUEZ", LEFT(RIGHT(B14,3),1)="P"))</formula>
    </cfRule>
  </conditionalFormatting>
  <conditionalFormatting sqref="I17">
    <cfRule type="expression" dxfId="16" priority="2">
      <formula>OR(AND(F17="DANIEL MARTICH",LEFT(RIGHT(E14,3),1)="P"),AND(F17="FRANNA QUEZADA", LEFT(RIGHT(E14,3),1)="P"),AND(F17="WADENSON FÉLIZ", LEFT(RIGHT(E14,3),1)="P"),AND(F17="SAMUEL GONZÁLEZ", LEFT(RIGHT(E14,3),1)="P"),AND(F17="ALEXIS VÁSQUEZ", LEFT(RIGHT(E14,3),1)="P"))</formula>
    </cfRule>
  </conditionalFormatting>
  <conditionalFormatting sqref="L17">
    <cfRule type="expression" dxfId="15" priority="8">
      <formula>OR(AND(C17="DANIEL MARTICH",LEFT(RIGHT(B14,3),1)="P"),AND(C17="FRANNA QUEZADA", LEFT(RIGHT(B14,3),1)="P"),AND(C17="WADENSON FÉLIZ", LEFT(RIGHT(B14,3),1)="P"),AND(C17="SAMUEL GONZÁLEZ", LEFT(RIGHT(B14,3),1)="P"),AND(C17="ALEXIS VÁSQUEZ", LEFT(RIGHT(B14,3),1)="P"))</formula>
    </cfRule>
  </conditionalFormatting>
  <dataValidations count="3">
    <dataValidation type="list" allowBlank="1" showInputMessage="1" showErrorMessage="1" sqref="I17:K17" xr:uid="{98535FCF-90AB-4C2C-A894-7552848250E6}">
      <formula1>"SAMUEL GONZÁLEZ,ALEXIS VÁSQUEZ,ADELLIN CONTRERAS"</formula1>
    </dataValidation>
    <dataValidation type="list" allowBlank="1" showInputMessage="1" showErrorMessage="1" sqref="C17:E17" xr:uid="{6A4539DD-E246-451B-B246-3F4E43AC27FE}">
      <formula1>"SAMUEL GONZÁLEZ,ADELLIN CONTRERAS,ALEXANDER DE LA CRUZ,ALEXIS VÁSQUEZ"</formula1>
    </dataValidation>
    <dataValidation type="list" allowBlank="1" showInputMessage="1" showErrorMessage="1" sqref="F17:H17" xr:uid="{C1EDDDE8-27E0-4E8C-A574-721EC2C79AA4}">
      <formula1>"SAMUEL GONZÁLEZ,ALEXIS VÁSQUEZ,ALEXANDER DE LA CRUZ,ADELLIN CONTRERAS"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M69"/>
  <sheetViews>
    <sheetView showGridLines="0" zoomScale="55" zoomScaleNormal="55" workbookViewId="0">
      <pane ySplit="3" topLeftCell="A4" activePane="bottomLeft" state="frozen"/>
      <selection pane="bottomLeft" activeCell="D12" sqref="D12"/>
    </sheetView>
  </sheetViews>
  <sheetFormatPr defaultColWidth="9.109375" defaultRowHeight="15.6" x14ac:dyDescent="0.3"/>
  <cols>
    <col min="1" max="1" width="2.44140625" style="3" customWidth="1"/>
    <col min="2" max="2" width="35.5546875" style="3" customWidth="1"/>
    <col min="3" max="3" width="49.6640625" style="3" bestFit="1" customWidth="1"/>
    <col min="4" max="4" width="56.88671875" style="3" customWidth="1"/>
    <col min="5" max="5" width="24" style="4" bestFit="1" customWidth="1"/>
    <col min="6" max="6" width="34.44140625" style="3" customWidth="1"/>
    <col min="7" max="7" width="31.6640625" style="3" customWidth="1"/>
    <col min="8" max="8" width="140" style="3" customWidth="1"/>
    <col min="9" max="9" width="34" style="3" bestFit="1" customWidth="1"/>
    <col min="10" max="10" width="23.33203125" style="3" bestFit="1" customWidth="1"/>
    <col min="11" max="11" width="23.109375" style="3" customWidth="1"/>
    <col min="12" max="12" width="18.6640625" style="6" customWidth="1"/>
    <col min="13" max="13" width="32.109375" style="6" bestFit="1" customWidth="1"/>
    <col min="14" max="16384" width="9.109375" style="3"/>
  </cols>
  <sheetData>
    <row r="1" spans="2:13" ht="112.5" customHeight="1" thickBot="1" x14ac:dyDescent="0.65">
      <c r="B1" s="195" t="s">
        <v>130</v>
      </c>
      <c r="C1" s="195"/>
      <c r="D1" s="195"/>
      <c r="E1" s="195"/>
      <c r="F1" s="195"/>
      <c r="G1" s="195"/>
      <c r="H1" s="195"/>
      <c r="I1" s="195"/>
    </row>
    <row r="2" spans="2:13" s="5" customFormat="1" ht="21.6" thickTop="1" x14ac:dyDescent="0.3">
      <c r="B2" s="192" t="str">
        <f ca="1">CONCATENATE("Declaración CEN ", YEAR(EDATE(TODAY(),-1)), "-", ETIQUETA!$O$23)</f>
        <v>Declaración CEN 2026-5</v>
      </c>
      <c r="C2" s="192"/>
      <c r="D2" s="192"/>
      <c r="E2" s="192"/>
      <c r="F2" s="192"/>
      <c r="G2" s="192"/>
      <c r="H2" s="192"/>
      <c r="I2" s="192"/>
      <c r="L2" s="95"/>
      <c r="M2" s="95"/>
    </row>
    <row r="3" spans="2:13" ht="41.25" customHeight="1" x14ac:dyDescent="0.3">
      <c r="B3" s="19" t="s">
        <v>160</v>
      </c>
      <c r="C3" s="19" t="s">
        <v>161</v>
      </c>
      <c r="D3" s="19" t="s">
        <v>162</v>
      </c>
      <c r="E3" s="19" t="s">
        <v>163</v>
      </c>
      <c r="F3" s="19" t="s">
        <v>233</v>
      </c>
      <c r="G3" s="19" t="s">
        <v>236</v>
      </c>
      <c r="H3" s="68" t="s">
        <v>102</v>
      </c>
      <c r="I3" s="68" t="s">
        <v>164</v>
      </c>
    </row>
    <row r="4" spans="2:13" x14ac:dyDescent="0.3">
      <c r="B4" s="120" t="s">
        <v>1</v>
      </c>
      <c r="C4" s="121" t="s">
        <v>214</v>
      </c>
      <c r="D4" s="122" t="s">
        <v>215</v>
      </c>
      <c r="E4" s="123"/>
      <c r="F4" s="170" t="s">
        <v>254</v>
      </c>
      <c r="G4" s="124">
        <f>+VLOOKUP(C4,'COSTO VARIABLE DE PRODUCCIÓN'!$C$4:$H$57,6,0)</f>
        <v>5.7318421585657822E-2</v>
      </c>
      <c r="H4" s="125"/>
      <c r="I4" s="126" t="str">
        <f>+VLOOKUP(C4,'EXISTENCIA DE COMBUSTIBLE'!$C$4:$K$95,9,0)</f>
        <v>GALONES/KWh</v>
      </c>
    </row>
    <row r="5" spans="2:13" x14ac:dyDescent="0.3">
      <c r="B5" s="120" t="s">
        <v>1</v>
      </c>
      <c r="C5" s="121" t="s">
        <v>212</v>
      </c>
      <c r="D5" s="122" t="s">
        <v>213</v>
      </c>
      <c r="E5" s="123"/>
      <c r="F5" s="170" t="s">
        <v>254</v>
      </c>
      <c r="G5" s="124">
        <f>+VLOOKUP(C5,'COSTO VARIABLE DE PRODUCCIÓN'!$C$4:$H$57,6,0)</f>
        <v>7.7921236851028908E-3</v>
      </c>
      <c r="H5" s="125"/>
      <c r="I5" s="126" t="s">
        <v>64</v>
      </c>
    </row>
    <row r="6" spans="2:13" x14ac:dyDescent="0.3">
      <c r="B6" s="120" t="s">
        <v>3</v>
      </c>
      <c r="C6" s="121" t="s">
        <v>4</v>
      </c>
      <c r="D6" s="122" t="s">
        <v>3</v>
      </c>
      <c r="E6" s="123"/>
      <c r="F6" s="170" t="s">
        <v>254</v>
      </c>
      <c r="G6" s="124">
        <f>+VLOOKUP(C6,'COSTO VARIABLE DE PRODUCCIÓN'!$C$4:$H$57,6,0)</f>
        <v>6.0526176178334265E-2</v>
      </c>
      <c r="H6" s="125"/>
      <c r="I6" s="126" t="str">
        <f>+VLOOKUP(C6,'EXISTENCIA DE COMBUSTIBLE'!$C$4:$K$95,9,0)</f>
        <v>GALONES/KWh</v>
      </c>
    </row>
    <row r="7" spans="2:13" s="141" customFormat="1" x14ac:dyDescent="0.3">
      <c r="B7" s="137" t="s">
        <v>100</v>
      </c>
      <c r="C7" s="138" t="s">
        <v>178</v>
      </c>
      <c r="D7" s="139" t="s">
        <v>179</v>
      </c>
      <c r="E7" s="123"/>
      <c r="F7" s="170" t="s">
        <v>254</v>
      </c>
      <c r="G7" s="124">
        <f>+VLOOKUP(C7,'COSTO VARIABLE DE PRODUCCIÓN'!$C$4:$H$57,6,0)</f>
        <v>6.9981196140553828E-2</v>
      </c>
      <c r="H7" s="125"/>
      <c r="I7" s="126" t="str">
        <f>+VLOOKUP(C7,'EXISTENCIA DE COMBUSTIBLE'!$C$4:$K$95,9,0)</f>
        <v>GALONES/KWh</v>
      </c>
      <c r="J7" s="140"/>
      <c r="L7" s="142"/>
      <c r="M7" s="142"/>
    </row>
    <row r="8" spans="2:13" x14ac:dyDescent="0.3">
      <c r="B8" s="120" t="s">
        <v>100</v>
      </c>
      <c r="C8" s="121" t="s">
        <v>188</v>
      </c>
      <c r="D8" s="122" t="s">
        <v>189</v>
      </c>
      <c r="E8" s="123"/>
      <c r="F8" s="170" t="s">
        <v>254</v>
      </c>
      <c r="G8" s="124">
        <f>+VLOOKUP(C8,'COSTO VARIABLE DE PRODUCCIÓN'!$C$4:$H$57,6,0)</f>
        <v>8.4025827237911924E-3</v>
      </c>
      <c r="H8" s="125"/>
      <c r="I8" s="126" t="str">
        <f>+VLOOKUP(C8,'EXISTENCIA DE COMBUSTIBLE'!$C$4:$K$95,9,0)</f>
        <v>MMBTU/KWh</v>
      </c>
    </row>
    <row r="9" spans="2:13" x14ac:dyDescent="0.3">
      <c r="B9" s="120" t="s">
        <v>100</v>
      </c>
      <c r="C9" s="121" t="s">
        <v>180</v>
      </c>
      <c r="D9" s="122" t="s">
        <v>181</v>
      </c>
      <c r="E9" s="123"/>
      <c r="F9" s="170" t="s">
        <v>254</v>
      </c>
      <c r="G9" s="124">
        <f>+VLOOKUP(C9,'COSTO VARIABLE DE PRODUCCIÓN'!$C$4:$H$57,6,0)</f>
        <v>9.4942973577876913E-2</v>
      </c>
      <c r="H9" s="125"/>
      <c r="I9" s="126" t="str">
        <f>+VLOOKUP(C9,'EXISTENCIA DE COMBUSTIBLE'!$C$4:$K$95,9,0)</f>
        <v>GALONES/KWh</v>
      </c>
    </row>
    <row r="10" spans="2:13" x14ac:dyDescent="0.3">
      <c r="B10" s="120" t="s">
        <v>100</v>
      </c>
      <c r="C10" s="121" t="s">
        <v>190</v>
      </c>
      <c r="D10" s="122" t="s">
        <v>191</v>
      </c>
      <c r="E10" s="123"/>
      <c r="F10" s="170" t="s">
        <v>254</v>
      </c>
      <c r="G10" s="124">
        <f>+VLOOKUP(C10,'COSTO VARIABLE DE PRODUCCIÓN'!$C$4:$H$57,6,0)</f>
        <v>8.3295576218750389E-3</v>
      </c>
      <c r="H10" s="125"/>
      <c r="I10" s="126" t="str">
        <f>+VLOOKUP(C10,'EXISTENCIA DE COMBUSTIBLE'!$C$4:$K$95,9,0)</f>
        <v>MMBTU/KWh</v>
      </c>
    </row>
    <row r="11" spans="2:13" x14ac:dyDescent="0.3">
      <c r="B11" s="120" t="s">
        <v>100</v>
      </c>
      <c r="C11" s="121" t="s">
        <v>182</v>
      </c>
      <c r="D11" s="122" t="s">
        <v>183</v>
      </c>
      <c r="E11" s="123"/>
      <c r="F11" s="170" t="s">
        <v>254</v>
      </c>
      <c r="G11" s="124">
        <f>+VLOOKUP(C11,'COSTO VARIABLE DE PRODUCCIÓN'!$C$4:$H$57,6,0)</f>
        <v>6.3224967215097433E-2</v>
      </c>
      <c r="H11" s="125"/>
      <c r="I11" s="126" t="str">
        <f>+VLOOKUP(C11,'EXISTENCIA DE COMBUSTIBLE'!$C$4:$K$95,9,0)</f>
        <v>GALONES/KWh</v>
      </c>
    </row>
    <row r="12" spans="2:13" x14ac:dyDescent="0.3">
      <c r="B12" s="120" t="s">
        <v>100</v>
      </c>
      <c r="C12" s="121" t="s">
        <v>192</v>
      </c>
      <c r="D12" s="122" t="s">
        <v>193</v>
      </c>
      <c r="E12" s="123"/>
      <c r="F12" s="170" t="s">
        <v>254</v>
      </c>
      <c r="G12" s="124">
        <f>+VLOOKUP(C12,'COSTO VARIABLE DE PRODUCCIÓN'!$C$4:$H$57,6,0)</f>
        <v>8.387790744853154E-3</v>
      </c>
      <c r="H12" s="125"/>
      <c r="I12" s="126" t="str">
        <f>+VLOOKUP(C12,'EXISTENCIA DE COMBUSTIBLE'!$C$4:$K$95,9,0)</f>
        <v>MMBTU/KWh</v>
      </c>
    </row>
    <row r="13" spans="2:13" x14ac:dyDescent="0.3">
      <c r="B13" s="120" t="s">
        <v>100</v>
      </c>
      <c r="C13" s="121" t="s">
        <v>242</v>
      </c>
      <c r="D13" s="122" t="s">
        <v>243</v>
      </c>
      <c r="E13" s="123"/>
      <c r="F13" s="170" t="s">
        <v>254</v>
      </c>
      <c r="G13" s="124">
        <f>+VLOOKUP(C13,'COSTO VARIABLE DE PRODUCCIÓN'!$C$4:$H$57,6,0)</f>
        <v>5.4945319144018463E-2</v>
      </c>
      <c r="H13" s="125"/>
      <c r="I13" s="126" t="str">
        <f>+VLOOKUP(C13,'EXISTENCIA DE COMBUSTIBLE'!$C$4:$K$95,9,0)</f>
        <v>GALONES/KWh</v>
      </c>
    </row>
    <row r="14" spans="2:13" x14ac:dyDescent="0.3">
      <c r="B14" s="120" t="s">
        <v>100</v>
      </c>
      <c r="C14" s="121" t="s">
        <v>244</v>
      </c>
      <c r="D14" s="122" t="s">
        <v>245</v>
      </c>
      <c r="E14" s="123"/>
      <c r="F14" s="170" t="s">
        <v>254</v>
      </c>
      <c r="G14" s="124">
        <f>+VLOOKUP(C14,'COSTO VARIABLE DE PRODUCCIÓN'!$C$4:$H$57,6,0)</f>
        <v>7.2990158709382901E-3</v>
      </c>
      <c r="H14" s="125"/>
      <c r="I14" s="126" t="str">
        <f>+VLOOKUP(C14,'EXISTENCIA DE COMBUSTIBLE'!$C$4:$K$95,9,0)</f>
        <v>MMBTU/KWh</v>
      </c>
    </row>
    <row r="15" spans="2:13" x14ac:dyDescent="0.3">
      <c r="B15" s="120" t="s">
        <v>5</v>
      </c>
      <c r="C15" s="121" t="s">
        <v>6</v>
      </c>
      <c r="D15" s="122" t="s">
        <v>5</v>
      </c>
      <c r="E15" s="123"/>
      <c r="F15" s="170" t="s">
        <v>254</v>
      </c>
      <c r="G15" s="124">
        <f>+VLOOKUP(C15,'COSTO VARIABLE DE PRODUCCIÓN'!$C$4:$H$57,6,0)</f>
        <v>6.4809449112605361E-2</v>
      </c>
      <c r="H15" s="125"/>
      <c r="I15" s="126" t="str">
        <f>+VLOOKUP(C15,'EXISTENCIA DE COMBUSTIBLE'!$C$4:$K$95,9,0)</f>
        <v>GALONES/KWh</v>
      </c>
    </row>
    <row r="16" spans="2:13" x14ac:dyDescent="0.3">
      <c r="B16" s="120" t="s">
        <v>228</v>
      </c>
      <c r="C16" s="121" t="s">
        <v>132</v>
      </c>
      <c r="D16" s="122" t="s">
        <v>133</v>
      </c>
      <c r="E16" s="123"/>
      <c r="F16" s="170" t="s">
        <v>254</v>
      </c>
      <c r="G16" s="124">
        <f>+VLOOKUP(C16,'COSTO VARIABLE DE PRODUCCIÓN'!$C$4:$H$57,6,0)</f>
        <v>6.3873081103768173E-2</v>
      </c>
      <c r="H16" s="125"/>
      <c r="I16" s="126" t="str">
        <f>+VLOOKUP(C16,'EXISTENCIA DE COMBUSTIBLE'!$C$4:$K$95,9,0)</f>
        <v>GALONES/KWh</v>
      </c>
    </row>
    <row r="17" spans="2:9" x14ac:dyDescent="0.3">
      <c r="B17" s="120" t="s">
        <v>7</v>
      </c>
      <c r="C17" s="121" t="s">
        <v>8</v>
      </c>
      <c r="D17" s="122" t="s">
        <v>9</v>
      </c>
      <c r="E17" s="123"/>
      <c r="F17" s="170" t="s">
        <v>254</v>
      </c>
      <c r="G17" s="124">
        <f>+VLOOKUP(C17,'COSTO VARIABLE DE PRODUCCIÓN'!$C$4:$H$57,6,0)</f>
        <v>1.2250973249206647E-2</v>
      </c>
      <c r="H17" s="125"/>
      <c r="I17" s="126" t="str">
        <f>+VLOOKUP(C17,'EXISTENCIA DE COMBUSTIBLE'!$C$4:$K$95,9,0)</f>
        <v>MMBTU/KWh</v>
      </c>
    </row>
    <row r="18" spans="2:9" x14ac:dyDescent="0.3">
      <c r="B18" s="120" t="s">
        <v>7</v>
      </c>
      <c r="C18" s="121" t="s">
        <v>10</v>
      </c>
      <c r="D18" s="122" t="s">
        <v>11</v>
      </c>
      <c r="E18" s="123"/>
      <c r="F18" s="170" t="s">
        <v>254</v>
      </c>
      <c r="G18" s="124">
        <f>+VLOOKUP(C18,'COSTO VARIABLE DE PRODUCCIÓN'!$C$4:$H$57,6,0)</f>
        <v>1.2331142846717692E-2</v>
      </c>
      <c r="H18" s="125"/>
      <c r="I18" s="126" t="str">
        <f>+VLOOKUP(C18,'EXISTENCIA DE COMBUSTIBLE'!$C$4:$K$95,9,0)</f>
        <v>MMBTU/KWh</v>
      </c>
    </row>
    <row r="19" spans="2:9" x14ac:dyDescent="0.3">
      <c r="B19" s="120" t="s">
        <v>7</v>
      </c>
      <c r="C19" s="121" t="s">
        <v>154</v>
      </c>
      <c r="D19" s="122" t="s">
        <v>95</v>
      </c>
      <c r="E19" s="123"/>
      <c r="F19" s="170" t="s">
        <v>254</v>
      </c>
      <c r="G19" s="124">
        <f>+VLOOKUP(C19,'COSTO VARIABLE DE PRODUCCIÓN'!$C$4:$H$57,6,0)</f>
        <v>8.5963102824214224E-3</v>
      </c>
      <c r="H19" s="125"/>
      <c r="I19" s="126" t="str">
        <f>+VLOOKUP(C19,'EXISTENCIA DE COMBUSTIBLE'!$C$4:$K$95,9,0)</f>
        <v>MMBTU/KWh</v>
      </c>
    </row>
    <row r="20" spans="2:9" x14ac:dyDescent="0.3">
      <c r="B20" s="120" t="s">
        <v>7</v>
      </c>
      <c r="C20" s="121" t="s">
        <v>153</v>
      </c>
      <c r="D20" s="122" t="s">
        <v>96</v>
      </c>
      <c r="E20" s="123"/>
      <c r="F20" s="170" t="s">
        <v>254</v>
      </c>
      <c r="G20" s="124">
        <f>+VLOOKUP(C20,'COSTO VARIABLE DE PRODUCCIÓN'!$C$4:$H$57,6,0)</f>
        <v>8.4866168926077505E-3</v>
      </c>
      <c r="H20" s="125"/>
      <c r="I20" s="126" t="str">
        <f>+VLOOKUP(C20,'EXISTENCIA DE COMBUSTIBLE'!$C$4:$K$95,9,0)</f>
        <v>MMBTU/KWh</v>
      </c>
    </row>
    <row r="21" spans="2:9" x14ac:dyDescent="0.3">
      <c r="B21" s="120" t="s">
        <v>246</v>
      </c>
      <c r="C21" s="121" t="s">
        <v>247</v>
      </c>
      <c r="D21" s="122" t="s">
        <v>248</v>
      </c>
      <c r="E21" s="123"/>
      <c r="F21" s="170" t="s">
        <v>254</v>
      </c>
      <c r="G21" s="124">
        <f>+VLOOKUP(C21,'COSTO VARIABLE DE PRODUCCIÓN'!$C$4:$H$57,6,0)</f>
        <v>1.3549122095664053E-2</v>
      </c>
      <c r="H21" s="125"/>
      <c r="I21" s="126" t="str">
        <f>+VLOOKUP(C21,'EXISTENCIA DE COMBUSTIBLE'!$C$4:$K$95,9,0)</f>
        <v>MMBTU/KWh</v>
      </c>
    </row>
    <row r="22" spans="2:9" x14ac:dyDescent="0.3">
      <c r="B22" s="120" t="s">
        <v>12</v>
      </c>
      <c r="C22" s="121" t="s">
        <v>155</v>
      </c>
      <c r="D22" s="122" t="s">
        <v>216</v>
      </c>
      <c r="E22" s="123"/>
      <c r="F22" s="170" t="s">
        <v>254</v>
      </c>
      <c r="G22" s="124">
        <f>+VLOOKUP(C22,'COSTO VARIABLE DE PRODUCCIÓN'!$C$4:$H$57,6,0)</f>
        <v>5.9668371941748314E-4</v>
      </c>
      <c r="H22" s="125"/>
      <c r="I22" s="126" t="str">
        <f>+VLOOKUP(C22,'EXISTENCIA DE COMBUSTIBLE'!$C$4:$K$95,9,0)</f>
        <v>TONELADAS METRICAS/KWh</v>
      </c>
    </row>
    <row r="23" spans="2:9" x14ac:dyDescent="0.3">
      <c r="B23" s="120" t="s">
        <v>12</v>
      </c>
      <c r="C23" s="121" t="s">
        <v>156</v>
      </c>
      <c r="D23" s="122" t="s">
        <v>13</v>
      </c>
      <c r="E23" s="123"/>
      <c r="F23" s="170" t="s">
        <v>254</v>
      </c>
      <c r="G23" s="124">
        <f>+VLOOKUP(C23,'COSTO VARIABLE DE PRODUCCIÓN'!$C$4:$H$57,6,0)</f>
        <v>9.0062012392580146E-2</v>
      </c>
      <c r="H23" s="125"/>
      <c r="I23" s="126" t="str">
        <f>+VLOOKUP(C23,'EXISTENCIA DE COMBUSTIBLE'!$C$4:$K$95,9,0)</f>
        <v>GALONES/KWh</v>
      </c>
    </row>
    <row r="24" spans="2:9" x14ac:dyDescent="0.3">
      <c r="B24" s="120" t="s">
        <v>12</v>
      </c>
      <c r="C24" s="121" t="s">
        <v>174</v>
      </c>
      <c r="D24" s="122" t="s">
        <v>175</v>
      </c>
      <c r="E24" s="123"/>
      <c r="F24" s="170" t="s">
        <v>254</v>
      </c>
      <c r="G24" s="124">
        <f>+VLOOKUP(C24,'COSTO VARIABLE DE PRODUCCIÓN'!$C$4:$H$57,6,0)</f>
        <v>5.3938111706778015E-2</v>
      </c>
      <c r="H24" s="125"/>
      <c r="I24" s="126" t="str">
        <f>+VLOOKUP(C24,'EXISTENCIA DE COMBUSTIBLE'!$C$4:$K$95,9,0)</f>
        <v>GALONES/KWh</v>
      </c>
    </row>
    <row r="25" spans="2:9" x14ac:dyDescent="0.3">
      <c r="B25" s="120" t="s">
        <v>12</v>
      </c>
      <c r="C25" s="121" t="s">
        <v>176</v>
      </c>
      <c r="D25" s="122" t="s">
        <v>177</v>
      </c>
      <c r="E25" s="123"/>
      <c r="F25" s="170" t="s">
        <v>254</v>
      </c>
      <c r="G25" s="124">
        <f>+VLOOKUP(C25,'COSTO VARIABLE DE PRODUCCIÓN'!$C$4:$H$57,6,0)</f>
        <v>8.0581378762683148E-3</v>
      </c>
      <c r="H25" s="125"/>
      <c r="I25" s="126" t="str">
        <f>+VLOOKUP(C25,'EXISTENCIA DE COMBUSTIBLE'!$C$4:$K$95,9,0)</f>
        <v>MMBTU/KWh</v>
      </c>
    </row>
    <row r="26" spans="2:9" x14ac:dyDescent="0.3">
      <c r="B26" s="120" t="s">
        <v>12</v>
      </c>
      <c r="C26" s="121" t="s">
        <v>14</v>
      </c>
      <c r="D26" s="122" t="s">
        <v>15</v>
      </c>
      <c r="E26" s="123"/>
      <c r="F26" s="170" t="s">
        <v>254</v>
      </c>
      <c r="G26" s="124">
        <f>+VLOOKUP(C26,'COSTO VARIABLE DE PRODUCCIÓN'!$C$4:$H$57,6,0)</f>
        <v>5.7502678872455561E-2</v>
      </c>
      <c r="H26" s="125"/>
      <c r="I26" s="126" t="str">
        <f>+VLOOKUP(C26,'EXISTENCIA DE COMBUSTIBLE'!$C$4:$K$95,9,0)</f>
        <v>GALONES/KWh</v>
      </c>
    </row>
    <row r="27" spans="2:9" x14ac:dyDescent="0.3">
      <c r="B27" s="120" t="s">
        <v>16</v>
      </c>
      <c r="C27" s="121" t="s">
        <v>17</v>
      </c>
      <c r="D27" s="122" t="s">
        <v>18</v>
      </c>
      <c r="E27" s="123"/>
      <c r="F27" s="170" t="s">
        <v>254</v>
      </c>
      <c r="G27" s="124">
        <f>+VLOOKUP(C27,'COSTO VARIABLE DE PRODUCCIÓN'!$C$4:$H$57,6,0)</f>
        <v>5.3713315643338639E-4</v>
      </c>
      <c r="H27" s="125"/>
      <c r="I27" s="126" t="str">
        <f>+VLOOKUP(C27,'EXISTENCIA DE COMBUSTIBLE'!$C$4:$K$95,9,0)</f>
        <v>TONELADAS METRICAS/KWh</v>
      </c>
    </row>
    <row r="28" spans="2:9" x14ac:dyDescent="0.3">
      <c r="B28" s="120" t="s">
        <v>16</v>
      </c>
      <c r="C28" s="121" t="s">
        <v>19</v>
      </c>
      <c r="D28" s="122" t="s">
        <v>20</v>
      </c>
      <c r="E28" s="123"/>
      <c r="F28" s="170" t="s">
        <v>254</v>
      </c>
      <c r="G28" s="124">
        <f>+VLOOKUP(C28,'COSTO VARIABLE DE PRODUCCIÓN'!$C$4:$H$57,6,0)</f>
        <v>4.9099229646417568E-4</v>
      </c>
      <c r="H28" s="125"/>
      <c r="I28" s="126" t="str">
        <f>+VLOOKUP(C28,'EXISTENCIA DE COMBUSTIBLE'!$C$4:$K$95,9,0)</f>
        <v>TONELADAS METRICAS/KWh</v>
      </c>
    </row>
    <row r="29" spans="2:9" x14ac:dyDescent="0.3">
      <c r="B29" s="120" t="s">
        <v>16</v>
      </c>
      <c r="C29" s="121" t="s">
        <v>21</v>
      </c>
      <c r="D29" s="122" t="s">
        <v>22</v>
      </c>
      <c r="E29" s="123"/>
      <c r="F29" s="170" t="s">
        <v>254</v>
      </c>
      <c r="G29" s="124">
        <f>+VLOOKUP(C29,'COSTO VARIABLE DE PRODUCCIÓN'!$C$4:$H$57,6,0)</f>
        <v>9.4517958412098299E-2</v>
      </c>
      <c r="H29" s="125"/>
      <c r="I29" s="126" t="str">
        <f>+VLOOKUP(C29,'EXISTENCIA DE COMBUSTIBLE'!$C$4:$K$95,9,0)</f>
        <v>GALONES/KWh</v>
      </c>
    </row>
    <row r="30" spans="2:9" ht="26.4" x14ac:dyDescent="0.3">
      <c r="B30" s="120" t="s">
        <v>224</v>
      </c>
      <c r="C30" s="121" t="s">
        <v>184</v>
      </c>
      <c r="D30" s="122" t="s">
        <v>185</v>
      </c>
      <c r="E30" s="123"/>
      <c r="F30" s="170" t="s">
        <v>254</v>
      </c>
      <c r="G30" s="124">
        <f>+VLOOKUP(C30,'COSTO VARIABLE DE PRODUCCIÓN'!$C$4:$H$57,6,0)</f>
        <v>4.1774966807887486E-4</v>
      </c>
      <c r="H30" s="125"/>
      <c r="I30" s="126" t="str">
        <f>+VLOOKUP(C30,'EXISTENCIA DE COMBUSTIBLE'!$C$4:$K$95,9,0)</f>
        <v>TONELADAS METRICAS/KWh</v>
      </c>
    </row>
    <row r="31" spans="2:9" ht="26.4" x14ac:dyDescent="0.3">
      <c r="B31" s="120" t="s">
        <v>224</v>
      </c>
      <c r="C31" s="121" t="s">
        <v>186</v>
      </c>
      <c r="D31" s="122" t="s">
        <v>187</v>
      </c>
      <c r="E31" s="123"/>
      <c r="F31" s="170" t="s">
        <v>254</v>
      </c>
      <c r="G31" s="124">
        <f>+VLOOKUP(C31,'COSTO VARIABLE DE PRODUCCIÓN'!$C$4:$H$57,6,0)</f>
        <v>4.0802560898160967E-4</v>
      </c>
      <c r="H31" s="125"/>
      <c r="I31" s="126" t="str">
        <f>+VLOOKUP(C31,'EXISTENCIA DE COMBUSTIBLE'!$C$4:$K$95,9,0)</f>
        <v>TONELADAS METRICAS/KWh</v>
      </c>
    </row>
    <row r="32" spans="2:9" x14ac:dyDescent="0.3">
      <c r="B32" s="120" t="s">
        <v>23</v>
      </c>
      <c r="C32" s="121" t="s">
        <v>24</v>
      </c>
      <c r="D32" s="122" t="s">
        <v>25</v>
      </c>
      <c r="E32" s="123"/>
      <c r="F32" s="170" t="s">
        <v>254</v>
      </c>
      <c r="G32" s="124">
        <f>+VLOOKUP(C32,'COSTO VARIABLE DE PRODUCCIÓN'!$C$4:$H$57,6,0)</f>
        <v>5.4811674953715937E-2</v>
      </c>
      <c r="H32" s="125"/>
      <c r="I32" s="126" t="str">
        <f>+VLOOKUP(C32,'EXISTENCIA DE COMBUSTIBLE'!$C$4:$K$95,9,0)</f>
        <v>GALONES/KWh</v>
      </c>
    </row>
    <row r="33" spans="2:9" x14ac:dyDescent="0.3">
      <c r="B33" s="120" t="s">
        <v>23</v>
      </c>
      <c r="C33" s="121" t="s">
        <v>26</v>
      </c>
      <c r="D33" s="122" t="s">
        <v>27</v>
      </c>
      <c r="E33" s="123"/>
      <c r="F33" s="170" t="s">
        <v>254</v>
      </c>
      <c r="G33" s="124">
        <f>+VLOOKUP(C33,'COSTO VARIABLE DE PRODUCCIÓN'!$C$4:$H$57,6,0)</f>
        <v>8.5342921202402784E-3</v>
      </c>
      <c r="H33" s="125"/>
      <c r="I33" s="126" t="str">
        <f>+VLOOKUP(C33,'EXISTENCIA DE COMBUSTIBLE'!$C$4:$K$95,9,0)</f>
        <v>MMBTU/KWh</v>
      </c>
    </row>
    <row r="34" spans="2:9" x14ac:dyDescent="0.3">
      <c r="B34" s="120" t="s">
        <v>23</v>
      </c>
      <c r="C34" s="121" t="s">
        <v>28</v>
      </c>
      <c r="D34" s="122" t="s">
        <v>29</v>
      </c>
      <c r="E34" s="123"/>
      <c r="F34" s="170" t="s">
        <v>254</v>
      </c>
      <c r="G34" s="124">
        <f>+VLOOKUP(C34,'COSTO VARIABLE DE PRODUCCIÓN'!$C$4:$H$57,6,0)</f>
        <v>5.7700492923279507E-2</v>
      </c>
      <c r="H34" s="125"/>
      <c r="I34" s="126" t="str">
        <f>+VLOOKUP(C34,'EXISTENCIA DE COMBUSTIBLE'!$C$4:$K$95,9,0)</f>
        <v>GALONES/KWh</v>
      </c>
    </row>
    <row r="35" spans="2:9" x14ac:dyDescent="0.3">
      <c r="B35" s="120" t="s">
        <v>23</v>
      </c>
      <c r="C35" s="121" t="s">
        <v>30</v>
      </c>
      <c r="D35" s="122" t="s">
        <v>31</v>
      </c>
      <c r="E35" s="123"/>
      <c r="F35" s="170" t="s">
        <v>254</v>
      </c>
      <c r="G35" s="124">
        <f>+VLOOKUP(C35,'COSTO VARIABLE DE PRODUCCIÓN'!$C$4:$H$57,6,0)</f>
        <v>8.9689482456372094E-3</v>
      </c>
      <c r="H35" s="125"/>
      <c r="I35" s="126" t="str">
        <f>+VLOOKUP(C35,'EXISTENCIA DE COMBUSTIBLE'!$C$4:$K$95,9,0)</f>
        <v>MMBTU/KWh</v>
      </c>
    </row>
    <row r="36" spans="2:9" x14ac:dyDescent="0.3">
      <c r="B36" s="120" t="s">
        <v>23</v>
      </c>
      <c r="C36" s="121" t="s">
        <v>206</v>
      </c>
      <c r="D36" s="122" t="s">
        <v>207</v>
      </c>
      <c r="E36" s="123"/>
      <c r="F36" s="170" t="s">
        <v>254</v>
      </c>
      <c r="G36" s="124">
        <f>+VLOOKUP(C36,'COSTO VARIABLE DE PRODUCCIÓN'!$C$4:$H$57,6,0)</f>
        <v>7.4132204428723741E-3</v>
      </c>
      <c r="H36" s="125"/>
      <c r="I36" s="126" t="str">
        <f>+VLOOKUP(C36,'EXISTENCIA DE COMBUSTIBLE'!$C$4:$K$95,9,0)</f>
        <v>MMBTU/KWh</v>
      </c>
    </row>
    <row r="37" spans="2:9" x14ac:dyDescent="0.3">
      <c r="B37" s="120" t="s">
        <v>23</v>
      </c>
      <c r="C37" s="121" t="s">
        <v>208</v>
      </c>
      <c r="D37" s="122" t="s">
        <v>209</v>
      </c>
      <c r="E37" s="123"/>
      <c r="F37" s="170" t="s">
        <v>254</v>
      </c>
      <c r="G37" s="124">
        <f>+VLOOKUP(C37,'COSTO VARIABLE DE PRODUCCIÓN'!$C$4:$H$57,6,0)</f>
        <v>7.312288129462721E-3</v>
      </c>
      <c r="H37" s="125"/>
      <c r="I37" s="126" t="str">
        <f>+VLOOKUP(C37,'EXISTENCIA DE COMBUSTIBLE'!$C$4:$K$95,9,0)</f>
        <v>MMBTU/KWh</v>
      </c>
    </row>
    <row r="38" spans="2:9" x14ac:dyDescent="0.3">
      <c r="B38" s="120" t="s">
        <v>23</v>
      </c>
      <c r="C38" s="121" t="s">
        <v>210</v>
      </c>
      <c r="D38" s="122" t="s">
        <v>211</v>
      </c>
      <c r="E38" s="123"/>
      <c r="F38" s="170" t="s">
        <v>254</v>
      </c>
      <c r="G38" s="124">
        <f>+VLOOKUP(C38,'COSTO VARIABLE DE PRODUCCIÓN'!$C$4:$H$57,6,0)</f>
        <v>1.0814652144352543E-2</v>
      </c>
      <c r="H38" s="125"/>
      <c r="I38" s="126" t="str">
        <f>+VLOOKUP(C38,'EXISTENCIA DE COMBUSTIBLE'!$C$4:$K$95,9,0)</f>
        <v>MMBTU/KWh</v>
      </c>
    </row>
    <row r="39" spans="2:9" x14ac:dyDescent="0.3">
      <c r="B39" s="120" t="s">
        <v>32</v>
      </c>
      <c r="C39" s="121" t="s">
        <v>33</v>
      </c>
      <c r="D39" s="122" t="s">
        <v>34</v>
      </c>
      <c r="E39" s="123"/>
      <c r="F39" s="170" t="s">
        <v>254</v>
      </c>
      <c r="G39" s="124">
        <f>+VLOOKUP(C39,'COSTO VARIABLE DE PRODUCCIÓN'!$C$4:$H$57,6,0)</f>
        <v>6.0858630986667279E-2</v>
      </c>
      <c r="H39" s="125"/>
      <c r="I39" s="126" t="str">
        <f>+VLOOKUP(C39,'EXISTENCIA DE COMBUSTIBLE'!$C$4:$K$95,9,0)</f>
        <v>GALONES/KWh</v>
      </c>
    </row>
    <row r="40" spans="2:9" x14ac:dyDescent="0.3">
      <c r="B40" s="120" t="s">
        <v>32</v>
      </c>
      <c r="C40" s="121" t="s">
        <v>35</v>
      </c>
      <c r="D40" s="122" t="s">
        <v>36</v>
      </c>
      <c r="E40" s="123"/>
      <c r="F40" s="170" t="s">
        <v>254</v>
      </c>
      <c r="G40" s="124">
        <f>+VLOOKUP(C40,'COSTO VARIABLE DE PRODUCCIÓN'!$C$4:$H$57,6,0)</f>
        <v>6.0427654253928258E-2</v>
      </c>
      <c r="H40" s="125"/>
      <c r="I40" s="126" t="str">
        <f>+VLOOKUP(C40,'EXISTENCIA DE COMBUSTIBLE'!$C$4:$K$95,9,0)</f>
        <v>GALONES/KWh</v>
      </c>
    </row>
    <row r="41" spans="2:9" ht="26.4" x14ac:dyDescent="0.3">
      <c r="B41" s="120" t="s">
        <v>219</v>
      </c>
      <c r="C41" s="121" t="s">
        <v>220</v>
      </c>
      <c r="D41" s="122" t="s">
        <v>221</v>
      </c>
      <c r="E41" s="123"/>
      <c r="F41" s="170" t="s">
        <v>254</v>
      </c>
      <c r="G41" s="124">
        <f>+VLOOKUP(C41,'COSTO VARIABLE DE PRODUCCIÓN'!$C$4:$H$57,6,0)</f>
        <v>6.1493437572692954E-2</v>
      </c>
      <c r="H41" s="125"/>
      <c r="I41" s="126" t="str">
        <f>+VLOOKUP(C41,'EXISTENCIA DE COMBUSTIBLE'!$C$4:$K$95,9,0)</f>
        <v>GALONES/KWh</v>
      </c>
    </row>
    <row r="42" spans="2:9" ht="26.4" x14ac:dyDescent="0.3">
      <c r="B42" s="120" t="s">
        <v>219</v>
      </c>
      <c r="C42" s="121" t="s">
        <v>222</v>
      </c>
      <c r="D42" s="122" t="s">
        <v>223</v>
      </c>
      <c r="E42" s="123"/>
      <c r="F42" s="170" t="s">
        <v>254</v>
      </c>
      <c r="G42" s="124">
        <f>+VLOOKUP(C42,'COSTO VARIABLE DE PRODUCCIÓN'!$C$4:$H$57,6,0)</f>
        <v>6.1067242934021826E-2</v>
      </c>
      <c r="H42" s="125"/>
      <c r="I42" s="126" t="str">
        <f>+VLOOKUP(C42,'EXISTENCIA DE COMBUSTIBLE'!$C$4:$K$95,9,0)</f>
        <v>GALONES/KWh</v>
      </c>
    </row>
    <row r="43" spans="2:9" x14ac:dyDescent="0.3">
      <c r="B43" s="120" t="s">
        <v>37</v>
      </c>
      <c r="C43" s="121" t="s">
        <v>38</v>
      </c>
      <c r="D43" s="122" t="s">
        <v>39</v>
      </c>
      <c r="E43" s="123"/>
      <c r="F43" s="170" t="s">
        <v>254</v>
      </c>
      <c r="G43" s="124">
        <f>+VLOOKUP(C43,'COSTO VARIABLE DE PRODUCCIÓN'!$C$4:$H$57,6,0)</f>
        <v>5.9911502700690254E-2</v>
      </c>
      <c r="H43" s="125"/>
      <c r="I43" s="126" t="str">
        <f>+VLOOKUP(C43,'EXISTENCIA DE COMBUSTIBLE'!$C$4:$K$95,9,0)</f>
        <v>GALONES/KWh</v>
      </c>
    </row>
    <row r="44" spans="2:9" x14ac:dyDescent="0.3">
      <c r="B44" s="120" t="s">
        <v>37</v>
      </c>
      <c r="C44" s="121" t="s">
        <v>40</v>
      </c>
      <c r="D44" s="122" t="s">
        <v>41</v>
      </c>
      <c r="E44" s="123"/>
      <c r="F44" s="170" t="s">
        <v>254</v>
      </c>
      <c r="G44" s="124">
        <f>+VLOOKUP(C44,'COSTO VARIABLE DE PRODUCCIÓN'!$C$4:$H$57,6,0)</f>
        <v>6.0587726144739978E-2</v>
      </c>
      <c r="H44" s="125"/>
      <c r="I44" s="126" t="str">
        <f>+VLOOKUP(C44,'EXISTENCIA DE COMBUSTIBLE'!$C$4:$K$95,9,0)</f>
        <v>GALONES/KWh</v>
      </c>
    </row>
    <row r="45" spans="2:9" x14ac:dyDescent="0.3">
      <c r="B45" s="120" t="s">
        <v>37</v>
      </c>
      <c r="C45" s="121" t="s">
        <v>42</v>
      </c>
      <c r="D45" s="122" t="s">
        <v>43</v>
      </c>
      <c r="E45" s="123"/>
      <c r="F45" s="170" t="s">
        <v>254</v>
      </c>
      <c r="G45" s="124">
        <f>+VLOOKUP(C45,'COSTO VARIABLE DE PRODUCCIÓN'!$C$4:$H$57,6,0)</f>
        <v>5.7009265059810195E-2</v>
      </c>
      <c r="H45" s="125"/>
      <c r="I45" s="126" t="str">
        <f>+VLOOKUP(C45,'EXISTENCIA DE COMBUSTIBLE'!$C$4:$K$95,9,0)</f>
        <v>GALONES/KWh</v>
      </c>
    </row>
    <row r="46" spans="2:9" x14ac:dyDescent="0.3">
      <c r="B46" s="120" t="s">
        <v>37</v>
      </c>
      <c r="C46" s="121" t="s">
        <v>226</v>
      </c>
      <c r="D46" s="122" t="s">
        <v>227</v>
      </c>
      <c r="E46" s="123"/>
      <c r="F46" s="170" t="s">
        <v>254</v>
      </c>
      <c r="G46" s="124">
        <f>+VLOOKUP(C46,'COSTO VARIABLE DE PRODUCCIÓN'!$C$4:$H$57,6,0)</f>
        <v>5.7293478133653465E-2</v>
      </c>
      <c r="H46" s="125"/>
      <c r="I46" s="126" t="str">
        <f>+VLOOKUP(C46,'EXISTENCIA DE COMBUSTIBLE'!$C$4:$K$95,9,0)</f>
        <v>GALONES/KWh</v>
      </c>
    </row>
    <row r="47" spans="2:9" x14ac:dyDescent="0.3">
      <c r="B47" s="120" t="s">
        <v>92</v>
      </c>
      <c r="C47" s="121" t="s">
        <v>53</v>
      </c>
      <c r="D47" s="122" t="s">
        <v>217</v>
      </c>
      <c r="E47" s="123"/>
      <c r="F47" s="170" t="s">
        <v>254</v>
      </c>
      <c r="G47" s="124">
        <f>+VLOOKUP(C47,'COSTO VARIABLE DE PRODUCCIÓN'!$C$4:$H$57,6,0)</f>
        <v>5.9811683412589252E-2</v>
      </c>
      <c r="H47" s="125"/>
      <c r="I47" s="126" t="str">
        <f>+VLOOKUP(C47,'EXISTENCIA DE COMBUSTIBLE'!$C$4:$K$95,9,0)</f>
        <v>GALONES/KWh</v>
      </c>
    </row>
    <row r="48" spans="2:9" x14ac:dyDescent="0.3">
      <c r="B48" s="120" t="s">
        <v>44</v>
      </c>
      <c r="C48" s="121" t="s">
        <v>45</v>
      </c>
      <c r="D48" s="122" t="s">
        <v>46</v>
      </c>
      <c r="E48" s="123"/>
      <c r="F48" s="170" t="s">
        <v>254</v>
      </c>
      <c r="G48" s="124">
        <f>+VLOOKUP(C48,'COSTO VARIABLE DE PRODUCCIÓN'!$C$4:$H$57,6,0)</f>
        <v>5.8946514270904277E-2</v>
      </c>
      <c r="H48" s="125"/>
      <c r="I48" s="126" t="str">
        <f>+VLOOKUP(C48,'EXISTENCIA DE COMBUSTIBLE'!$C$4:$K$95,9,0)</f>
        <v>GALONES/KWh</v>
      </c>
    </row>
    <row r="49" spans="2:11" x14ac:dyDescent="0.3">
      <c r="B49" s="120" t="s">
        <v>44</v>
      </c>
      <c r="C49" s="121" t="s">
        <v>47</v>
      </c>
      <c r="D49" s="122" t="s">
        <v>48</v>
      </c>
      <c r="E49" s="123"/>
      <c r="F49" s="170" t="s">
        <v>254</v>
      </c>
      <c r="G49" s="124">
        <f>+VLOOKUP(C49,'COSTO VARIABLE DE PRODUCCIÓN'!$C$4:$H$57,6,0)</f>
        <v>9.3403239869489126E-3</v>
      </c>
      <c r="H49" s="125"/>
      <c r="I49" s="126" t="str">
        <f>+VLOOKUP(C49,'EXISTENCIA DE COMBUSTIBLE'!$C$4:$K$95,9,0)</f>
        <v>MMBTU/KWh</v>
      </c>
    </row>
    <row r="50" spans="2:11" x14ac:dyDescent="0.3">
      <c r="B50" s="120" t="s">
        <v>49</v>
      </c>
      <c r="C50" s="121" t="s">
        <v>50</v>
      </c>
      <c r="D50" s="122" t="s">
        <v>51</v>
      </c>
      <c r="E50" s="123"/>
      <c r="F50" s="170" t="s">
        <v>254</v>
      </c>
      <c r="G50" s="124">
        <f>+VLOOKUP(C50,'COSTO VARIABLE DE PRODUCCIÓN'!$C$4:$H$57,6,0)</f>
        <v>6.3737314538691622E-2</v>
      </c>
      <c r="H50" s="125"/>
      <c r="I50" s="126" t="str">
        <f>+VLOOKUP(C50,'EXISTENCIA DE COMBUSTIBLE'!$C$4:$K$95,9,0)</f>
        <v>GALONES/KWh</v>
      </c>
    </row>
    <row r="51" spans="2:11" x14ac:dyDescent="0.3">
      <c r="B51" s="120" t="s">
        <v>52</v>
      </c>
      <c r="C51" s="121" t="s">
        <v>170</v>
      </c>
      <c r="D51" s="122" t="s">
        <v>171</v>
      </c>
      <c r="E51" s="123"/>
      <c r="F51" s="170" t="s">
        <v>254</v>
      </c>
      <c r="G51" s="124">
        <f>+VLOOKUP(C51,'COSTO VARIABLE DE PRODUCCIÓN'!$C$4:$H$57,6,0)</f>
        <v>4.4397425419409768E-2</v>
      </c>
      <c r="H51" s="125"/>
      <c r="I51" s="126" t="str">
        <f>+VLOOKUP(C51,'EXISTENCIA DE COMBUSTIBLE'!$C$4:$K$95,9,0)</f>
        <v>GALONES/KWh</v>
      </c>
    </row>
    <row r="52" spans="2:11" x14ac:dyDescent="0.3">
      <c r="B52" s="120" t="s">
        <v>52</v>
      </c>
      <c r="C52" s="121" t="s">
        <v>165</v>
      </c>
      <c r="D52" s="122" t="s">
        <v>166</v>
      </c>
      <c r="E52" s="123"/>
      <c r="F52" s="170" t="s">
        <v>254</v>
      </c>
      <c r="G52" s="124">
        <f>+VLOOKUP(C52,'COSTO VARIABLE DE PRODUCCIÓN'!$C$4:$H$57,6,0)</f>
        <v>8.0168831667005707E-3</v>
      </c>
      <c r="H52" s="125"/>
      <c r="I52" s="126" t="str">
        <f>+VLOOKUP(C52,'EXISTENCIA DE COMBUSTIBLE'!$C$4:$K$95,9,0)</f>
        <v>MMBTU/KWh</v>
      </c>
    </row>
    <row r="53" spans="2:11" x14ac:dyDescent="0.3">
      <c r="B53" s="120" t="s">
        <v>52</v>
      </c>
      <c r="C53" s="121" t="s">
        <v>172</v>
      </c>
      <c r="D53" s="122" t="s">
        <v>173</v>
      </c>
      <c r="E53" s="123"/>
      <c r="F53" s="170" t="s">
        <v>254</v>
      </c>
      <c r="G53" s="124">
        <f>+VLOOKUP(C53,'COSTO VARIABLE DE PRODUCCIÓN'!$C$4:$H$57,6,0)</f>
        <v>4.4397425419409768E-2</v>
      </c>
      <c r="H53" s="125"/>
      <c r="I53" s="126" t="str">
        <f>+VLOOKUP(C53,'EXISTENCIA DE COMBUSTIBLE'!$C$4:$K$95,9,0)</f>
        <v>GALONES/KWh</v>
      </c>
    </row>
    <row r="54" spans="2:11" x14ac:dyDescent="0.3">
      <c r="B54" s="120" t="s">
        <v>52</v>
      </c>
      <c r="C54" s="121" t="s">
        <v>167</v>
      </c>
      <c r="D54" s="122" t="s">
        <v>168</v>
      </c>
      <c r="E54" s="123"/>
      <c r="F54" s="170" t="s">
        <v>254</v>
      </c>
      <c r="G54" s="124">
        <f>+VLOOKUP(C54,'COSTO VARIABLE DE PRODUCCIÓN'!$C$4:$H$57,6,0)</f>
        <v>8.0168831667005707E-3</v>
      </c>
      <c r="H54" s="125"/>
      <c r="I54" s="126" t="str">
        <f>+VLOOKUP(C54,'EXISTENCIA DE COMBUSTIBLE'!$C$4:$K$95,9,0)</f>
        <v>MMBTU/KWh</v>
      </c>
    </row>
    <row r="55" spans="2:11" x14ac:dyDescent="0.3">
      <c r="B55" s="172" t="s">
        <v>218</v>
      </c>
      <c r="C55" s="173" t="s">
        <v>239</v>
      </c>
      <c r="D55" s="174" t="s">
        <v>240</v>
      </c>
      <c r="E55" s="175"/>
      <c r="F55" s="170" t="s">
        <v>254</v>
      </c>
      <c r="G55" s="124">
        <f>+VLOOKUP(C55,'COSTO VARIABLE DE PRODUCCIÓN'!$C$4:$H$57,6,0)</f>
        <v>8.4419871879506704E-3</v>
      </c>
      <c r="H55" s="125"/>
      <c r="I55" s="126" t="str">
        <f>+VLOOKUP(C55,'EXISTENCIA DE COMBUSTIBLE'!$C$4:$K$95,9,0)</f>
        <v>MMBTU/KWh</v>
      </c>
    </row>
    <row r="56" spans="2:11" x14ac:dyDescent="0.3">
      <c r="B56" s="178" t="s">
        <v>218</v>
      </c>
      <c r="C56" s="179" t="s">
        <v>230</v>
      </c>
      <c r="D56" s="180" t="s">
        <v>231</v>
      </c>
      <c r="E56" s="123"/>
      <c r="F56" s="170" t="s">
        <v>254</v>
      </c>
      <c r="G56" s="124">
        <f>+VLOOKUP(C56,'COSTO VARIABLE DE PRODUCCIÓN'!$C$4:$H$57,6,0)</f>
        <v>1.1251392880147988E-2</v>
      </c>
      <c r="H56" s="125"/>
      <c r="I56" s="126" t="str">
        <f>+VLOOKUP(C56,'EXISTENCIA DE COMBUSTIBLE'!$C$4:$K$95,9,0)</f>
        <v>MMBTU/KWh</v>
      </c>
    </row>
    <row r="57" spans="2:11" x14ac:dyDescent="0.3">
      <c r="B57" s="131" t="s">
        <v>97</v>
      </c>
      <c r="C57" s="132" t="s">
        <v>157</v>
      </c>
      <c r="D57" s="133" t="s">
        <v>97</v>
      </c>
      <c r="E57" s="134"/>
      <c r="F57" s="171" t="s">
        <v>254</v>
      </c>
      <c r="G57" s="135">
        <f>+VLOOKUP(C57,'COSTO VARIABLE DE PRODUCCIÓN'!$C$4:$H$57,6,0)</f>
        <v>2.190475856237595E-3</v>
      </c>
      <c r="H57" s="125"/>
      <c r="I57" s="136" t="str">
        <f>+VLOOKUP(C57,'EXISTENCIA DE COMBUSTIBLE'!$C$4:$K$95,9,0)</f>
        <v>TONELADAS METRICAS/KWh</v>
      </c>
    </row>
    <row r="58" spans="2:11" x14ac:dyDescent="0.3">
      <c r="B58" s="104"/>
      <c r="C58" s="104"/>
      <c r="D58" s="105"/>
      <c r="E58" s="106"/>
      <c r="F58" s="107"/>
      <c r="G58" s="106"/>
      <c r="H58" s="108"/>
      <c r="I58" s="105"/>
      <c r="J58" s="81"/>
      <c r="K58" s="97"/>
    </row>
    <row r="59" spans="2:11" s="6" customFormat="1" ht="15" thickBot="1" x14ac:dyDescent="0.35">
      <c r="B59" s="7"/>
      <c r="C59" s="7"/>
      <c r="D59" s="8"/>
      <c r="E59" s="9"/>
      <c r="F59" s="10"/>
      <c r="G59" s="10"/>
      <c r="H59" s="11"/>
      <c r="I59" s="12"/>
    </row>
    <row r="60" spans="2:11" x14ac:dyDescent="0.3">
      <c r="B60" s="193" t="s">
        <v>93</v>
      </c>
      <c r="C60" s="194"/>
      <c r="D60" s="5"/>
      <c r="E60" s="1"/>
      <c r="F60" s="5"/>
      <c r="G60" s="5"/>
      <c r="H60" s="5"/>
      <c r="I60" s="5"/>
    </row>
    <row r="61" spans="2:11" ht="41.4" x14ac:dyDescent="0.3">
      <c r="B61" s="82"/>
      <c r="C61" s="13" t="s">
        <v>237</v>
      </c>
      <c r="D61" s="5"/>
      <c r="E61" s="1"/>
      <c r="F61" s="14"/>
      <c r="G61" s="14"/>
    </row>
    <row r="62" spans="2:11" ht="27.6" x14ac:dyDescent="0.3">
      <c r="B62" s="93"/>
      <c r="C62" s="13" t="s">
        <v>238</v>
      </c>
      <c r="D62" s="5"/>
      <c r="F62" s="15"/>
      <c r="G62" s="15"/>
    </row>
    <row r="63" spans="2:11" ht="16.2" thickBot="1" x14ac:dyDescent="0.35">
      <c r="B63" s="16"/>
      <c r="C63" s="17"/>
    </row>
    <row r="65" spans="2:9" ht="18.600000000000001" thickBot="1" x14ac:dyDescent="0.4">
      <c r="B65" s="18" t="s">
        <v>90</v>
      </c>
    </row>
    <row r="66" spans="2:9" ht="368.25" customHeight="1" thickTop="1" thickBot="1" x14ac:dyDescent="0.35">
      <c r="B66" s="189" t="s">
        <v>241</v>
      </c>
      <c r="C66" s="190"/>
      <c r="D66" s="190"/>
      <c r="E66" s="190"/>
      <c r="F66" s="190"/>
      <c r="G66" s="190"/>
      <c r="H66" s="190"/>
      <c r="I66" s="191"/>
    </row>
    <row r="67" spans="2:9" ht="16.2" thickTop="1" x14ac:dyDescent="0.3"/>
    <row r="68" spans="2:9" ht="18" x14ac:dyDescent="0.3">
      <c r="B68" s="19" t="s">
        <v>86</v>
      </c>
      <c r="C68" s="19" t="s">
        <v>71</v>
      </c>
      <c r="D68" s="19" t="s">
        <v>195</v>
      </c>
      <c r="E68" s="19" t="s">
        <v>72</v>
      </c>
    </row>
    <row r="69" spans="2:9" ht="16.2" thickBot="1" x14ac:dyDescent="0.35">
      <c r="B69" s="96" t="s">
        <v>88</v>
      </c>
      <c r="C69" s="20" t="s">
        <v>79</v>
      </c>
      <c r="D69" s="20" t="s">
        <v>80</v>
      </c>
      <c r="E69" s="21" t="s">
        <v>81</v>
      </c>
    </row>
  </sheetData>
  <mergeCells count="4">
    <mergeCell ref="B66:I66"/>
    <mergeCell ref="B2:I2"/>
    <mergeCell ref="B60:C60"/>
    <mergeCell ref="B1:I1"/>
  </mergeCells>
  <conditionalFormatting sqref="B4:G6 B7:E10 G7:G13 F9:G10 B11:G56 F4:F20">
    <cfRule type="expression" dxfId="14" priority="58">
      <formula>OR($F4="AUN NO DECLARADO",$F4="EN REVISIÓN")</formula>
    </cfRule>
  </conditionalFormatting>
  <conditionalFormatting sqref="E4:E57 G4:G57">
    <cfRule type="expression" dxfId="13" priority="56">
      <formula>AND($E4&lt;&gt;0,$E4&lt;&gt;$G4)</formula>
    </cfRule>
  </conditionalFormatting>
  <conditionalFormatting sqref="F4:F58">
    <cfRule type="cellIs" dxfId="12" priority="559" operator="equal">
      <formula>"NO APROBADO"</formula>
    </cfRule>
    <cfRule type="cellIs" dxfId="11" priority="560" operator="equal">
      <formula>"VERIFICADO CON COMENTARIOS"</formula>
    </cfRule>
    <cfRule type="cellIs" dxfId="10" priority="561" operator="equal">
      <formula>"APROBADO CON COMENTARIOS"</formula>
    </cfRule>
    <cfRule type="cellIs" dxfId="9" priority="562" operator="equal">
      <formula>"NO DECLARADO"</formula>
    </cfRule>
    <cfRule type="cellIs" dxfId="8" priority="563" operator="equal">
      <formula>"APROBADO"</formula>
    </cfRule>
  </conditionalFormatting>
  <conditionalFormatting sqref="H4:I57 B57:G57">
    <cfRule type="expression" dxfId="7" priority="1">
      <formula>OR($F4="AUN NO DECLARADO",$F4="EN REVISIÓN")</formula>
    </cfRule>
  </conditionalFormatting>
  <pageMargins left="0.42" right="0.21" top="0.38" bottom="0.28000000000000003" header="0" footer="0"/>
  <pageSetup fitToHeight="0"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V64"/>
  <sheetViews>
    <sheetView showGridLines="0" zoomScale="55" zoomScaleNormal="55" workbookViewId="0">
      <pane xSplit="1" ySplit="3" topLeftCell="B4" activePane="bottomRight" state="frozen"/>
      <selection pane="topRight" activeCell="B1" sqref="B1"/>
      <selection pane="bottomLeft" activeCell="A4" sqref="A4"/>
      <selection pane="bottomRight" activeCell="F57" sqref="F57"/>
    </sheetView>
  </sheetViews>
  <sheetFormatPr defaultRowHeight="14.4" x14ac:dyDescent="0.3"/>
  <cols>
    <col min="1" max="1" width="3.5546875" customWidth="1"/>
    <col min="2" max="2" width="50.44140625" customWidth="1"/>
    <col min="3" max="3" width="17.5546875" customWidth="1"/>
    <col min="4" max="4" width="48.109375" bestFit="1" customWidth="1"/>
    <col min="5" max="5" width="28.109375" bestFit="1" customWidth="1"/>
    <col min="6" max="6" width="25.109375" customWidth="1"/>
    <col min="7" max="7" width="26.5546875" bestFit="1" customWidth="1"/>
    <col min="8" max="8" width="132.44140625" customWidth="1"/>
    <col min="22" max="22" width="9.109375" hidden="1" customWidth="1"/>
  </cols>
  <sheetData>
    <row r="1" spans="2:22" ht="109.5" customHeight="1" thickBot="1" x14ac:dyDescent="0.65">
      <c r="B1" s="195" t="s">
        <v>130</v>
      </c>
      <c r="C1" s="195"/>
      <c r="D1" s="195"/>
      <c r="E1" s="195"/>
      <c r="F1" s="195"/>
      <c r="G1" s="195"/>
      <c r="H1" s="195"/>
      <c r="I1" s="51"/>
      <c r="J1" s="51"/>
      <c r="K1" s="51"/>
      <c r="L1" s="51"/>
      <c r="M1" s="51"/>
      <c r="N1" s="51"/>
      <c r="O1" s="51"/>
      <c r="P1" s="51"/>
      <c r="Q1" s="51"/>
    </row>
    <row r="2" spans="2:22" ht="45" customHeight="1" thickTop="1" x14ac:dyDescent="0.3">
      <c r="B2" s="196" t="str">
        <f ca="1">"DECLARACIÓN CVP " &amp;ETIQUETA!O21</f>
        <v>DECLARACIÓN CVP CVP_06-06_12-06-26</v>
      </c>
      <c r="C2" s="196"/>
      <c r="D2" s="196"/>
      <c r="E2" s="196"/>
      <c r="F2" s="196"/>
      <c r="G2" s="196"/>
      <c r="H2" s="196"/>
    </row>
    <row r="3" spans="2:22" ht="48.75" customHeight="1" x14ac:dyDescent="0.3">
      <c r="B3" s="19" t="s">
        <v>101</v>
      </c>
      <c r="C3" s="19" t="s">
        <v>103</v>
      </c>
      <c r="D3" s="19" t="s">
        <v>104</v>
      </c>
      <c r="E3" s="19" t="s">
        <v>105</v>
      </c>
      <c r="F3" s="145" t="s">
        <v>233</v>
      </c>
      <c r="G3" s="145" t="s">
        <v>234</v>
      </c>
      <c r="H3" s="19" t="s">
        <v>232</v>
      </c>
    </row>
    <row r="4" spans="2:22" x14ac:dyDescent="0.3">
      <c r="B4" s="43" t="s">
        <v>1</v>
      </c>
      <c r="C4" s="43" t="s">
        <v>212</v>
      </c>
      <c r="D4" s="43" t="s">
        <v>213</v>
      </c>
      <c r="E4" s="47">
        <v>79.831220694712385</v>
      </c>
      <c r="F4" s="47" t="s">
        <v>235</v>
      </c>
      <c r="G4" s="47">
        <v>79.831220694712385</v>
      </c>
      <c r="H4" s="181"/>
      <c r="I4" s="130"/>
    </row>
    <row r="5" spans="2:22" x14ac:dyDescent="0.3">
      <c r="B5" s="119" t="s">
        <v>1</v>
      </c>
      <c r="C5" s="119" t="s">
        <v>214</v>
      </c>
      <c r="D5" s="119" t="s">
        <v>215</v>
      </c>
      <c r="E5" s="47">
        <v>214.75910860647178</v>
      </c>
      <c r="F5" s="47" t="s">
        <v>235</v>
      </c>
      <c r="G5" s="47">
        <v>214.75910860647178</v>
      </c>
      <c r="H5" s="144"/>
      <c r="I5" s="130"/>
    </row>
    <row r="6" spans="2:22" x14ac:dyDescent="0.3">
      <c r="B6" s="44" t="s">
        <v>3</v>
      </c>
      <c r="C6" s="44" t="s">
        <v>4</v>
      </c>
      <c r="D6" s="44" t="s">
        <v>3</v>
      </c>
      <c r="E6" s="47">
        <v>158.12971946469727</v>
      </c>
      <c r="F6" s="47" t="s">
        <v>235</v>
      </c>
      <c r="G6" s="47">
        <v>158.12971946469727</v>
      </c>
      <c r="H6" s="181"/>
      <c r="I6" s="130"/>
      <c r="V6" t="s">
        <v>2</v>
      </c>
    </row>
    <row r="7" spans="2:22" ht="122.4" customHeight="1" x14ac:dyDescent="0.3">
      <c r="B7" s="46" t="s">
        <v>100</v>
      </c>
      <c r="C7" s="46" t="s">
        <v>180</v>
      </c>
      <c r="D7" s="46" t="s">
        <v>181</v>
      </c>
      <c r="E7" s="47">
        <v>298.64745329265043</v>
      </c>
      <c r="F7" s="47" t="s">
        <v>251</v>
      </c>
      <c r="G7" s="47">
        <v>298.64745329265043</v>
      </c>
      <c r="H7" s="144" t="s">
        <v>256</v>
      </c>
      <c r="I7" s="130"/>
    </row>
    <row r="8" spans="2:22" ht="115.2" x14ac:dyDescent="0.3">
      <c r="B8" s="46" t="s">
        <v>100</v>
      </c>
      <c r="C8" s="46" t="s">
        <v>242</v>
      </c>
      <c r="D8" s="46" t="s">
        <v>243</v>
      </c>
      <c r="E8" s="47">
        <v>172.83300716564693</v>
      </c>
      <c r="F8" s="47" t="s">
        <v>251</v>
      </c>
      <c r="G8" s="47">
        <v>172.83300716564693</v>
      </c>
      <c r="H8" s="144" t="s">
        <v>256</v>
      </c>
      <c r="I8" s="130"/>
    </row>
    <row r="9" spans="2:22" x14ac:dyDescent="0.3">
      <c r="B9" s="46" t="s">
        <v>100</v>
      </c>
      <c r="C9" s="46" t="s">
        <v>190</v>
      </c>
      <c r="D9" s="46" t="s">
        <v>191</v>
      </c>
      <c r="E9" s="47">
        <v>57.820173823593642</v>
      </c>
      <c r="F9" s="47" t="s">
        <v>235</v>
      </c>
      <c r="G9" s="47">
        <v>57.820173823593642</v>
      </c>
      <c r="H9" s="181"/>
      <c r="I9" s="130"/>
    </row>
    <row r="10" spans="2:22" ht="115.2" x14ac:dyDescent="0.3">
      <c r="B10" s="46" t="s">
        <v>100</v>
      </c>
      <c r="C10" s="46" t="s">
        <v>178</v>
      </c>
      <c r="D10" s="46" t="s">
        <v>179</v>
      </c>
      <c r="E10" s="47">
        <v>220.12904381493479</v>
      </c>
      <c r="F10" s="47" t="s">
        <v>251</v>
      </c>
      <c r="G10" s="47">
        <v>220.12904381493479</v>
      </c>
      <c r="H10" s="144" t="s">
        <v>256</v>
      </c>
      <c r="I10" s="130"/>
    </row>
    <row r="11" spans="2:22" x14ac:dyDescent="0.3">
      <c r="B11" s="46" t="s">
        <v>100</v>
      </c>
      <c r="C11" s="46" t="s">
        <v>244</v>
      </c>
      <c r="D11" s="46" t="s">
        <v>245</v>
      </c>
      <c r="E11" s="47">
        <v>77.47531044327188</v>
      </c>
      <c r="F11" s="47" t="s">
        <v>235</v>
      </c>
      <c r="G11" s="47">
        <v>77.47531044327188</v>
      </c>
      <c r="H11" s="181"/>
      <c r="I11" s="130"/>
    </row>
    <row r="12" spans="2:22" x14ac:dyDescent="0.3">
      <c r="B12" s="46" t="s">
        <v>100</v>
      </c>
      <c r="C12" s="46" t="s">
        <v>188</v>
      </c>
      <c r="D12" s="46" t="s">
        <v>189</v>
      </c>
      <c r="E12" s="47">
        <v>58.327082386803411</v>
      </c>
      <c r="F12" s="47" t="s">
        <v>235</v>
      </c>
      <c r="G12" s="47">
        <v>58.327082386803411</v>
      </c>
      <c r="H12" s="181"/>
      <c r="I12" s="130"/>
    </row>
    <row r="13" spans="2:22" ht="115.2" x14ac:dyDescent="0.3">
      <c r="B13" s="46" t="s">
        <v>100</v>
      </c>
      <c r="C13" s="46" t="s">
        <v>182</v>
      </c>
      <c r="D13" s="46" t="s">
        <v>183</v>
      </c>
      <c r="E13" s="47">
        <v>198.87701768028299</v>
      </c>
      <c r="F13" s="47" t="s">
        <v>251</v>
      </c>
      <c r="G13" s="47">
        <v>198.87701768028299</v>
      </c>
      <c r="H13" s="144" t="s">
        <v>256</v>
      </c>
      <c r="I13" s="130"/>
    </row>
    <row r="14" spans="2:22" x14ac:dyDescent="0.3">
      <c r="B14" s="46" t="s">
        <v>100</v>
      </c>
      <c r="C14" s="46" t="s">
        <v>192</v>
      </c>
      <c r="D14" s="46" t="s">
        <v>193</v>
      </c>
      <c r="E14" s="47">
        <v>58.224402889017576</v>
      </c>
      <c r="F14" s="47" t="s">
        <v>235</v>
      </c>
      <c r="G14" s="47">
        <v>58.224402889017576</v>
      </c>
      <c r="H14" s="181"/>
      <c r="I14" s="130"/>
      <c r="J14" s="143"/>
    </row>
    <row r="15" spans="2:22" ht="80.400000000000006" customHeight="1" x14ac:dyDescent="0.3">
      <c r="B15" s="44" t="s">
        <v>5</v>
      </c>
      <c r="C15" s="44" t="s">
        <v>6</v>
      </c>
      <c r="D15" s="44" t="s">
        <v>5</v>
      </c>
      <c r="E15" s="47"/>
      <c r="F15" s="47" t="s">
        <v>251</v>
      </c>
      <c r="G15" s="47">
        <v>6177.6366894135426</v>
      </c>
      <c r="H15" s="183" t="s">
        <v>250</v>
      </c>
      <c r="I15" s="130"/>
    </row>
    <row r="16" spans="2:22" s="92" customFormat="1" x14ac:dyDescent="0.3">
      <c r="B16" s="46" t="s">
        <v>228</v>
      </c>
      <c r="C16" s="46" t="s">
        <v>132</v>
      </c>
      <c r="D16" s="46" t="s">
        <v>133</v>
      </c>
      <c r="E16" s="47">
        <v>9467.5585024668162</v>
      </c>
      <c r="F16" s="47" t="s">
        <v>235</v>
      </c>
      <c r="G16" s="47">
        <v>9467.5585024668162</v>
      </c>
      <c r="H16" s="181"/>
      <c r="I16" s="130"/>
    </row>
    <row r="17" spans="2:9" s="92" customFormat="1" x14ac:dyDescent="0.3">
      <c r="B17" s="44" t="s">
        <v>7</v>
      </c>
      <c r="C17" s="44" t="s">
        <v>153</v>
      </c>
      <c r="D17" s="44" t="s">
        <v>96</v>
      </c>
      <c r="E17" s="47">
        <v>142.80854574168268</v>
      </c>
      <c r="F17" s="47" t="s">
        <v>235</v>
      </c>
      <c r="G17" s="47">
        <v>142.80854574168268</v>
      </c>
      <c r="H17" s="181"/>
      <c r="I17" s="130"/>
    </row>
    <row r="18" spans="2:9" x14ac:dyDescent="0.3">
      <c r="B18" s="44" t="s">
        <v>7</v>
      </c>
      <c r="C18" s="44" t="s">
        <v>154</v>
      </c>
      <c r="D18" s="44" t="s">
        <v>95</v>
      </c>
      <c r="E18" s="47">
        <v>144.65441120253914</v>
      </c>
      <c r="F18" s="47" t="s">
        <v>235</v>
      </c>
      <c r="G18" s="47">
        <v>144.65441120253914</v>
      </c>
      <c r="H18" s="181"/>
      <c r="I18" s="130"/>
    </row>
    <row r="19" spans="2:9" x14ac:dyDescent="0.3">
      <c r="B19" s="44" t="s">
        <v>7</v>
      </c>
      <c r="C19" s="44" t="s">
        <v>10</v>
      </c>
      <c r="D19" s="44" t="s">
        <v>11</v>
      </c>
      <c r="E19" s="47">
        <v>199.67203054547622</v>
      </c>
      <c r="F19" s="47" t="s">
        <v>235</v>
      </c>
      <c r="G19" s="47">
        <v>199.67203054547622</v>
      </c>
      <c r="H19" s="181"/>
      <c r="I19" s="130"/>
    </row>
    <row r="20" spans="2:9" x14ac:dyDescent="0.3">
      <c r="B20" s="44" t="s">
        <v>7</v>
      </c>
      <c r="C20" s="44" t="s">
        <v>8</v>
      </c>
      <c r="D20" s="44" t="s">
        <v>9</v>
      </c>
      <c r="E20" s="47">
        <v>198.37388433777861</v>
      </c>
      <c r="F20" s="47" t="s">
        <v>235</v>
      </c>
      <c r="G20" s="47">
        <v>198.37388433777861</v>
      </c>
      <c r="H20" s="181"/>
      <c r="I20" s="130"/>
    </row>
    <row r="21" spans="2:9" x14ac:dyDescent="0.3">
      <c r="B21" s="46" t="s">
        <v>246</v>
      </c>
      <c r="C21" s="46" t="s">
        <v>247</v>
      </c>
      <c r="D21" s="46" t="s">
        <v>248</v>
      </c>
      <c r="E21" s="47">
        <v>180.49249442747231</v>
      </c>
      <c r="F21" s="47" t="s">
        <v>235</v>
      </c>
      <c r="G21" s="47">
        <v>180.49249442747231</v>
      </c>
      <c r="H21" s="183"/>
      <c r="I21" s="130"/>
    </row>
    <row r="22" spans="2:9" ht="115.2" x14ac:dyDescent="0.3">
      <c r="B22" s="46" t="s">
        <v>12</v>
      </c>
      <c r="C22" s="46" t="s">
        <v>176</v>
      </c>
      <c r="D22" s="46" t="s">
        <v>177</v>
      </c>
      <c r="E22" s="47">
        <v>58.932204768433706</v>
      </c>
      <c r="F22" s="47" t="s">
        <v>251</v>
      </c>
      <c r="G22" s="47">
        <v>58.932204768433706</v>
      </c>
      <c r="H22" s="144" t="s">
        <v>258</v>
      </c>
      <c r="I22" s="130"/>
    </row>
    <row r="23" spans="2:9" x14ac:dyDescent="0.3">
      <c r="B23" s="46" t="s">
        <v>12</v>
      </c>
      <c r="C23" s="46" t="s">
        <v>155</v>
      </c>
      <c r="D23" s="46" t="s">
        <v>216</v>
      </c>
      <c r="E23" s="47">
        <v>64.985524726806545</v>
      </c>
      <c r="F23" s="47" t="s">
        <v>235</v>
      </c>
      <c r="G23" s="47">
        <v>64.985524726806545</v>
      </c>
      <c r="H23" s="181"/>
      <c r="I23" s="130"/>
    </row>
    <row r="24" spans="2:9" x14ac:dyDescent="0.3">
      <c r="B24" s="44" t="s">
        <v>12</v>
      </c>
      <c r="C24" s="44" t="s">
        <v>156</v>
      </c>
      <c r="D24" s="44" t="s">
        <v>13</v>
      </c>
      <c r="E24" s="47">
        <v>217.69797297887615</v>
      </c>
      <c r="F24" s="47" t="s">
        <v>235</v>
      </c>
      <c r="G24" s="47">
        <v>217.69797297887615</v>
      </c>
      <c r="H24" s="144"/>
      <c r="I24" s="130"/>
    </row>
    <row r="25" spans="2:9" x14ac:dyDescent="0.3">
      <c r="B25" s="44" t="s">
        <v>12</v>
      </c>
      <c r="C25" s="44" t="s">
        <v>14</v>
      </c>
      <c r="D25" s="44" t="s">
        <v>15</v>
      </c>
      <c r="E25" s="47">
        <v>127.9594517123857</v>
      </c>
      <c r="F25" s="47" t="s">
        <v>235</v>
      </c>
      <c r="G25" s="47">
        <v>127.9594517123857</v>
      </c>
      <c r="H25" s="181"/>
      <c r="I25" s="130"/>
    </row>
    <row r="26" spans="2:9" x14ac:dyDescent="0.3">
      <c r="B26" s="46" t="s">
        <v>12</v>
      </c>
      <c r="C26" s="46" t="s">
        <v>174</v>
      </c>
      <c r="D26" s="46" t="s">
        <v>175</v>
      </c>
      <c r="E26" s="47">
        <v>117.71908112810517</v>
      </c>
      <c r="F26" s="47" t="s">
        <v>235</v>
      </c>
      <c r="G26" s="47">
        <v>117.71908112810517</v>
      </c>
      <c r="H26" s="181"/>
      <c r="I26" s="130"/>
    </row>
    <row r="27" spans="2:9" ht="94.8" customHeight="1" x14ac:dyDescent="0.3">
      <c r="B27" s="44" t="s">
        <v>16</v>
      </c>
      <c r="C27" s="44" t="s">
        <v>21</v>
      </c>
      <c r="D27" s="44" t="s">
        <v>22</v>
      </c>
      <c r="E27" s="47"/>
      <c r="F27" s="47" t="s">
        <v>251</v>
      </c>
      <c r="G27" s="47">
        <v>14229.867674858222</v>
      </c>
      <c r="H27" s="183" t="s">
        <v>249</v>
      </c>
      <c r="I27" s="130"/>
    </row>
    <row r="28" spans="2:9" ht="115.2" x14ac:dyDescent="0.3">
      <c r="B28" s="44" t="s">
        <v>16</v>
      </c>
      <c r="C28" s="44" t="s">
        <v>17</v>
      </c>
      <c r="D28" s="44" t="s">
        <v>18</v>
      </c>
      <c r="E28" s="47">
        <v>58.144845335641158</v>
      </c>
      <c r="F28" s="47" t="s">
        <v>251</v>
      </c>
      <c r="G28" s="47">
        <v>58.144845335641158</v>
      </c>
      <c r="H28" s="144" t="s">
        <v>253</v>
      </c>
      <c r="I28" s="130"/>
    </row>
    <row r="29" spans="2:9" ht="123" customHeight="1" x14ac:dyDescent="0.3">
      <c r="B29" s="44" t="s">
        <v>16</v>
      </c>
      <c r="C29" s="44" t="s">
        <v>19</v>
      </c>
      <c r="D29" s="44" t="s">
        <v>20</v>
      </c>
      <c r="E29" s="47">
        <v>54.937400486796101</v>
      </c>
      <c r="F29" s="47" t="s">
        <v>251</v>
      </c>
      <c r="G29" s="47">
        <v>54.937400486796101</v>
      </c>
      <c r="H29" s="144" t="s">
        <v>253</v>
      </c>
      <c r="I29" s="130"/>
    </row>
    <row r="30" spans="2:9" x14ac:dyDescent="0.3">
      <c r="B30" s="44" t="s">
        <v>224</v>
      </c>
      <c r="C30" s="44" t="s">
        <v>186</v>
      </c>
      <c r="D30" s="44" t="s">
        <v>187</v>
      </c>
      <c r="E30" s="47">
        <v>31.353594173504682</v>
      </c>
      <c r="F30" s="47" t="s">
        <v>235</v>
      </c>
      <c r="G30" s="47">
        <v>31.353594173504682</v>
      </c>
      <c r="H30" s="181"/>
      <c r="I30" s="130"/>
    </row>
    <row r="31" spans="2:9" x14ac:dyDescent="0.3">
      <c r="B31" s="44" t="s">
        <v>224</v>
      </c>
      <c r="C31" s="44" t="s">
        <v>184</v>
      </c>
      <c r="D31" s="44" t="s">
        <v>185</v>
      </c>
      <c r="E31" s="47">
        <v>32.100812475355369</v>
      </c>
      <c r="F31" s="47" t="s">
        <v>235</v>
      </c>
      <c r="G31" s="47">
        <v>32.100812475355369</v>
      </c>
      <c r="H31" s="181"/>
      <c r="I31" s="130"/>
    </row>
    <row r="32" spans="2:9" ht="100.2" customHeight="1" x14ac:dyDescent="0.3">
      <c r="B32" s="44" t="s">
        <v>23</v>
      </c>
      <c r="C32" s="44" t="s">
        <v>210</v>
      </c>
      <c r="D32" s="44" t="s">
        <v>211</v>
      </c>
      <c r="E32" s="47"/>
      <c r="F32" s="47" t="s">
        <v>251</v>
      </c>
      <c r="G32" s="47">
        <f>'COSTO VARIABLE DE PRODUCCIÓN'!K38/'COSTO VARIABLE DE PRODUCCIÓN'!M38</f>
        <v>91.109118455312441</v>
      </c>
      <c r="H32" s="183" t="s">
        <v>257</v>
      </c>
      <c r="I32" s="130"/>
    </row>
    <row r="33" spans="2:9" ht="101.4" customHeight="1" x14ac:dyDescent="0.3">
      <c r="B33" s="44" t="s">
        <v>23</v>
      </c>
      <c r="C33" s="44" t="s">
        <v>26</v>
      </c>
      <c r="D33" s="44" t="s">
        <v>27</v>
      </c>
      <c r="E33" s="47"/>
      <c r="F33" s="47" t="s">
        <v>251</v>
      </c>
      <c r="G33" s="47">
        <v>93.631351620562242</v>
      </c>
      <c r="H33" s="183" t="s">
        <v>257</v>
      </c>
      <c r="I33" s="130"/>
    </row>
    <row r="34" spans="2:9" ht="103.8" customHeight="1" x14ac:dyDescent="0.3">
      <c r="B34" s="44" t="s">
        <v>23</v>
      </c>
      <c r="C34" s="44" t="s">
        <v>30</v>
      </c>
      <c r="D34" s="44" t="s">
        <v>31</v>
      </c>
      <c r="E34" s="47"/>
      <c r="F34" s="47" t="s">
        <v>251</v>
      </c>
      <c r="G34" s="47">
        <v>98.400047130123198</v>
      </c>
      <c r="H34" s="183" t="s">
        <v>257</v>
      </c>
      <c r="I34" s="130"/>
    </row>
    <row r="35" spans="2:9" ht="93" customHeight="1" x14ac:dyDescent="0.3">
      <c r="B35" s="44" t="s">
        <v>23</v>
      </c>
      <c r="C35" s="44" t="s">
        <v>24</v>
      </c>
      <c r="D35" s="44" t="s">
        <v>25</v>
      </c>
      <c r="E35" s="47"/>
      <c r="F35" s="47" t="s">
        <v>251</v>
      </c>
      <c r="G35" s="47">
        <v>126.53299454027733</v>
      </c>
      <c r="H35" s="183" t="s">
        <v>249</v>
      </c>
      <c r="I35" s="130"/>
    </row>
    <row r="36" spans="2:9" ht="89.4" customHeight="1" x14ac:dyDescent="0.3">
      <c r="B36" s="44" t="s">
        <v>23</v>
      </c>
      <c r="C36" s="44" t="s">
        <v>28</v>
      </c>
      <c r="D36" s="44" t="s">
        <v>29</v>
      </c>
      <c r="E36" s="47"/>
      <c r="F36" s="47" t="s">
        <v>251</v>
      </c>
      <c r="G36" s="47">
        <v>133.20184362542759</v>
      </c>
      <c r="H36" s="183" t="s">
        <v>249</v>
      </c>
      <c r="I36" s="130"/>
    </row>
    <row r="37" spans="2:9" ht="106.2" customHeight="1" x14ac:dyDescent="0.3">
      <c r="B37" s="50" t="s">
        <v>23</v>
      </c>
      <c r="C37" s="50" t="s">
        <v>208</v>
      </c>
      <c r="D37" s="50" t="s">
        <v>209</v>
      </c>
      <c r="E37" s="47"/>
      <c r="F37" s="47" t="s">
        <v>251</v>
      </c>
      <c r="G37" s="47">
        <f>'COSTO VARIABLE DE PRODUCCIÓN'!K37/'COSTO VARIABLE DE PRODUCCIÓN'!M37</f>
        <v>61.603102575471638</v>
      </c>
      <c r="H37" s="183" t="s">
        <v>257</v>
      </c>
      <c r="I37" s="130"/>
    </row>
    <row r="38" spans="2:9" ht="118.2" customHeight="1" x14ac:dyDescent="0.3">
      <c r="B38" s="44" t="s">
        <v>23</v>
      </c>
      <c r="C38" s="44" t="s">
        <v>206</v>
      </c>
      <c r="D38" s="44" t="s">
        <v>207</v>
      </c>
      <c r="E38" s="47"/>
      <c r="F38" s="47" t="s">
        <v>251</v>
      </c>
      <c r="G38" s="47">
        <f>'COSTO VARIABLE DE PRODUCCIÓN'!K33/'COSTO VARIABLE DE PRODUCCIÓN'!M33</f>
        <v>62.453416940504205</v>
      </c>
      <c r="H38" s="183" t="s">
        <v>257</v>
      </c>
      <c r="I38" s="130"/>
    </row>
    <row r="39" spans="2:9" x14ac:dyDescent="0.3">
      <c r="B39" s="48" t="s">
        <v>32</v>
      </c>
      <c r="C39" s="48" t="s">
        <v>35</v>
      </c>
      <c r="D39" s="48" t="s">
        <v>36</v>
      </c>
      <c r="E39" s="47">
        <v>147.48279332264303</v>
      </c>
      <c r="F39" s="47" t="s">
        <v>235</v>
      </c>
      <c r="G39" s="47">
        <v>147.48279332264303</v>
      </c>
      <c r="H39" s="144"/>
      <c r="I39" s="130"/>
    </row>
    <row r="40" spans="2:9" x14ac:dyDescent="0.3">
      <c r="B40" s="48" t="s">
        <v>32</v>
      </c>
      <c r="C40" s="48" t="s">
        <v>33</v>
      </c>
      <c r="D40" s="48" t="s">
        <v>34</v>
      </c>
      <c r="E40" s="47">
        <v>151.48469712582298</v>
      </c>
      <c r="F40" s="47" t="s">
        <v>235</v>
      </c>
      <c r="G40" s="47">
        <v>151.48469712582298</v>
      </c>
      <c r="H40" s="144"/>
      <c r="I40" s="130"/>
    </row>
    <row r="41" spans="2:9" x14ac:dyDescent="0.3">
      <c r="B41" s="48" t="s">
        <v>219</v>
      </c>
      <c r="C41" s="48" t="s">
        <v>220</v>
      </c>
      <c r="D41" s="48" t="s">
        <v>221</v>
      </c>
      <c r="E41" s="47">
        <v>138.43702806525809</v>
      </c>
      <c r="F41" s="47" t="s">
        <v>235</v>
      </c>
      <c r="G41" s="47">
        <v>138.43702806525809</v>
      </c>
      <c r="H41" s="144"/>
      <c r="I41" s="130"/>
    </row>
    <row r="42" spans="2:9" x14ac:dyDescent="0.3">
      <c r="B42" s="48" t="s">
        <v>219</v>
      </c>
      <c r="C42" s="48" t="s">
        <v>222</v>
      </c>
      <c r="D42" s="48" t="s">
        <v>223</v>
      </c>
      <c r="E42" s="47">
        <v>137.55859750281789</v>
      </c>
      <c r="F42" s="47" t="s">
        <v>235</v>
      </c>
      <c r="G42" s="47">
        <v>137.55859750281789</v>
      </c>
      <c r="H42" s="144"/>
      <c r="I42" s="130"/>
    </row>
    <row r="43" spans="2:9" x14ac:dyDescent="0.3">
      <c r="B43" s="48" t="s">
        <v>37</v>
      </c>
      <c r="C43" s="48" t="s">
        <v>42</v>
      </c>
      <c r="D43" s="48" t="s">
        <v>43</v>
      </c>
      <c r="E43" s="47">
        <v>145.42448174232482</v>
      </c>
      <c r="F43" s="47" t="s">
        <v>235</v>
      </c>
      <c r="G43" s="47">
        <v>145.42448174232482</v>
      </c>
      <c r="H43" s="144"/>
      <c r="I43" s="130"/>
    </row>
    <row r="44" spans="2:9" x14ac:dyDescent="0.3">
      <c r="B44" s="48" t="s">
        <v>37</v>
      </c>
      <c r="C44" s="48" t="s">
        <v>226</v>
      </c>
      <c r="D44" s="48" t="s">
        <v>227</v>
      </c>
      <c r="E44" s="47">
        <v>146.14947861651166</v>
      </c>
      <c r="F44" s="47" t="s">
        <v>235</v>
      </c>
      <c r="G44" s="47">
        <v>146.14947861651166</v>
      </c>
      <c r="H44" s="144"/>
      <c r="I44" s="130"/>
    </row>
    <row r="45" spans="2:9" x14ac:dyDescent="0.3">
      <c r="B45" s="48" t="s">
        <v>37</v>
      </c>
      <c r="C45" s="48" t="s">
        <v>38</v>
      </c>
      <c r="D45" s="48" t="s">
        <v>39</v>
      </c>
      <c r="E45" s="47">
        <v>152.82777670456045</v>
      </c>
      <c r="F45" s="47" t="s">
        <v>235</v>
      </c>
      <c r="G45" s="47">
        <v>152.82777670456045</v>
      </c>
      <c r="H45" s="144"/>
      <c r="I45" s="130"/>
    </row>
    <row r="46" spans="2:9" x14ac:dyDescent="0.3">
      <c r="B46" s="48" t="s">
        <v>37</v>
      </c>
      <c r="C46" s="48" t="s">
        <v>40</v>
      </c>
      <c r="D46" s="48" t="s">
        <v>41</v>
      </c>
      <c r="E46" s="47">
        <v>154.55274972060917</v>
      </c>
      <c r="F46" s="47" t="s">
        <v>235</v>
      </c>
      <c r="G46" s="47">
        <v>154.55274972060917</v>
      </c>
      <c r="H46" s="144"/>
      <c r="I46" s="130"/>
    </row>
    <row r="47" spans="2:9" ht="130.19999999999999" customHeight="1" x14ac:dyDescent="0.3">
      <c r="B47" s="48" t="s">
        <v>92</v>
      </c>
      <c r="C47" s="48" t="s">
        <v>53</v>
      </c>
      <c r="D47" s="48" t="s">
        <v>217</v>
      </c>
      <c r="E47" s="47">
        <v>160.38303534807744</v>
      </c>
      <c r="F47" s="47" t="s">
        <v>251</v>
      </c>
      <c r="G47" s="47">
        <v>160.38303534807744</v>
      </c>
      <c r="H47" s="144" t="s">
        <v>259</v>
      </c>
      <c r="I47" s="130"/>
    </row>
    <row r="48" spans="2:9" x14ac:dyDescent="0.3">
      <c r="B48" s="48" t="s">
        <v>44</v>
      </c>
      <c r="C48" s="48" t="s">
        <v>45</v>
      </c>
      <c r="D48" s="48" t="s">
        <v>46</v>
      </c>
      <c r="E48" s="47">
        <v>146.83273549851822</v>
      </c>
      <c r="F48" s="47" t="s">
        <v>235</v>
      </c>
      <c r="G48" s="47">
        <v>146.83273549851822</v>
      </c>
      <c r="H48" s="181"/>
      <c r="I48" s="130"/>
    </row>
    <row r="49" spans="2:9" x14ac:dyDescent="0.3">
      <c r="B49" s="48" t="s">
        <v>44</v>
      </c>
      <c r="C49" s="48" t="s">
        <v>47</v>
      </c>
      <c r="D49" s="48" t="s">
        <v>48</v>
      </c>
      <c r="E49" s="47">
        <v>131.60516497611019</v>
      </c>
      <c r="F49" s="47" t="s">
        <v>235</v>
      </c>
      <c r="G49" s="47">
        <v>131.60516497611019</v>
      </c>
      <c r="H49" s="181"/>
      <c r="I49" s="130"/>
    </row>
    <row r="50" spans="2:9" ht="72.599999999999994" customHeight="1" x14ac:dyDescent="0.3">
      <c r="B50" s="48" t="s">
        <v>49</v>
      </c>
      <c r="C50" s="48" t="s">
        <v>50</v>
      </c>
      <c r="D50" s="48" t="s">
        <v>51</v>
      </c>
      <c r="E50" s="47"/>
      <c r="F50" s="47" t="s">
        <v>251</v>
      </c>
      <c r="G50" s="47">
        <v>165.42767495943744</v>
      </c>
      <c r="H50" s="183" t="s">
        <v>252</v>
      </c>
      <c r="I50" s="130"/>
    </row>
    <row r="51" spans="2:9" ht="118.2" customHeight="1" x14ac:dyDescent="0.3">
      <c r="B51" s="48" t="s">
        <v>52</v>
      </c>
      <c r="C51" s="48" t="s">
        <v>165</v>
      </c>
      <c r="D51" s="48" t="s">
        <v>166</v>
      </c>
      <c r="E51" s="47"/>
      <c r="F51" s="47" t="s">
        <v>251</v>
      </c>
      <c r="G51" s="47">
        <v>67.452999766699818</v>
      </c>
      <c r="H51" s="183" t="s">
        <v>257</v>
      </c>
      <c r="I51" s="130"/>
    </row>
    <row r="52" spans="2:9" ht="101.4" customHeight="1" x14ac:dyDescent="0.3">
      <c r="B52" s="48" t="s">
        <v>52</v>
      </c>
      <c r="C52" s="48" t="s">
        <v>172</v>
      </c>
      <c r="D52" s="48" t="s">
        <v>173</v>
      </c>
      <c r="E52" s="47"/>
      <c r="F52" s="47" t="s">
        <v>251</v>
      </c>
      <c r="G52" s="47">
        <v>111.90793963179455</v>
      </c>
      <c r="H52" s="183" t="s">
        <v>249</v>
      </c>
      <c r="I52" s="130"/>
    </row>
    <row r="53" spans="2:9" ht="108.6" customHeight="1" x14ac:dyDescent="0.3">
      <c r="B53" s="48" t="s">
        <v>52</v>
      </c>
      <c r="C53" s="48" t="s">
        <v>170</v>
      </c>
      <c r="D53" s="48" t="s">
        <v>171</v>
      </c>
      <c r="E53" s="47"/>
      <c r="F53" s="47" t="s">
        <v>251</v>
      </c>
      <c r="G53" s="47">
        <v>111.90793963179455</v>
      </c>
      <c r="H53" s="183" t="s">
        <v>249</v>
      </c>
      <c r="I53" s="130"/>
    </row>
    <row r="54" spans="2:9" ht="115.2" customHeight="1" x14ac:dyDescent="0.3">
      <c r="B54" s="48" t="s">
        <v>52</v>
      </c>
      <c r="C54" s="48" t="s">
        <v>167</v>
      </c>
      <c r="D54" s="48" t="s">
        <v>168</v>
      </c>
      <c r="E54" s="47"/>
      <c r="F54" s="47" t="s">
        <v>251</v>
      </c>
      <c r="G54" s="47">
        <v>67.452999766699818</v>
      </c>
      <c r="H54" s="183" t="s">
        <v>257</v>
      </c>
      <c r="I54" s="130"/>
    </row>
    <row r="55" spans="2:9" ht="118.2" customHeight="1" x14ac:dyDescent="0.3">
      <c r="B55" s="48" t="s">
        <v>218</v>
      </c>
      <c r="C55" s="48" t="s">
        <v>239</v>
      </c>
      <c r="D55" s="48" t="s">
        <v>240</v>
      </c>
      <c r="E55" s="176">
        <v>166.6224520868455</v>
      </c>
      <c r="F55" s="176" t="s">
        <v>251</v>
      </c>
      <c r="G55" s="47">
        <v>166.6224520868455</v>
      </c>
      <c r="H55" s="144" t="s">
        <v>253</v>
      </c>
      <c r="I55" s="130"/>
    </row>
    <row r="56" spans="2:9" ht="119.4" customHeight="1" x14ac:dyDescent="0.3">
      <c r="B56" s="48" t="s">
        <v>218</v>
      </c>
      <c r="C56" s="48" t="s">
        <v>230</v>
      </c>
      <c r="D56" s="48" t="s">
        <v>231</v>
      </c>
      <c r="E56" s="176">
        <v>222.06445223086357</v>
      </c>
      <c r="F56" s="176" t="s">
        <v>251</v>
      </c>
      <c r="G56" s="47">
        <v>222.06445223086357</v>
      </c>
      <c r="H56" s="144" t="s">
        <v>253</v>
      </c>
      <c r="I56" s="130"/>
    </row>
    <row r="57" spans="2:9" ht="15" thickBot="1" x14ac:dyDescent="0.35">
      <c r="B57" s="109" t="s">
        <v>97</v>
      </c>
      <c r="C57" s="109" t="s">
        <v>157</v>
      </c>
      <c r="D57" s="109" t="s">
        <v>97</v>
      </c>
      <c r="E57" s="110">
        <v>87.248374443378339</v>
      </c>
      <c r="F57" s="118" t="s">
        <v>235</v>
      </c>
      <c r="G57" s="176">
        <v>87.248374443378339</v>
      </c>
      <c r="H57" s="146"/>
    </row>
    <row r="58" spans="2:9" ht="18.600000000000001" thickBot="1" x14ac:dyDescent="0.4">
      <c r="B58" s="2"/>
      <c r="G58" s="182"/>
    </row>
    <row r="59" spans="2:9" ht="15" customHeight="1" x14ac:dyDescent="0.3">
      <c r="B59" s="197" t="s">
        <v>91</v>
      </c>
      <c r="C59" s="198"/>
      <c r="D59" s="198"/>
      <c r="E59" s="198"/>
      <c r="F59" s="198"/>
      <c r="G59" s="199"/>
    </row>
    <row r="60" spans="2:9" ht="15" customHeight="1" x14ac:dyDescent="0.3">
      <c r="B60" s="200"/>
      <c r="C60" s="201"/>
      <c r="D60" s="201"/>
      <c r="E60" s="201"/>
      <c r="F60" s="201"/>
      <c r="G60" s="202"/>
    </row>
    <row r="61" spans="2:9" ht="15" customHeight="1" x14ac:dyDescent="0.3">
      <c r="B61" s="200"/>
      <c r="C61" s="201"/>
      <c r="D61" s="201"/>
      <c r="E61" s="201"/>
      <c r="F61" s="201"/>
      <c r="G61" s="202"/>
    </row>
    <row r="62" spans="2:9" ht="15" customHeight="1" x14ac:dyDescent="0.3">
      <c r="B62" s="200"/>
      <c r="C62" s="201"/>
      <c r="D62" s="201"/>
      <c r="E62" s="201"/>
      <c r="F62" s="201"/>
      <c r="G62" s="202"/>
    </row>
    <row r="63" spans="2:9" ht="15" customHeight="1" x14ac:dyDescent="0.3">
      <c r="B63" s="200"/>
      <c r="C63" s="201"/>
      <c r="D63" s="201"/>
      <c r="E63" s="201"/>
      <c r="F63" s="201"/>
      <c r="G63" s="202"/>
    </row>
    <row r="64" spans="2:9" ht="15.75" customHeight="1" thickBot="1" x14ac:dyDescent="0.35">
      <c r="B64" s="203"/>
      <c r="C64" s="204"/>
      <c r="D64" s="204"/>
      <c r="E64" s="204"/>
      <c r="F64" s="204"/>
      <c r="G64" s="205"/>
    </row>
  </sheetData>
  <mergeCells count="3">
    <mergeCell ref="B2:H2"/>
    <mergeCell ref="B59:G64"/>
    <mergeCell ref="B1:H1"/>
  </mergeCells>
  <conditionalFormatting sqref="G54:G56 G57:H57 E4:E5 G4:G5 G7 E7:E57 G9 G11:G13 G15:G18 G20:G49 G51:G52">
    <cfRule type="expression" dxfId="3" priority="562">
      <formula>AND($E4&lt;&gt;0,$E4&lt;&gt;$G4)</formula>
    </cfRule>
  </conditionalFormatting>
  <pageMargins left="0.38" right="0.32" top="0.5" bottom="1" header="0" footer="0"/>
  <pageSetup fitToHeight="0"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88" id="{88A5CD2C-E09E-475B-B93B-9701EB70B9B5}">
            <xm:f>'COSTO VARIABLE DE PRODUCCIÓN'!$AM4&lt;&gt;'COSTO VARIABLE DE PRODUCCIÓN'!$AN4</xm:f>
            <x14:dxf>
              <fill>
                <patternFill>
                  <bgColor rgb="FFFF0000"/>
                </patternFill>
              </fill>
            </x14:dxf>
          </x14:cfRule>
          <xm:sqref>G4:G5 G7 G9 G11:G13 G15:G18 G20:G32 G39:G49 G51:G52 G54</xm:sqref>
        </x14:conditionalFormatting>
        <x14:conditionalFormatting xmlns:xm="http://schemas.microsoft.com/office/excel/2006/main">
          <x14:cfRule type="expression" priority="587" id="{88A5CD2C-E09E-475B-B93B-9701EB70B9B5}">
            <xm:f>'COSTO VARIABLE DE PRODUCCIÓN'!$AM32&lt;&gt;'COSTO VARIABLE DE PRODUCCIÓN'!$AN32</xm:f>
            <x14:dxf>
              <fill>
                <patternFill>
                  <bgColor rgb="FFFF0000"/>
                </patternFill>
              </fill>
            </x14:dxf>
          </x14:cfRule>
          <xm:sqref>G33</xm:sqref>
        </x14:conditionalFormatting>
        <x14:conditionalFormatting xmlns:xm="http://schemas.microsoft.com/office/excel/2006/main">
          <x14:cfRule type="expression" priority="583" id="{88A5CD2C-E09E-475B-B93B-9701EB70B9B5}">
            <xm:f>'COSTO VARIABLE DE PRODUCCIÓN'!$AM32&lt;&gt;'COSTO VARIABLE DE PRODUCCIÓN'!$AN32</xm:f>
            <x14:dxf>
              <fill>
                <patternFill>
                  <bgColor rgb="FFFF0000"/>
                </patternFill>
              </fill>
            </x14:dxf>
          </x14:cfRule>
          <xm:sqref>G34:G38</xm:sqref>
        </x14:conditionalFormatting>
        <x14:conditionalFormatting xmlns:xm="http://schemas.microsoft.com/office/excel/2006/main">
          <x14:cfRule type="expression" priority="578" id="{88A5CD2C-E09E-475B-B93B-9701EB70B9B5}">
            <xm:f>'COSTO VARIABLE DE PRODUCCIÓN'!$AM57&lt;&gt;'COSTO VARIABLE DE PRODUCCIÓN'!$AN57</xm:f>
            <x14:dxf>
              <fill>
                <patternFill>
                  <bgColor rgb="FFFF0000"/>
                </patternFill>
              </fill>
            </x14:dxf>
          </x14:cfRule>
          <xm:sqref>G55:G56</xm:sqref>
        </x14:conditionalFormatting>
        <x14:conditionalFormatting xmlns:xm="http://schemas.microsoft.com/office/excel/2006/main">
          <x14:cfRule type="expression" priority="543" id="{88A5CD2C-E09E-475B-B93B-9701EB70B9B5}">
            <xm:f>'COSTO VARIABLE DE PRODUCCIÓN'!$AM57&lt;&gt;'COSTO VARIABLE DE PRODUCCIÓN'!$AN57</xm:f>
            <x14:dxf>
              <fill>
                <patternFill>
                  <bgColor rgb="FFFF0000"/>
                </patternFill>
              </fill>
            </x14:dxf>
          </x14:cfRule>
          <xm:sqref>G56:G57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P84"/>
  <sheetViews>
    <sheetView showGridLines="0" zoomScale="55" zoomScaleNormal="55" workbookViewId="0">
      <pane xSplit="2" ySplit="3" topLeftCell="C4" activePane="bottomRight" state="frozen"/>
      <selection activeCell="B1" sqref="B1:I1"/>
      <selection pane="topRight" activeCell="B1" sqref="B1:I1"/>
      <selection pane="bottomLeft" activeCell="B1" sqref="B1:I1"/>
      <selection pane="bottomRight" activeCell="AM1" sqref="AM1:AO1048576"/>
    </sheetView>
  </sheetViews>
  <sheetFormatPr defaultRowHeight="14.4" x14ac:dyDescent="0.3"/>
  <cols>
    <col min="1" max="1" width="28.88671875" customWidth="1"/>
    <col min="2" max="2" width="27.109375" bestFit="1" customWidth="1"/>
    <col min="3" max="3" width="15.44140625" customWidth="1"/>
    <col min="4" max="4" width="20.5546875" customWidth="1"/>
    <col min="5" max="5" width="18.6640625" customWidth="1"/>
    <col min="6" max="6" width="18.33203125" customWidth="1"/>
    <col min="7" max="7" width="25.5546875" customWidth="1"/>
    <col min="8" max="8" width="17.6640625" customWidth="1"/>
    <col min="9" max="9" width="21.5546875" customWidth="1"/>
    <col min="10" max="10" width="22.5546875" customWidth="1"/>
    <col min="11" max="11" width="20.44140625" bestFit="1" customWidth="1"/>
    <col min="12" max="12" width="19.33203125" customWidth="1"/>
    <col min="13" max="13" width="9.33203125" customWidth="1"/>
    <col min="14" max="14" width="16.33203125" customWidth="1"/>
    <col min="15" max="15" width="18.109375" customWidth="1"/>
    <col min="16" max="16" width="13.44140625" bestFit="1" customWidth="1"/>
    <col min="17" max="17" width="10.88671875" customWidth="1"/>
    <col min="18" max="18" width="9.6640625" bestFit="1" customWidth="1"/>
    <col min="20" max="20" width="8.6640625" customWidth="1"/>
    <col min="29" max="29" width="9.109375" customWidth="1"/>
    <col min="38" max="38" width="8.88671875" customWidth="1"/>
    <col min="39" max="39" width="11.33203125" hidden="1" customWidth="1"/>
    <col min="40" max="40" width="11.44140625" hidden="1" customWidth="1"/>
    <col min="41" max="41" width="16.77734375" hidden="1" customWidth="1"/>
    <col min="42" max="42" width="21.44140625" bestFit="1" customWidth="1"/>
  </cols>
  <sheetData>
    <row r="1" spans="1:41" ht="112.5" customHeight="1" thickBot="1" x14ac:dyDescent="0.65">
      <c r="A1" s="195" t="s">
        <v>130</v>
      </c>
      <c r="B1" s="195"/>
      <c r="C1" s="195"/>
      <c r="D1" s="195"/>
      <c r="E1" s="195"/>
      <c r="F1" s="195"/>
      <c r="G1" s="195"/>
      <c r="H1" s="195"/>
      <c r="I1" s="195"/>
      <c r="J1" s="195"/>
      <c r="K1" s="195"/>
      <c r="L1" s="195"/>
      <c r="M1" s="195"/>
      <c r="N1" s="195"/>
      <c r="O1" s="195"/>
      <c r="P1" s="195"/>
    </row>
    <row r="2" spans="1:41" ht="36" customHeight="1" thickTop="1" x14ac:dyDescent="0.3">
      <c r="A2" s="192" t="str">
        <f ca="1">"COSTOS VARIABLES DE PRODUCCIÓN " &amp;ETIQUETA!O21</f>
        <v>COSTOS VARIABLES DE PRODUCCIÓN CVP_06-06_12-06-26</v>
      </c>
      <c r="B2" s="192"/>
      <c r="C2" s="192"/>
      <c r="D2" s="192"/>
      <c r="E2" s="192"/>
      <c r="F2" s="192"/>
      <c r="G2" s="192"/>
      <c r="H2" s="192"/>
      <c r="I2" s="192"/>
      <c r="J2" s="192"/>
      <c r="K2" s="192"/>
      <c r="L2" s="192"/>
      <c r="M2" s="192"/>
      <c r="N2" s="192"/>
      <c r="O2" s="192"/>
      <c r="P2" s="192"/>
    </row>
    <row r="3" spans="1:41" ht="75.75" customHeight="1" x14ac:dyDescent="0.3">
      <c r="A3" s="19" t="s">
        <v>106</v>
      </c>
      <c r="B3" s="19" t="s">
        <v>101</v>
      </c>
      <c r="C3" s="19" t="s">
        <v>104</v>
      </c>
      <c r="D3" s="19" t="s">
        <v>107</v>
      </c>
      <c r="E3" s="19" t="s">
        <v>108</v>
      </c>
      <c r="F3" s="19" t="s">
        <v>109</v>
      </c>
      <c r="G3" s="19" t="s">
        <v>110</v>
      </c>
      <c r="H3" s="19" t="s">
        <v>111</v>
      </c>
      <c r="I3" s="19" t="s">
        <v>112</v>
      </c>
      <c r="J3" s="19" t="s">
        <v>113</v>
      </c>
      <c r="K3" s="19" t="s">
        <v>55</v>
      </c>
      <c r="L3" s="19" t="s">
        <v>114</v>
      </c>
      <c r="M3" s="19" t="s">
        <v>115</v>
      </c>
      <c r="N3" s="19" t="s">
        <v>117</v>
      </c>
      <c r="O3" s="19" t="s">
        <v>116</v>
      </c>
      <c r="P3" s="19" t="s">
        <v>169</v>
      </c>
    </row>
    <row r="4" spans="1:41" ht="16.5" customHeight="1" x14ac:dyDescent="0.3">
      <c r="A4" s="61" t="s">
        <v>255</v>
      </c>
      <c r="B4" s="61" t="s">
        <v>1</v>
      </c>
      <c r="C4" s="61" t="s">
        <v>212</v>
      </c>
      <c r="D4" s="61" t="s">
        <v>59</v>
      </c>
      <c r="E4" s="62">
        <v>569.00994551618635</v>
      </c>
      <c r="F4" s="62">
        <v>0</v>
      </c>
      <c r="G4" s="62">
        <v>569.00994551618635</v>
      </c>
      <c r="H4" s="63">
        <v>7.7921236851028908E-3</v>
      </c>
      <c r="I4" s="62">
        <v>4433.7958735157818</v>
      </c>
      <c r="J4" s="62">
        <v>266.02775122332559</v>
      </c>
      <c r="K4" s="62">
        <v>4699.8236247391078</v>
      </c>
      <c r="L4" s="64">
        <v>1369807.2448913001</v>
      </c>
      <c r="M4" s="147">
        <v>58.872</v>
      </c>
      <c r="N4" s="64">
        <v>1037</v>
      </c>
      <c r="O4" s="62">
        <v>128.33471911849799</v>
      </c>
      <c r="P4" s="148">
        <v>0</v>
      </c>
      <c r="Q4" s="149"/>
      <c r="R4" s="150"/>
      <c r="AG4" s="151"/>
      <c r="AM4" s="143">
        <f>+'ESTADO DECLARACIÓN CVP'!G4*'COSTO VARIABLE DE PRODUCCIÓN'!M4</f>
        <v>4699.8236247391078</v>
      </c>
      <c r="AN4" s="143">
        <f>+VLOOKUP('ESTADO DECLARACIÓN CVP'!$C4,'COSTO VARIABLE DE PRODUCCIÓN'!$C$4:$K$57,9,FALSE)</f>
        <v>4699.8236247391078</v>
      </c>
      <c r="AO4" t="b">
        <f>+AM4=AN4</f>
        <v>1</v>
      </c>
    </row>
    <row r="5" spans="1:41" ht="16.5" customHeight="1" x14ac:dyDescent="0.3">
      <c r="A5" s="61" t="s">
        <v>255</v>
      </c>
      <c r="B5" s="61" t="s">
        <v>1</v>
      </c>
      <c r="C5" s="61" t="s">
        <v>214</v>
      </c>
      <c r="D5" s="61" t="s">
        <v>61</v>
      </c>
      <c r="E5" s="62">
        <v>214.53368904000001</v>
      </c>
      <c r="F5" s="62">
        <v>0</v>
      </c>
      <c r="G5" s="62">
        <v>214.53368904000001</v>
      </c>
      <c r="H5" s="63">
        <v>5.7318421585657822E-2</v>
      </c>
      <c r="I5" s="62">
        <v>12296.732432721141</v>
      </c>
      <c r="J5" s="62">
        <v>346.5658091590671</v>
      </c>
      <c r="K5" s="62">
        <v>12643.298241880208</v>
      </c>
      <c r="L5" s="64">
        <v>24500</v>
      </c>
      <c r="M5" s="147">
        <v>58.872</v>
      </c>
      <c r="N5" s="55">
        <v>0</v>
      </c>
      <c r="O5" s="53">
        <v>12.380545533938299</v>
      </c>
      <c r="P5" s="148">
        <v>0</v>
      </c>
      <c r="Q5" s="149"/>
      <c r="R5" s="150"/>
      <c r="AM5" s="143">
        <f>+'ESTADO DECLARACIÓN CVP'!G5*'COSTO VARIABLE DE PRODUCCIÓN'!M5</f>
        <v>12643.298241880208</v>
      </c>
      <c r="AN5" s="143">
        <f>+VLOOKUP('ESTADO DECLARACIÓN CVP'!$C5,'COSTO VARIABLE DE PRODUCCIÓN'!$C$4:$K$57,9,FALSE)</f>
        <v>12643.298241880208</v>
      </c>
      <c r="AO5" t="b">
        <f t="shared" ref="AO5:AO57" si="0">+AM5=AN5</f>
        <v>1</v>
      </c>
    </row>
    <row r="6" spans="1:41" ht="16.5" customHeight="1" x14ac:dyDescent="0.3">
      <c r="A6" s="52" t="s">
        <v>255</v>
      </c>
      <c r="B6" s="52" t="s">
        <v>3</v>
      </c>
      <c r="C6" s="52" t="s">
        <v>4</v>
      </c>
      <c r="D6" s="52" t="s">
        <v>60</v>
      </c>
      <c r="E6" s="53">
        <v>147.89235120000001</v>
      </c>
      <c r="F6" s="53">
        <v>0</v>
      </c>
      <c r="G6" s="53">
        <v>147.89235120000001</v>
      </c>
      <c r="H6" s="54">
        <v>6.0526176178334265E-2</v>
      </c>
      <c r="I6" s="53">
        <v>8951.3585041592869</v>
      </c>
      <c r="J6" s="53">
        <v>358.0543401663715</v>
      </c>
      <c r="K6" s="53">
        <v>9309.4128443256577</v>
      </c>
      <c r="L6" s="55">
        <v>84351.216</v>
      </c>
      <c r="M6" s="56">
        <v>58.872</v>
      </c>
      <c r="N6" s="55">
        <v>145536.71869071</v>
      </c>
      <c r="O6" s="53">
        <v>8808.7815754258409</v>
      </c>
      <c r="P6" s="152">
        <v>918.24790811288403</v>
      </c>
      <c r="Q6" s="149"/>
      <c r="R6" s="153"/>
      <c r="AM6" s="143">
        <f>+'ESTADO DECLARACIÓN CVP'!G6*'COSTO VARIABLE DE PRODUCCIÓN'!M6</f>
        <v>9309.4128443256577</v>
      </c>
      <c r="AN6" s="143">
        <f>+VLOOKUP('ESTADO DECLARACIÓN CVP'!$C6,'COSTO VARIABLE DE PRODUCCIÓN'!$C$4:$K$57,9,FALSE)</f>
        <v>9309.4128443256577</v>
      </c>
      <c r="AO6" t="b">
        <f t="shared" si="0"/>
        <v>1</v>
      </c>
    </row>
    <row r="7" spans="1:41" x14ac:dyDescent="0.3">
      <c r="A7" s="46" t="s">
        <v>255</v>
      </c>
      <c r="B7" s="46" t="s">
        <v>100</v>
      </c>
      <c r="C7" s="46" t="s">
        <v>190</v>
      </c>
      <c r="D7" s="46" t="s">
        <v>59</v>
      </c>
      <c r="E7" s="47">
        <v>194.90620578000002</v>
      </c>
      <c r="F7" s="47">
        <v>206.92651046876821</v>
      </c>
      <c r="G7" s="47">
        <v>401.83271624876824</v>
      </c>
      <c r="H7" s="88">
        <v>8.3295576218750389E-3</v>
      </c>
      <c r="I7" s="47">
        <v>3347.0887643486772</v>
      </c>
      <c r="J7" s="47">
        <v>56.900508993927509</v>
      </c>
      <c r="K7" s="47">
        <v>3403.989273342605</v>
      </c>
      <c r="L7" s="90">
        <v>1936769.6</v>
      </c>
      <c r="M7" s="154">
        <v>58.872</v>
      </c>
      <c r="N7" s="90">
        <v>1042</v>
      </c>
      <c r="O7" s="47">
        <v>8329.5576218750393</v>
      </c>
      <c r="P7" s="155">
        <v>0</v>
      </c>
      <c r="Q7" s="149"/>
      <c r="R7" s="153"/>
      <c r="AM7" s="143">
        <f>+'ESTADO DECLARACIÓN CVP'!G7*'COSTO VARIABLE DE PRODUCCIÓN'!M7</f>
        <v>17581.972870244917</v>
      </c>
      <c r="AN7" s="143">
        <f>+VLOOKUP('ESTADO DECLARACIÓN CVP'!$C7,'COSTO VARIABLE DE PRODUCCIÓN'!$C$4:$K$57,9,FALSE)</f>
        <v>17581.972870244917</v>
      </c>
      <c r="AO7" t="b">
        <f t="shared" si="0"/>
        <v>1</v>
      </c>
    </row>
    <row r="8" spans="1:41" x14ac:dyDescent="0.3">
      <c r="A8" s="46" t="s">
        <v>255</v>
      </c>
      <c r="B8" s="46" t="s">
        <v>100</v>
      </c>
      <c r="C8" s="46" t="s">
        <v>178</v>
      </c>
      <c r="D8" s="46" t="s">
        <v>61</v>
      </c>
      <c r="E8" s="47">
        <v>174.7024159203981</v>
      </c>
      <c r="F8" s="47">
        <v>0</v>
      </c>
      <c r="G8" s="47">
        <v>174.7024159203981</v>
      </c>
      <c r="H8" s="88">
        <v>6.9981196140553828E-2</v>
      </c>
      <c r="I8" s="47">
        <v>12225.884034753994</v>
      </c>
      <c r="J8" s="47">
        <v>733.55303271884748</v>
      </c>
      <c r="K8" s="47">
        <v>12959.437067472842</v>
      </c>
      <c r="L8" s="90">
        <v>236486.24</v>
      </c>
      <c r="M8" s="154">
        <v>58.872</v>
      </c>
      <c r="N8" s="90">
        <v>137345.53624153999</v>
      </c>
      <c r="O8" s="47">
        <v>9611.6047880226906</v>
      </c>
      <c r="P8" s="155">
        <v>875.61881188118798</v>
      </c>
      <c r="Q8" s="149"/>
      <c r="R8" s="153"/>
      <c r="AM8" s="143">
        <f>+'ESTADO DECLARACIÓN CVP'!G8*'COSTO VARIABLE DE PRODUCCIÓN'!M8</f>
        <v>10175.024797855966</v>
      </c>
      <c r="AN8" s="143">
        <f>+VLOOKUP('ESTADO DECLARACIÓN CVP'!$C8,'COSTO VARIABLE DE PRODUCCIÓN'!$C$4:$K$57,9,FALSE)</f>
        <v>10175.024797855966</v>
      </c>
      <c r="AO8" t="b">
        <f t="shared" si="0"/>
        <v>1</v>
      </c>
    </row>
    <row r="9" spans="1:41" ht="16.5" customHeight="1" x14ac:dyDescent="0.3">
      <c r="A9" s="52" t="s">
        <v>255</v>
      </c>
      <c r="B9" s="52" t="s">
        <v>100</v>
      </c>
      <c r="C9" s="52" t="s">
        <v>242</v>
      </c>
      <c r="D9" s="52" t="s">
        <v>61</v>
      </c>
      <c r="E9" s="53">
        <v>174.7024159203981</v>
      </c>
      <c r="F9" s="53">
        <v>0</v>
      </c>
      <c r="G9" s="47">
        <v>174.7024159203981</v>
      </c>
      <c r="H9" s="54">
        <v>5.4945319144018463E-2</v>
      </c>
      <c r="I9" s="47">
        <v>9599.0799979773274</v>
      </c>
      <c r="J9" s="53">
        <v>575.94479987863963</v>
      </c>
      <c r="K9" s="47">
        <v>10175.024797855966</v>
      </c>
      <c r="L9" s="55">
        <v>236486.24</v>
      </c>
      <c r="M9" s="56">
        <v>58.872</v>
      </c>
      <c r="N9" s="55">
        <v>137345.53624153999</v>
      </c>
      <c r="O9" s="53">
        <v>7546.4949198868399</v>
      </c>
      <c r="P9" s="152">
        <v>875.61881188118798</v>
      </c>
      <c r="Q9" s="149"/>
      <c r="R9" s="153"/>
      <c r="AM9" s="143">
        <f>+'ESTADO DECLARACIÓN CVP'!G9*'COSTO VARIABLE DE PRODUCCIÓN'!M9</f>
        <v>3403.989273342605</v>
      </c>
      <c r="AN9" s="143">
        <f>+VLOOKUP('ESTADO DECLARACIÓN CVP'!$C9,'COSTO VARIABLE DE PRODUCCIÓN'!$C$4:$K$57,9,FALSE)</f>
        <v>3403.989273342605</v>
      </c>
      <c r="AO9" t="b">
        <f t="shared" si="0"/>
        <v>1</v>
      </c>
    </row>
    <row r="10" spans="1:41" ht="16.5" customHeight="1" x14ac:dyDescent="0.3">
      <c r="A10" s="52" t="s">
        <v>255</v>
      </c>
      <c r="B10" s="52" t="s">
        <v>100</v>
      </c>
      <c r="C10" s="52" t="s">
        <v>188</v>
      </c>
      <c r="D10" s="52" t="s">
        <v>59</v>
      </c>
      <c r="E10" s="53">
        <v>194.90620578000002</v>
      </c>
      <c r="F10" s="53">
        <v>206.92651046876821</v>
      </c>
      <c r="G10" s="53">
        <v>401.83271624876824</v>
      </c>
      <c r="H10" s="54">
        <v>8.4025827237911924E-3</v>
      </c>
      <c r="I10" s="53">
        <v>3376.4326394059885</v>
      </c>
      <c r="J10" s="53">
        <v>57.399354869901856</v>
      </c>
      <c r="K10" s="53">
        <v>3433.8319942758903</v>
      </c>
      <c r="L10" s="55">
        <v>1936769.6</v>
      </c>
      <c r="M10" s="56">
        <v>58.872</v>
      </c>
      <c r="N10" s="55">
        <v>1042</v>
      </c>
      <c r="O10" s="53">
        <v>8402.5827237911999</v>
      </c>
      <c r="P10" s="152">
        <v>0</v>
      </c>
      <c r="Q10" s="149"/>
      <c r="R10" s="153"/>
      <c r="AM10" s="143">
        <f>+'ESTADO DECLARACIÓN CVP'!G10*'COSTO VARIABLE DE PRODUCCIÓN'!M10</f>
        <v>12959.437067472842</v>
      </c>
      <c r="AN10" s="143">
        <f>+VLOOKUP('ESTADO DECLARACIÓN CVP'!$C10,'COSTO VARIABLE DE PRODUCCIÓN'!$C$4:$K$57,9,FALSE)</f>
        <v>12959.437067472842</v>
      </c>
      <c r="AO10" t="b">
        <f t="shared" si="0"/>
        <v>1</v>
      </c>
    </row>
    <row r="11" spans="1:41" ht="16.5" customHeight="1" x14ac:dyDescent="0.3">
      <c r="A11" s="52" t="s">
        <v>255</v>
      </c>
      <c r="B11" s="52" t="s">
        <v>100</v>
      </c>
      <c r="C11" s="52" t="s">
        <v>182</v>
      </c>
      <c r="D11" s="52" t="s">
        <v>61</v>
      </c>
      <c r="E11" s="53">
        <v>174.7024159203981</v>
      </c>
      <c r="F11" s="53">
        <v>0</v>
      </c>
      <c r="G11" s="47">
        <v>174.7024159203981</v>
      </c>
      <c r="H11" s="54">
        <v>6.3224967215097433E-2</v>
      </c>
      <c r="I11" s="47">
        <v>11045.554518965486</v>
      </c>
      <c r="J11" s="53">
        <v>662.73326590813394</v>
      </c>
      <c r="K11" s="47">
        <v>11708.287784873621</v>
      </c>
      <c r="L11" s="55">
        <v>236486.24</v>
      </c>
      <c r="M11" s="56">
        <v>58.872</v>
      </c>
      <c r="N11" s="55">
        <v>137345.53624153999</v>
      </c>
      <c r="O11" s="53">
        <v>8683.6669574863008</v>
      </c>
      <c r="P11" s="152">
        <v>875.61881188118798</v>
      </c>
      <c r="Q11" s="149"/>
      <c r="R11" s="153"/>
      <c r="AM11" s="143">
        <f>+'ESTADO DECLARACIÓN CVP'!G11*'COSTO VARIABLE DE PRODUCCIÓN'!M11</f>
        <v>4561.1264764163025</v>
      </c>
      <c r="AN11" s="143">
        <f>+VLOOKUP('ESTADO DECLARACIÓN CVP'!$C11,'COSTO VARIABLE DE PRODUCCIÓN'!$C$4:$K$57,9,FALSE)</f>
        <v>4561.1264764163025</v>
      </c>
      <c r="AO11" t="b">
        <f t="shared" si="0"/>
        <v>1</v>
      </c>
    </row>
    <row r="12" spans="1:41" ht="16.5" customHeight="1" x14ac:dyDescent="0.3">
      <c r="A12" s="52" t="s">
        <v>255</v>
      </c>
      <c r="B12" s="52" t="s">
        <v>100</v>
      </c>
      <c r="C12" s="52" t="s">
        <v>180</v>
      </c>
      <c r="D12" s="52" t="s">
        <v>61</v>
      </c>
      <c r="E12" s="53">
        <v>174.7024159203981</v>
      </c>
      <c r="F12" s="53">
        <v>0</v>
      </c>
      <c r="G12" s="53">
        <v>174.7024159203981</v>
      </c>
      <c r="H12" s="54">
        <v>9.4942973577876913E-2</v>
      </c>
      <c r="I12" s="53">
        <v>16586.766858721621</v>
      </c>
      <c r="J12" s="53">
        <v>995.20601152329289</v>
      </c>
      <c r="K12" s="53">
        <v>17581.972870244917</v>
      </c>
      <c r="L12" s="55">
        <v>236486.24</v>
      </c>
      <c r="M12" s="56">
        <v>58.872</v>
      </c>
      <c r="N12" s="55">
        <v>137345.53624153999</v>
      </c>
      <c r="O12" s="53">
        <v>13039.9936184198</v>
      </c>
      <c r="P12" s="152">
        <v>875.61881188118798</v>
      </c>
      <c r="Q12" s="149"/>
      <c r="R12" s="153"/>
      <c r="AM12" s="143">
        <f>+'ESTADO DECLARACIÓN CVP'!G12*'COSTO VARIABLE DE PRODUCCIÓN'!M12</f>
        <v>3433.8319942758903</v>
      </c>
      <c r="AN12" s="143">
        <f>+VLOOKUP('ESTADO DECLARACIÓN CVP'!$C12,'COSTO VARIABLE DE PRODUCCIÓN'!$C$4:$K$57,9,FALSE)</f>
        <v>3433.8319942758903</v>
      </c>
      <c r="AO12" t="b">
        <f t="shared" si="0"/>
        <v>1</v>
      </c>
    </row>
    <row r="13" spans="1:41" ht="16.5" customHeight="1" x14ac:dyDescent="0.3">
      <c r="A13" s="52" t="s">
        <v>255</v>
      </c>
      <c r="B13" s="52" t="s">
        <v>100</v>
      </c>
      <c r="C13" s="52" t="s">
        <v>192</v>
      </c>
      <c r="D13" s="52" t="s">
        <v>59</v>
      </c>
      <c r="E13" s="53">
        <v>194.90620578000002</v>
      </c>
      <c r="F13" s="53">
        <v>206.92651046876821</v>
      </c>
      <c r="G13" s="53">
        <v>401.83271624876824</v>
      </c>
      <c r="H13" s="54">
        <v>8.387790744853154E-3</v>
      </c>
      <c r="I13" s="53">
        <v>3370.4887383306223</v>
      </c>
      <c r="J13" s="53">
        <v>57.298308551620543</v>
      </c>
      <c r="K13" s="53">
        <v>3427.7870468822425</v>
      </c>
      <c r="L13" s="55">
        <v>1936769.6</v>
      </c>
      <c r="M13" s="56">
        <v>58.872</v>
      </c>
      <c r="N13" s="55">
        <v>1042</v>
      </c>
      <c r="O13" s="53">
        <v>8387.7907448531496</v>
      </c>
      <c r="P13" s="152">
        <v>0</v>
      </c>
      <c r="Q13" s="149"/>
      <c r="R13" s="153"/>
      <c r="AM13" s="143">
        <f>+'ESTADO DECLARACIÓN CVP'!G13*'COSTO VARIABLE DE PRODUCCIÓN'!M13</f>
        <v>11708.287784873621</v>
      </c>
      <c r="AN13" s="143">
        <f>+VLOOKUP('ESTADO DECLARACIÓN CVP'!$C13,'COSTO VARIABLE DE PRODUCCIÓN'!$C$4:$K$57,9,FALSE)</f>
        <v>11708.287784873621</v>
      </c>
      <c r="AO13" t="b">
        <f t="shared" si="0"/>
        <v>1</v>
      </c>
    </row>
    <row r="14" spans="1:41" ht="16.5" customHeight="1" x14ac:dyDescent="0.3">
      <c r="A14" s="52" t="s">
        <v>255</v>
      </c>
      <c r="B14" s="52" t="s">
        <v>100</v>
      </c>
      <c r="C14" s="52" t="s">
        <v>244</v>
      </c>
      <c r="D14" s="52" t="s">
        <v>59</v>
      </c>
      <c r="E14" s="53">
        <v>614.45043235122444</v>
      </c>
      <c r="F14" s="53">
        <v>0</v>
      </c>
      <c r="G14" s="53">
        <v>614.45043235122444</v>
      </c>
      <c r="H14" s="54">
        <v>7.2990158709382901E-3</v>
      </c>
      <c r="I14" s="53">
        <v>4484.8834576364816</v>
      </c>
      <c r="J14" s="53">
        <v>76.243018779820389</v>
      </c>
      <c r="K14" s="53">
        <v>4561.1264764163025</v>
      </c>
      <c r="L14" s="55">
        <v>410298.08</v>
      </c>
      <c r="M14" s="56">
        <v>58.872</v>
      </c>
      <c r="N14" s="55">
        <v>1042</v>
      </c>
      <c r="O14" s="53">
        <v>7299.0158709382904</v>
      </c>
      <c r="P14" s="152">
        <v>0</v>
      </c>
      <c r="Q14" s="149"/>
      <c r="R14" s="153"/>
      <c r="AM14" s="143">
        <f>+'ESTADO DECLARACIÓN CVP'!G14*'COSTO VARIABLE DE PRODUCCIÓN'!M14</f>
        <v>3427.7870468822425</v>
      </c>
      <c r="AN14" s="143">
        <f>+VLOOKUP('ESTADO DECLARACIÓN CVP'!$C14,'COSTO VARIABLE DE PRODUCCIÓN'!$C$4:$K$57,9,FALSE)</f>
        <v>3427.7870468822425</v>
      </c>
      <c r="AO14" t="b">
        <f t="shared" si="0"/>
        <v>1</v>
      </c>
    </row>
    <row r="15" spans="1:41" ht="17.25" customHeight="1" x14ac:dyDescent="0.3">
      <c r="A15" s="52" t="s">
        <v>255</v>
      </c>
      <c r="B15" s="52" t="s">
        <v>5</v>
      </c>
      <c r="C15" s="52" t="s">
        <v>6</v>
      </c>
      <c r="D15" s="52" t="s">
        <v>60</v>
      </c>
      <c r="E15" s="53">
        <v>93.32</v>
      </c>
      <c r="F15" s="53">
        <v>2</v>
      </c>
      <c r="G15" s="53">
        <v>95.32</v>
      </c>
      <c r="H15" s="54">
        <v>6.4809449112605361E-2</v>
      </c>
      <c r="I15" s="53">
        <v>6177.6366894135426</v>
      </c>
      <c r="J15" s="53">
        <v>0</v>
      </c>
      <c r="K15" s="53">
        <v>6177.6366894135426</v>
      </c>
      <c r="L15" s="55">
        <v>220000</v>
      </c>
      <c r="M15" s="56">
        <v>58.872</v>
      </c>
      <c r="N15" s="55">
        <v>148842.14128983</v>
      </c>
      <c r="O15" s="53">
        <v>8955.8882949917497</v>
      </c>
      <c r="P15" s="152">
        <v>957.43342052831701</v>
      </c>
      <c r="Q15" s="149"/>
      <c r="R15" s="153"/>
      <c r="AM15" s="143">
        <f>+'ESTADO DECLARACIÓN CVP'!G15</f>
        <v>6177.6366894135426</v>
      </c>
      <c r="AN15" s="143">
        <f>+VLOOKUP('ESTADO DECLARACIÓN CVP'!$C15,'COSTO VARIABLE DE PRODUCCIÓN'!$C$4:$K$57,9,FALSE)</f>
        <v>6177.6366894135426</v>
      </c>
      <c r="AO15" t="b">
        <f t="shared" si="0"/>
        <v>1</v>
      </c>
    </row>
    <row r="16" spans="1:41" ht="16.5" customHeight="1" x14ac:dyDescent="0.3">
      <c r="A16" s="52" t="s">
        <v>255</v>
      </c>
      <c r="B16" s="52" t="s">
        <v>228</v>
      </c>
      <c r="C16" s="52" t="s">
        <v>132</v>
      </c>
      <c r="D16" s="52" t="s">
        <v>60</v>
      </c>
      <c r="E16" s="53">
        <v>142.523602739594</v>
      </c>
      <c r="F16" s="53">
        <v>0</v>
      </c>
      <c r="G16" s="53">
        <v>142.523602739594</v>
      </c>
      <c r="H16" s="54">
        <v>6.3873081103768173E-2</v>
      </c>
      <c r="I16" s="53">
        <v>9103.4216369873229</v>
      </c>
      <c r="J16" s="53">
        <v>364.13686547949294</v>
      </c>
      <c r="K16" s="53">
        <v>9467.5585024668162</v>
      </c>
      <c r="L16" s="55">
        <v>122050.1</v>
      </c>
      <c r="M16" s="56">
        <v>58.872</v>
      </c>
      <c r="N16" s="55">
        <v>138058.80785161001</v>
      </c>
      <c r="O16" s="53">
        <v>8722.0484326507703</v>
      </c>
      <c r="P16" s="152">
        <v>928.39881978803305</v>
      </c>
      <c r="Q16" s="149"/>
      <c r="R16" s="153"/>
      <c r="AM16" s="143">
        <f>+'ESTADO DECLARACIÓN CVP'!G16</f>
        <v>9467.5585024668162</v>
      </c>
      <c r="AN16" s="143">
        <f>+VLOOKUP('ESTADO DECLARACIÓN CVP'!$C16,'COSTO VARIABLE DE PRODUCCIÓN'!$C$4:$K$57,9,FALSE)</f>
        <v>9467.5585024668162</v>
      </c>
      <c r="AO16" t="b">
        <f t="shared" si="0"/>
        <v>1</v>
      </c>
    </row>
    <row r="17" spans="1:42" ht="16.5" customHeight="1" x14ac:dyDescent="0.3">
      <c r="A17" s="52" t="s">
        <v>255</v>
      </c>
      <c r="B17" s="52" t="s">
        <v>7</v>
      </c>
      <c r="C17" s="52" t="s">
        <v>8</v>
      </c>
      <c r="D17" s="52" t="s">
        <v>59</v>
      </c>
      <c r="E17" s="53">
        <v>934.59299999999996</v>
      </c>
      <c r="F17" s="53">
        <v>0</v>
      </c>
      <c r="G17" s="53">
        <v>934.59299999999996</v>
      </c>
      <c r="H17" s="54">
        <v>1.2250973249206647E-2</v>
      </c>
      <c r="I17" s="53">
        <v>11449.673841895787</v>
      </c>
      <c r="J17" s="53">
        <v>228.99347683791575</v>
      </c>
      <c r="K17" s="53">
        <v>11678.667318733702</v>
      </c>
      <c r="L17" s="55">
        <v>0</v>
      </c>
      <c r="M17" s="56">
        <v>58.872</v>
      </c>
      <c r="N17" s="55">
        <v>1037</v>
      </c>
      <c r="O17" s="53">
        <v>81.626167950759097</v>
      </c>
      <c r="P17" s="152">
        <v>0</v>
      </c>
      <c r="Q17" s="149"/>
      <c r="R17" s="153"/>
      <c r="AM17" s="143">
        <f>+'ESTADO DECLARACIÓN CVP'!G17*'COSTO VARIABLE DE PRODUCCIÓN'!M17</f>
        <v>8407.4247049043424</v>
      </c>
      <c r="AN17" s="143">
        <f>+VLOOKUP('ESTADO DECLARACIÓN CVP'!$C17,'COSTO VARIABLE DE PRODUCCIÓN'!$C$4:$K$57,9,FALSE)</f>
        <v>8407.4247049043424</v>
      </c>
      <c r="AO17" t="b">
        <f t="shared" si="0"/>
        <v>1</v>
      </c>
    </row>
    <row r="18" spans="1:42" ht="16.5" customHeight="1" x14ac:dyDescent="0.3">
      <c r="A18" s="52" t="s">
        <v>255</v>
      </c>
      <c r="B18" s="52" t="s">
        <v>7</v>
      </c>
      <c r="C18" s="52" t="s">
        <v>10</v>
      </c>
      <c r="D18" s="52" t="s">
        <v>59</v>
      </c>
      <c r="E18" s="53">
        <v>934.59299999999996</v>
      </c>
      <c r="F18" s="53">
        <v>0</v>
      </c>
      <c r="G18" s="53">
        <v>934.59299999999996</v>
      </c>
      <c r="H18" s="54">
        <v>1.2331142846717692E-2</v>
      </c>
      <c r="I18" s="53">
        <v>11524.599786542429</v>
      </c>
      <c r="J18" s="53">
        <v>230.49199573084815</v>
      </c>
      <c r="K18" s="53">
        <v>11755.091782273275</v>
      </c>
      <c r="L18" s="55">
        <v>0</v>
      </c>
      <c r="M18" s="56">
        <v>58.872</v>
      </c>
      <c r="N18" s="55">
        <v>1037</v>
      </c>
      <c r="O18" s="53">
        <v>81.095484208601206</v>
      </c>
      <c r="P18" s="152">
        <v>0</v>
      </c>
      <c r="Q18" s="149"/>
      <c r="R18" s="153"/>
      <c r="AM18" s="143">
        <f>+'ESTADO DECLARACIÓN CVP'!G18*'COSTO VARIABLE DE PRODUCCIÓN'!M18</f>
        <v>8516.0944963158836</v>
      </c>
      <c r="AN18" s="143">
        <f>+VLOOKUP('ESTADO DECLARACIÓN CVP'!$C18,'COSTO VARIABLE DE PRODUCCIÓN'!$C$4:$K$57,9,FALSE)</f>
        <v>8516.0944963158836</v>
      </c>
      <c r="AO18" t="b">
        <f t="shared" si="0"/>
        <v>1</v>
      </c>
    </row>
    <row r="19" spans="1:42" ht="16.5" customHeight="1" x14ac:dyDescent="0.3">
      <c r="A19" s="52" t="s">
        <v>255</v>
      </c>
      <c r="B19" s="52" t="s">
        <v>7</v>
      </c>
      <c r="C19" s="52" t="s">
        <v>153</v>
      </c>
      <c r="D19" s="52" t="s">
        <v>59</v>
      </c>
      <c r="E19" s="53">
        <v>934.59299999999996</v>
      </c>
      <c r="F19" s="53">
        <v>0</v>
      </c>
      <c r="G19" s="53">
        <v>934.59299999999996</v>
      </c>
      <c r="H19" s="54">
        <v>8.4866168926077505E-3</v>
      </c>
      <c r="I19" s="53">
        <v>7931.532741512955</v>
      </c>
      <c r="J19" s="53">
        <v>475.89196339138789</v>
      </c>
      <c r="K19" s="53">
        <v>8407.4247049043424</v>
      </c>
      <c r="L19" s="55">
        <v>0</v>
      </c>
      <c r="M19" s="56">
        <v>58.872</v>
      </c>
      <c r="N19" s="55">
        <v>1037</v>
      </c>
      <c r="O19" s="53">
        <v>117.832584522722</v>
      </c>
      <c r="P19" s="152">
        <v>0</v>
      </c>
      <c r="Q19" s="149"/>
      <c r="R19" s="153"/>
      <c r="AM19" s="143">
        <f>+'ESTADO DECLARACIÓN CVP'!G19*'COSTO VARIABLE DE PRODUCCIÓN'!M19</f>
        <v>11755.091782273275</v>
      </c>
      <c r="AN19" s="143">
        <f>+VLOOKUP('ESTADO DECLARACIÓN CVP'!$C19,'COSTO VARIABLE DE PRODUCCIÓN'!$C$4:$K$57,9,FALSE)</f>
        <v>11755.091782273275</v>
      </c>
      <c r="AO19" t="b">
        <f t="shared" si="0"/>
        <v>1</v>
      </c>
    </row>
    <row r="20" spans="1:42" ht="16.5" customHeight="1" x14ac:dyDescent="0.3">
      <c r="A20" s="52" t="s">
        <v>255</v>
      </c>
      <c r="B20" s="52" t="s">
        <v>7</v>
      </c>
      <c r="C20" s="52" t="s">
        <v>154</v>
      </c>
      <c r="D20" s="52" t="s">
        <v>59</v>
      </c>
      <c r="E20" s="53">
        <v>934.59299999999996</v>
      </c>
      <c r="F20" s="53">
        <v>0</v>
      </c>
      <c r="G20" s="47">
        <v>934.59299999999996</v>
      </c>
      <c r="H20" s="54">
        <v>8.5963102824214224E-3</v>
      </c>
      <c r="I20" s="47">
        <v>8034.051415779084</v>
      </c>
      <c r="J20" s="53">
        <v>482.04308053680046</v>
      </c>
      <c r="K20" s="47">
        <v>8516.0944963158836</v>
      </c>
      <c r="L20" s="55">
        <v>0</v>
      </c>
      <c r="M20" s="56">
        <v>58.872</v>
      </c>
      <c r="N20" s="55">
        <v>1037</v>
      </c>
      <c r="O20" s="53">
        <v>116.32898025951199</v>
      </c>
      <c r="P20" s="152">
        <v>0</v>
      </c>
      <c r="Q20" s="149"/>
      <c r="R20" s="153"/>
      <c r="AM20" s="143">
        <f>+'ESTADO DECLARACIÓN CVP'!G20*'COSTO VARIABLE DE PRODUCCIÓN'!M20</f>
        <v>11678.667318733702</v>
      </c>
      <c r="AN20" s="143">
        <f>+VLOOKUP('ESTADO DECLARACIÓN CVP'!$C20,'COSTO VARIABLE DE PRODUCCIÓN'!$C$4:$K$57,9,FALSE)</f>
        <v>11678.667318733702</v>
      </c>
      <c r="AO20" t="b">
        <f t="shared" si="0"/>
        <v>1</v>
      </c>
    </row>
    <row r="21" spans="1:42" ht="16.5" customHeight="1" x14ac:dyDescent="0.3">
      <c r="A21" s="52" t="s">
        <v>255</v>
      </c>
      <c r="B21" s="52" t="s">
        <v>246</v>
      </c>
      <c r="C21" s="52" t="s">
        <v>247</v>
      </c>
      <c r="D21" s="52" t="s">
        <v>59</v>
      </c>
      <c r="E21" s="53">
        <v>768.87653802052068</v>
      </c>
      <c r="F21" s="53">
        <v>0</v>
      </c>
      <c r="G21" s="53">
        <v>768.87653802052068</v>
      </c>
      <c r="H21" s="54">
        <v>1.3549122095664053E-2</v>
      </c>
      <c r="I21" s="53">
        <v>10417.602090131519</v>
      </c>
      <c r="J21" s="53">
        <v>208.3520418026304</v>
      </c>
      <c r="K21" s="53">
        <v>10625.95413193415</v>
      </c>
      <c r="L21" s="55">
        <v>1070828</v>
      </c>
      <c r="M21" s="56">
        <v>58.872</v>
      </c>
      <c r="N21" s="55">
        <v>1032.9000000000001</v>
      </c>
      <c r="O21" s="53">
        <v>12341.1688981061</v>
      </c>
      <c r="P21" s="152">
        <v>0</v>
      </c>
      <c r="Q21" s="149"/>
      <c r="R21" s="153"/>
      <c r="AM21" s="143">
        <f>+'ESTADO DECLARACIÓN CVP'!G21*'COSTO VARIABLE DE PRODUCCIÓN'!M21</f>
        <v>10625.95413193415</v>
      </c>
      <c r="AN21" s="143">
        <f>+VLOOKUP('ESTADO DECLARACIÓN CVP'!$C21,'COSTO VARIABLE DE PRODUCCIÓN'!$C$4:$K$57,9,FALSE)</f>
        <v>10625.95413193415</v>
      </c>
      <c r="AO21" t="b">
        <f t="shared" ref="AO21:AO56" si="1">+AM21=AN21</f>
        <v>1</v>
      </c>
    </row>
    <row r="22" spans="1:42" ht="16.5" customHeight="1" x14ac:dyDescent="0.3">
      <c r="A22" s="52" t="s">
        <v>255</v>
      </c>
      <c r="B22" s="52" t="s">
        <v>12</v>
      </c>
      <c r="C22" s="52" t="s">
        <v>174</v>
      </c>
      <c r="D22" s="52" t="s">
        <v>60</v>
      </c>
      <c r="E22" s="53">
        <v>114.50183485714277</v>
      </c>
      <c r="F22" s="53">
        <v>11.466022857142871</v>
      </c>
      <c r="G22" s="53">
        <v>125.96785771428564</v>
      </c>
      <c r="H22" s="54">
        <v>5.3938111706778015E-2</v>
      </c>
      <c r="I22" s="53">
        <v>6794.4683808566579</v>
      </c>
      <c r="J22" s="53">
        <v>135.88936331715007</v>
      </c>
      <c r="K22" s="53">
        <v>6930.357744173808</v>
      </c>
      <c r="L22" s="55">
        <v>2056101.44</v>
      </c>
      <c r="M22" s="56">
        <v>58.872</v>
      </c>
      <c r="N22" s="55">
        <v>140721</v>
      </c>
      <c r="O22" s="53">
        <v>7322.5865169220897</v>
      </c>
      <c r="P22" s="152">
        <v>976.9</v>
      </c>
      <c r="Q22" s="149"/>
      <c r="R22" s="153"/>
      <c r="AM22" s="143">
        <f>+'ESTADO DECLARACIÓN CVP'!G22*'COSTO VARIABLE DE PRODUCCIÓN'!M22</f>
        <v>3469.4567591272294</v>
      </c>
      <c r="AN22" s="143">
        <f>+VLOOKUP('ESTADO DECLARACIÓN CVP'!$C22,'COSTO VARIABLE DE PRODUCCIÓN'!$C$4:$K$57,9,FALSE)</f>
        <v>3469.4567591272294</v>
      </c>
      <c r="AO22" t="b">
        <f t="shared" si="1"/>
        <v>1</v>
      </c>
    </row>
    <row r="23" spans="1:42" ht="16.5" customHeight="1" x14ac:dyDescent="0.3">
      <c r="A23" s="52" t="s">
        <v>255</v>
      </c>
      <c r="B23" s="52" t="s">
        <v>12</v>
      </c>
      <c r="C23" s="52" t="s">
        <v>156</v>
      </c>
      <c r="D23" s="52" t="s">
        <v>61</v>
      </c>
      <c r="E23" s="53">
        <v>138.81428879999999</v>
      </c>
      <c r="F23" s="53">
        <v>0.70085714285714262</v>
      </c>
      <c r="G23" s="53">
        <v>139.51514594285715</v>
      </c>
      <c r="H23" s="54">
        <v>9.0062012392580146E-2</v>
      </c>
      <c r="I23" s="53">
        <v>12565.014802858228</v>
      </c>
      <c r="J23" s="53">
        <v>251.30026235416895</v>
      </c>
      <c r="K23" s="53">
        <v>12816.315065212397</v>
      </c>
      <c r="L23" s="55">
        <v>161238.24</v>
      </c>
      <c r="M23" s="56">
        <v>58.872</v>
      </c>
      <c r="N23" s="55">
        <v>130417</v>
      </c>
      <c r="O23" s="53">
        <v>11390.895523331499</v>
      </c>
      <c r="P23" s="152">
        <v>864.6</v>
      </c>
      <c r="Q23" s="156"/>
      <c r="R23" s="153"/>
      <c r="AM23" s="143">
        <f>+'ESTADO DECLARACIÓN CVP'!G23*'COSTO VARIABLE DE PRODUCCIÓN'!M23</f>
        <v>3825.8278117165551</v>
      </c>
      <c r="AN23" s="143">
        <f>+VLOOKUP('ESTADO DECLARACIÓN CVP'!$C23,'COSTO VARIABLE DE PRODUCCIÓN'!$C$4:$K$57,9,FALSE)</f>
        <v>3825.8278117165551</v>
      </c>
      <c r="AO23" t="b">
        <f t="shared" si="1"/>
        <v>1</v>
      </c>
      <c r="AP23" s="157"/>
    </row>
    <row r="24" spans="1:42" ht="17.25" customHeight="1" x14ac:dyDescent="0.3">
      <c r="A24" s="52" t="s">
        <v>255</v>
      </c>
      <c r="B24" s="52" t="s">
        <v>12</v>
      </c>
      <c r="C24" s="52" t="s">
        <v>14</v>
      </c>
      <c r="D24" s="52" t="s">
        <v>60</v>
      </c>
      <c r="E24" s="53">
        <v>114.50183485714277</v>
      </c>
      <c r="F24" s="53">
        <v>11.466022857142871</v>
      </c>
      <c r="G24" s="53">
        <v>125.96785771428564</v>
      </c>
      <c r="H24" s="54">
        <v>5.7502678872455561E-2</v>
      </c>
      <c r="I24" s="53">
        <v>7243.4892703957412</v>
      </c>
      <c r="J24" s="53">
        <v>289.73957081582967</v>
      </c>
      <c r="K24" s="53">
        <v>7533.2288412115713</v>
      </c>
      <c r="L24" s="55">
        <v>4123070.0637489101</v>
      </c>
      <c r="M24" s="56">
        <v>58.872</v>
      </c>
      <c r="N24" s="55">
        <v>140647</v>
      </c>
      <c r="O24" s="53">
        <v>7897.95556172538</v>
      </c>
      <c r="P24" s="152">
        <v>968.5</v>
      </c>
      <c r="Q24" s="158"/>
      <c r="R24" s="153"/>
      <c r="AM24" s="143">
        <f>+'ESTADO DECLARACIÓN CVP'!G24*'COSTO VARIABLE DE PRODUCCIÓN'!M24</f>
        <v>12816.315065212397</v>
      </c>
      <c r="AN24" s="143">
        <f>+VLOOKUP('ESTADO DECLARACIÓN CVP'!$C24,'COSTO VARIABLE DE PRODUCCIÓN'!$C$4:$K$57,9,FALSE)</f>
        <v>12816.315065212397</v>
      </c>
      <c r="AO24" t="b">
        <f t="shared" si="1"/>
        <v>1</v>
      </c>
    </row>
    <row r="25" spans="1:42" ht="16.5" customHeight="1" x14ac:dyDescent="0.3">
      <c r="A25" s="52" t="s">
        <v>255</v>
      </c>
      <c r="B25" s="52" t="s">
        <v>12</v>
      </c>
      <c r="C25" s="52" t="s">
        <v>155</v>
      </c>
      <c r="D25" s="52" t="s">
        <v>62</v>
      </c>
      <c r="E25" s="53">
        <v>4560.2251200000001</v>
      </c>
      <c r="F25" s="53">
        <v>1139.1732000000002</v>
      </c>
      <c r="G25" s="53">
        <v>5699.3983200000002</v>
      </c>
      <c r="H25" s="54">
        <v>5.9668371941748314E-4</v>
      </c>
      <c r="I25" s="53">
        <v>3400.7381880193548</v>
      </c>
      <c r="J25" s="53">
        <v>425.08962369720001</v>
      </c>
      <c r="K25" s="53">
        <v>3825.8278117165551</v>
      </c>
      <c r="L25" s="55">
        <v>14091.7</v>
      </c>
      <c r="M25" s="56">
        <v>58.872</v>
      </c>
      <c r="N25" s="55">
        <v>10706</v>
      </c>
      <c r="O25" s="53">
        <v>13901.785544550399</v>
      </c>
      <c r="P25" s="152">
        <v>0</v>
      </c>
      <c r="Q25" s="158"/>
      <c r="R25" s="153"/>
      <c r="AM25" s="143">
        <f>+'ESTADO DECLARACIÓN CVP'!G25*'COSTO VARIABLE DE PRODUCCIÓN'!M25</f>
        <v>7533.2288412115713</v>
      </c>
      <c r="AN25" s="143">
        <f>+VLOOKUP('ESTADO DECLARACIÓN CVP'!$C25,'COSTO VARIABLE DE PRODUCCIÓN'!$C$4:$K$57,9,FALSE)</f>
        <v>7533.2288412115713</v>
      </c>
      <c r="AO25" t="b">
        <f t="shared" si="1"/>
        <v>1</v>
      </c>
    </row>
    <row r="26" spans="1:42" ht="16.5" customHeight="1" x14ac:dyDescent="0.3">
      <c r="A26" s="52" t="s">
        <v>255</v>
      </c>
      <c r="B26" s="52" t="s">
        <v>12</v>
      </c>
      <c r="C26" s="52" t="s">
        <v>176</v>
      </c>
      <c r="D26" s="52" t="s">
        <v>59</v>
      </c>
      <c r="E26" s="53">
        <v>422.11094298382739</v>
      </c>
      <c r="F26" s="53">
        <v>0</v>
      </c>
      <c r="G26" s="53">
        <v>422.11094298382739</v>
      </c>
      <c r="H26" s="54">
        <v>8.0581378762683148E-3</v>
      </c>
      <c r="I26" s="53">
        <v>3401.4281776453149</v>
      </c>
      <c r="J26" s="53">
        <v>68.02858148191423</v>
      </c>
      <c r="K26" s="53">
        <v>3469.4567591272294</v>
      </c>
      <c r="L26" s="55">
        <v>0</v>
      </c>
      <c r="M26" s="56">
        <v>58.872</v>
      </c>
      <c r="N26" s="55">
        <v>931.53</v>
      </c>
      <c r="O26" s="53">
        <v>8.0581400000000001E-3</v>
      </c>
      <c r="P26" s="159">
        <v>0</v>
      </c>
      <c r="Q26" s="160"/>
      <c r="R26" s="153"/>
      <c r="AM26" s="143">
        <f>+'ESTADO DECLARACIÓN CVP'!G26*'COSTO VARIABLE DE PRODUCCIÓN'!M26</f>
        <v>6930.357744173808</v>
      </c>
      <c r="AN26" s="143">
        <f>+VLOOKUP('ESTADO DECLARACIÓN CVP'!$C26,'COSTO VARIABLE DE PRODUCCIÓN'!$C$4:$K$57,9,FALSE)</f>
        <v>6930.357744173808</v>
      </c>
      <c r="AO26" t="b">
        <f t="shared" si="1"/>
        <v>1</v>
      </c>
    </row>
    <row r="27" spans="1:42" ht="16.5" customHeight="1" x14ac:dyDescent="0.3">
      <c r="A27" s="52" t="s">
        <v>255</v>
      </c>
      <c r="B27" s="52" t="s">
        <v>16</v>
      </c>
      <c r="C27" s="52" t="s">
        <v>19</v>
      </c>
      <c r="D27" s="52" t="s">
        <v>62</v>
      </c>
      <c r="E27" s="53">
        <v>5535.7341652502228</v>
      </c>
      <c r="F27" s="53">
        <v>737.80940249230605</v>
      </c>
      <c r="G27" s="53">
        <v>6273.5435677425285</v>
      </c>
      <c r="H27" s="54">
        <v>4.9099229646417568E-4</v>
      </c>
      <c r="I27" s="53">
        <v>3080.2615632939624</v>
      </c>
      <c r="J27" s="53">
        <v>154.0130781646979</v>
      </c>
      <c r="K27" s="53">
        <v>3234.27464145866</v>
      </c>
      <c r="L27" s="55">
        <v>40098.375</v>
      </c>
      <c r="M27" s="56">
        <v>58.872</v>
      </c>
      <c r="N27" s="55">
        <v>4.9099229646417503E-4</v>
      </c>
      <c r="O27" s="55">
        <v>2036.6918324409301</v>
      </c>
      <c r="P27" s="55">
        <v>0</v>
      </c>
      <c r="Q27" s="149"/>
      <c r="R27" s="153"/>
      <c r="AM27" s="143">
        <f>+'ESTADO DECLARACIÓN CVP'!G27</f>
        <v>14229.867674858222</v>
      </c>
      <c r="AN27" s="143">
        <f>+VLOOKUP('ESTADO DECLARACIÓN CVP'!$C27,'COSTO VARIABLE DE PRODUCCIÓN'!$C$4:$K$57,9,FALSE)</f>
        <v>14229.867674858222</v>
      </c>
      <c r="AO27" t="b">
        <f t="shared" si="1"/>
        <v>1</v>
      </c>
    </row>
    <row r="28" spans="1:42" ht="16.5" customHeight="1" x14ac:dyDescent="0.3">
      <c r="A28" s="52" t="s">
        <v>255</v>
      </c>
      <c r="B28" s="52" t="s">
        <v>16</v>
      </c>
      <c r="C28" s="52" t="s">
        <v>21</v>
      </c>
      <c r="D28" s="52" t="s">
        <v>61</v>
      </c>
      <c r="E28" s="53">
        <v>147.6</v>
      </c>
      <c r="F28" s="161">
        <v>0</v>
      </c>
      <c r="G28" s="53">
        <v>147.6</v>
      </c>
      <c r="H28" s="54">
        <v>9.4517958412098299E-2</v>
      </c>
      <c r="I28" s="53">
        <v>13950.850661625707</v>
      </c>
      <c r="J28" s="53">
        <v>279.01701323251399</v>
      </c>
      <c r="K28" s="53">
        <v>14229.867674858222</v>
      </c>
      <c r="L28" s="55">
        <v>11500</v>
      </c>
      <c r="M28" s="56">
        <v>58.872</v>
      </c>
      <c r="N28" s="55">
        <v>0</v>
      </c>
      <c r="O28" s="53">
        <v>10.58</v>
      </c>
      <c r="P28" s="152">
        <v>0.86709999999999998</v>
      </c>
      <c r="Q28" s="149"/>
      <c r="R28" s="153"/>
      <c r="AM28" s="143">
        <f>+'ESTADO DECLARACIÓN CVP'!G28*'COSTO VARIABLE DE PRODUCCIÓN'!M28</f>
        <v>3423.1033345998662</v>
      </c>
      <c r="AN28" s="143">
        <f>+VLOOKUP('ESTADO DECLARACIÓN CVP'!$C28,'COSTO VARIABLE DE PRODUCCIÓN'!$C$4:$K$57,9,FALSE)</f>
        <v>3423.1033345998662</v>
      </c>
      <c r="AO28" t="b">
        <f t="shared" si="1"/>
        <v>1</v>
      </c>
    </row>
    <row r="29" spans="1:42" ht="16.5" customHeight="1" x14ac:dyDescent="0.3">
      <c r="A29" s="52" t="s">
        <v>255</v>
      </c>
      <c r="B29" s="52" t="s">
        <v>16</v>
      </c>
      <c r="C29" s="52" t="s">
        <v>17</v>
      </c>
      <c r="D29" s="52" t="s">
        <v>62</v>
      </c>
      <c r="E29" s="53">
        <v>5504.5320046668658</v>
      </c>
      <c r="F29" s="53">
        <v>805.28369332649572</v>
      </c>
      <c r="G29" s="53">
        <v>6309.8156979933619</v>
      </c>
      <c r="H29" s="54">
        <v>5.3713315643338639E-4</v>
      </c>
      <c r="I29" s="53">
        <v>3389.2112223761051</v>
      </c>
      <c r="J29" s="53">
        <v>33.892112223761103</v>
      </c>
      <c r="K29" s="53">
        <v>3423.1033345998662</v>
      </c>
      <c r="L29" s="55">
        <v>40098.375</v>
      </c>
      <c r="M29" s="56">
        <v>58.872</v>
      </c>
      <c r="N29" s="55">
        <v>5.3713315643338705E-4</v>
      </c>
      <c r="O29" s="53">
        <v>1861.7357502934501</v>
      </c>
      <c r="P29" s="152">
        <v>0</v>
      </c>
      <c r="Q29" s="149"/>
      <c r="R29" s="153"/>
      <c r="AM29" s="143">
        <f>+'ESTADO DECLARACIÓN CVP'!G29*'COSTO VARIABLE DE PRODUCCIÓN'!M29</f>
        <v>3234.27464145866</v>
      </c>
      <c r="AN29" s="143">
        <f>+VLOOKUP('ESTADO DECLARACIÓN CVP'!$C29,'COSTO VARIABLE DE PRODUCCIÓN'!$C$4:$K$57,9,FALSE)</f>
        <v>3234.27464145866</v>
      </c>
      <c r="AO29" t="b">
        <f t="shared" si="1"/>
        <v>1</v>
      </c>
    </row>
    <row r="30" spans="1:42" ht="16.5" customHeight="1" x14ac:dyDescent="0.3">
      <c r="A30" s="52" t="s">
        <v>255</v>
      </c>
      <c r="B30" s="52" t="s">
        <v>224</v>
      </c>
      <c r="C30" s="52" t="s">
        <v>186</v>
      </c>
      <c r="D30" s="52" t="s">
        <v>62</v>
      </c>
      <c r="E30" s="53">
        <v>3998.527368</v>
      </c>
      <c r="F30" s="53">
        <v>484.97635548978411</v>
      </c>
      <c r="G30" s="53">
        <v>4483.5037234897836</v>
      </c>
      <c r="H30" s="54">
        <v>4.0802560898160967E-4</v>
      </c>
      <c r="I30" s="53">
        <v>1829.3843371482335</v>
      </c>
      <c r="J30" s="53">
        <v>16.464459034334116</v>
      </c>
      <c r="K30" s="53">
        <v>1845.8487961825676</v>
      </c>
      <c r="L30" s="55">
        <v>116604.72818854199</v>
      </c>
      <c r="M30" s="56">
        <v>58.872</v>
      </c>
      <c r="N30" s="55">
        <v>10126.5</v>
      </c>
      <c r="O30" s="53">
        <v>2450.8265608521401</v>
      </c>
      <c r="P30" s="152">
        <v>0</v>
      </c>
      <c r="Q30" s="149"/>
      <c r="R30" s="153"/>
      <c r="AM30" s="143">
        <f>+'ESTADO DECLARACIÓN CVP'!G30*'COSTO VARIABLE DE PRODUCCIÓN'!M30</f>
        <v>1845.8487961825676</v>
      </c>
      <c r="AN30" s="143">
        <f>+VLOOKUP('ESTADO DECLARACIÓN CVP'!$C30,'COSTO VARIABLE DE PRODUCCIÓN'!$C$4:$K$57,9,FALSE)</f>
        <v>1845.8487961825676</v>
      </c>
      <c r="AO30" t="b">
        <f t="shared" si="1"/>
        <v>1</v>
      </c>
    </row>
    <row r="31" spans="1:42" ht="16.5" customHeight="1" x14ac:dyDescent="0.3">
      <c r="A31" s="52" t="s">
        <v>255</v>
      </c>
      <c r="B31" s="52" t="s">
        <v>224</v>
      </c>
      <c r="C31" s="52" t="s">
        <v>184</v>
      </c>
      <c r="D31" s="52" t="s">
        <v>62</v>
      </c>
      <c r="E31" s="53">
        <v>3998.527368</v>
      </c>
      <c r="F31" s="53">
        <v>484.97635548978411</v>
      </c>
      <c r="G31" s="53">
        <v>4483.5037234897836</v>
      </c>
      <c r="H31" s="54">
        <v>4.1774966807887486E-4</v>
      </c>
      <c r="I31" s="53">
        <v>1872.9821923182569</v>
      </c>
      <c r="J31" s="53">
        <v>16.856839730864326</v>
      </c>
      <c r="K31" s="53">
        <v>1889.8390320491212</v>
      </c>
      <c r="L31" s="55">
        <v>116604.72818854199</v>
      </c>
      <c r="M31" s="56">
        <v>58.872</v>
      </c>
      <c r="N31" s="55">
        <v>10126.5</v>
      </c>
      <c r="O31" s="53">
        <v>2393.7780838911199</v>
      </c>
      <c r="P31" s="152">
        <v>0</v>
      </c>
      <c r="Q31" s="149"/>
      <c r="AM31" s="143">
        <f>+'ESTADO DECLARACIÓN CVP'!G31*'COSTO VARIABLE DE PRODUCCIÓN'!M31</f>
        <v>1889.8390320491212</v>
      </c>
      <c r="AN31" s="143">
        <f>+VLOOKUP('ESTADO DECLARACIÓN CVP'!$C31,'COSTO VARIABLE DE PRODUCCIÓN'!$C$4:$K$57,9,FALSE)</f>
        <v>1889.8390320491212</v>
      </c>
      <c r="AO31" t="b">
        <f t="shared" si="1"/>
        <v>1</v>
      </c>
    </row>
    <row r="32" spans="1:42" ht="16.5" customHeight="1" x14ac:dyDescent="0.3">
      <c r="A32" s="52" t="s">
        <v>255</v>
      </c>
      <c r="B32" s="52" t="s">
        <v>23</v>
      </c>
      <c r="C32" s="52" t="s">
        <v>30</v>
      </c>
      <c r="D32" s="52" t="s">
        <v>59</v>
      </c>
      <c r="E32" s="53">
        <v>621.05382325832647</v>
      </c>
      <c r="F32" s="53">
        <v>0</v>
      </c>
      <c r="G32" s="53">
        <v>621.05382325832647</v>
      </c>
      <c r="H32" s="54">
        <v>8.9689482456372094E-3</v>
      </c>
      <c r="I32" s="53">
        <v>5570.1995985590493</v>
      </c>
      <c r="J32" s="53">
        <v>222.80797608556338</v>
      </c>
      <c r="K32" s="53">
        <v>5793.0075746446128</v>
      </c>
      <c r="L32" s="55">
        <v>0</v>
      </c>
      <c r="M32" s="56">
        <v>58.872</v>
      </c>
      <c r="N32" s="55">
        <v>0</v>
      </c>
      <c r="O32" s="53">
        <v>9045.3913128278291</v>
      </c>
      <c r="P32" s="152">
        <v>0</v>
      </c>
      <c r="Q32" s="149"/>
      <c r="AM32" s="143">
        <f>+'ESTADO DECLARACIÓN CVP'!G32*'COSTO VARIABLE DE PRODUCCIÓN'!M32</f>
        <v>5363.7760217011537</v>
      </c>
      <c r="AN32" s="143">
        <f>+VLOOKUP('ESTADO DECLARACIÓN CVP'!$C32,'COSTO VARIABLE DE PRODUCCIÓN'!$C$4:$K$57,9,FALSE)</f>
        <v>5363.7760217011537</v>
      </c>
      <c r="AO32" t="b">
        <f t="shared" si="1"/>
        <v>1</v>
      </c>
    </row>
    <row r="33" spans="1:41" ht="16.5" customHeight="1" x14ac:dyDescent="0.3">
      <c r="A33" s="52" t="s">
        <v>255</v>
      </c>
      <c r="B33" s="52" t="s">
        <v>23</v>
      </c>
      <c r="C33" s="52" t="s">
        <v>206</v>
      </c>
      <c r="D33" s="52" t="s">
        <v>59</v>
      </c>
      <c r="E33" s="53">
        <v>486.87143999999995</v>
      </c>
      <c r="F33" s="53">
        <v>0</v>
      </c>
      <c r="G33" s="53">
        <v>486.87143999999995</v>
      </c>
      <c r="H33" s="54">
        <v>7.4132204428723741E-3</v>
      </c>
      <c r="I33" s="53">
        <v>3609.2853120587101</v>
      </c>
      <c r="J33" s="53">
        <v>67.472250062653558</v>
      </c>
      <c r="K33" s="53">
        <v>3676.7575621213637</v>
      </c>
      <c r="L33" s="55">
        <v>0</v>
      </c>
      <c r="M33" s="56">
        <v>58.872</v>
      </c>
      <c r="N33" s="55">
        <v>0</v>
      </c>
      <c r="O33" s="53">
        <v>7413.2204265826304</v>
      </c>
      <c r="P33" s="152">
        <v>0</v>
      </c>
      <c r="Q33" s="149"/>
      <c r="AM33" s="143">
        <f>+'ESTADO DECLARACIÓN CVP'!G33*'COSTO VARIABLE DE PRODUCCIÓN'!M33</f>
        <v>5512.2649326057399</v>
      </c>
      <c r="AN33" s="143">
        <f>+VLOOKUP('ESTADO DECLARACIÓN CVP'!$C33,'COSTO VARIABLE DE PRODUCCIÓN'!$C$4:$K$57,9,FALSE)</f>
        <v>5512.2649326057399</v>
      </c>
      <c r="AO33" t="b">
        <f t="shared" si="1"/>
        <v>1</v>
      </c>
    </row>
    <row r="34" spans="1:41" ht="16.5" customHeight="1" x14ac:dyDescent="0.3">
      <c r="A34" s="52" t="s">
        <v>255</v>
      </c>
      <c r="B34" s="52" t="s">
        <v>23</v>
      </c>
      <c r="C34" s="52" t="s">
        <v>28</v>
      </c>
      <c r="D34" s="52" t="s">
        <v>60</v>
      </c>
      <c r="E34" s="53">
        <v>119.89614896482377</v>
      </c>
      <c r="F34" s="53">
        <v>10.782959602607495</v>
      </c>
      <c r="G34" s="53">
        <v>130.67910856743126</v>
      </c>
      <c r="H34" s="54">
        <v>5.7700492923279507E-2</v>
      </c>
      <c r="I34" s="53">
        <v>7540.2489791155413</v>
      </c>
      <c r="J34" s="53">
        <v>301.60995880063183</v>
      </c>
      <c r="K34" s="53">
        <v>7841.8589379161731</v>
      </c>
      <c r="L34" s="55">
        <v>1055648.0290985</v>
      </c>
      <c r="M34" s="56">
        <v>58.872</v>
      </c>
      <c r="N34" s="55">
        <v>146494.24255908601</v>
      </c>
      <c r="O34" s="53">
        <v>8581.4188102327807</v>
      </c>
      <c r="P34" s="152">
        <v>959.85264650968998</v>
      </c>
      <c r="Q34" s="149"/>
      <c r="AM34" s="143">
        <f>+'ESTADO DECLARACIÓN CVP'!G34*'COSTO VARIABLE DE PRODUCCIÓN'!M34</f>
        <v>5793.0075746446128</v>
      </c>
      <c r="AN34" s="143">
        <f>+VLOOKUP('ESTADO DECLARACIÓN CVP'!$C34,'COSTO VARIABLE DE PRODUCCIÓN'!$C$4:$K$57,9,FALSE)</f>
        <v>5793.0075746446128</v>
      </c>
      <c r="AO34" t="b">
        <f t="shared" si="1"/>
        <v>1</v>
      </c>
    </row>
    <row r="35" spans="1:41" ht="16.5" customHeight="1" x14ac:dyDescent="0.3">
      <c r="A35" s="52" t="s">
        <v>255</v>
      </c>
      <c r="B35" s="52" t="s">
        <v>23</v>
      </c>
      <c r="C35" s="52" t="s">
        <v>26</v>
      </c>
      <c r="D35" s="52" t="s">
        <v>59</v>
      </c>
      <c r="E35" s="53">
        <v>621.05382325832647</v>
      </c>
      <c r="F35" s="53">
        <v>0</v>
      </c>
      <c r="G35" s="53">
        <v>621.05382325832647</v>
      </c>
      <c r="H35" s="54">
        <v>8.5342921202402784E-3</v>
      </c>
      <c r="I35" s="70">
        <v>5300.2547500786341</v>
      </c>
      <c r="J35" s="53">
        <v>212.01018252710543</v>
      </c>
      <c r="K35" s="53">
        <v>5512.2649326057399</v>
      </c>
      <c r="L35" s="55">
        <v>0</v>
      </c>
      <c r="M35" s="56">
        <v>58.872</v>
      </c>
      <c r="N35" s="55">
        <v>0</v>
      </c>
      <c r="O35" s="53">
        <v>8346.8233957809207</v>
      </c>
      <c r="P35" s="152">
        <v>0</v>
      </c>
      <c r="Q35" s="149"/>
      <c r="AM35" s="143">
        <f>+'ESTADO DECLARACIÓN CVP'!G35*'COSTO VARIABLE DE PRODUCCIÓN'!M35</f>
        <v>7449.2504545752072</v>
      </c>
      <c r="AN35" s="143">
        <f>+VLOOKUP('ESTADO DECLARACIÓN CVP'!$C35,'COSTO VARIABLE DE PRODUCCIÓN'!$C$4:$K$57,9,FALSE)</f>
        <v>7449.2504545752072</v>
      </c>
      <c r="AO35" t="b">
        <f t="shared" si="1"/>
        <v>1</v>
      </c>
    </row>
    <row r="36" spans="1:41" ht="16.5" customHeight="1" x14ac:dyDescent="0.3">
      <c r="A36" s="162" t="s">
        <v>255</v>
      </c>
      <c r="B36" s="162" t="s">
        <v>23</v>
      </c>
      <c r="C36" s="162" t="s">
        <v>24</v>
      </c>
      <c r="D36" s="162" t="s">
        <v>60</v>
      </c>
      <c r="E36" s="70">
        <v>119.89614896482377</v>
      </c>
      <c r="F36" s="70">
        <v>10.782959602607495</v>
      </c>
      <c r="G36" s="70">
        <v>130.67910856743126</v>
      </c>
      <c r="H36" s="163">
        <v>5.4811674953715937E-2</v>
      </c>
      <c r="I36" s="70">
        <v>7162.7408220393972</v>
      </c>
      <c r="J36" s="70">
        <v>286.50963253580977</v>
      </c>
      <c r="K36" s="70">
        <v>7449.2504545752072</v>
      </c>
      <c r="L36" s="164">
        <v>1055648.0290985</v>
      </c>
      <c r="M36" s="73">
        <v>58.872</v>
      </c>
      <c r="N36" s="164">
        <v>146494.24255908601</v>
      </c>
      <c r="O36" s="70">
        <v>7918.6830969563398</v>
      </c>
      <c r="P36" s="165">
        <v>959.85264650968998</v>
      </c>
      <c r="Q36" s="149"/>
      <c r="AM36" s="143">
        <f>+'ESTADO DECLARACIÓN CVP'!G36*'COSTO VARIABLE DE PRODUCCIÓN'!M36</f>
        <v>7841.8589379161731</v>
      </c>
      <c r="AN36" s="143">
        <f>+VLOOKUP('ESTADO DECLARACIÓN CVP'!$C36,'COSTO VARIABLE DE PRODUCCIÓN'!$C$4:$K$57,9,FALSE)</f>
        <v>7841.8589379161731</v>
      </c>
      <c r="AO36" t="b">
        <f t="shared" si="1"/>
        <v>1</v>
      </c>
    </row>
    <row r="37" spans="1:41" ht="16.5" customHeight="1" x14ac:dyDescent="0.3">
      <c r="A37" s="162" t="s">
        <v>255</v>
      </c>
      <c r="B37" s="162" t="s">
        <v>23</v>
      </c>
      <c r="C37" s="162" t="s">
        <v>208</v>
      </c>
      <c r="D37" s="162" t="s">
        <v>59</v>
      </c>
      <c r="E37" s="53">
        <v>486.87143999999995</v>
      </c>
      <c r="F37" s="70">
        <v>0</v>
      </c>
      <c r="G37" s="53">
        <v>486.87143999999995</v>
      </c>
      <c r="H37" s="163">
        <v>7.312288129462721E-3</v>
      </c>
      <c r="I37" s="53">
        <v>3560.1442512864214</v>
      </c>
      <c r="J37" s="70">
        <v>66.553603536745143</v>
      </c>
      <c r="K37" s="70">
        <v>3626.6978548231664</v>
      </c>
      <c r="L37" s="164">
        <v>0</v>
      </c>
      <c r="M37" s="73">
        <v>58.872</v>
      </c>
      <c r="N37" s="164">
        <v>0</v>
      </c>
      <c r="O37" s="70">
        <v>7312.2881294627196</v>
      </c>
      <c r="P37" s="165">
        <v>0</v>
      </c>
      <c r="Q37" s="149"/>
      <c r="AM37" s="143">
        <f>+'ESTADO DECLARACIÓN CVP'!G37*'COSTO VARIABLE DE PRODUCCIÓN'!M37</f>
        <v>3626.6978548231664</v>
      </c>
      <c r="AN37" s="143">
        <f>+VLOOKUP('ESTADO DECLARACIÓN CVP'!$C37,'COSTO VARIABLE DE PRODUCCIÓN'!$C$4:$K$57,9,FALSE)</f>
        <v>3626.6978548231664</v>
      </c>
      <c r="AO37" t="b">
        <f t="shared" si="1"/>
        <v>1</v>
      </c>
    </row>
    <row r="38" spans="1:41" ht="16.5" customHeight="1" x14ac:dyDescent="0.3">
      <c r="A38" s="162" t="s">
        <v>255</v>
      </c>
      <c r="B38" s="162" t="s">
        <v>23</v>
      </c>
      <c r="C38" s="162" t="s">
        <v>210</v>
      </c>
      <c r="D38" s="162" t="s">
        <v>59</v>
      </c>
      <c r="E38" s="53">
        <v>486.87143999999995</v>
      </c>
      <c r="F38" s="70">
        <v>0</v>
      </c>
      <c r="G38" s="53">
        <v>486.87143999999995</v>
      </c>
      <c r="H38" s="163">
        <v>1.0814652144352543E-2</v>
      </c>
      <c r="I38" s="53">
        <v>5265.3452626200105</v>
      </c>
      <c r="J38" s="70">
        <v>98.430759081142938</v>
      </c>
      <c r="K38" s="70">
        <v>5363.7760217011537</v>
      </c>
      <c r="L38" s="164">
        <v>0</v>
      </c>
      <c r="M38" s="73">
        <v>58.872</v>
      </c>
      <c r="N38" s="164">
        <v>0</v>
      </c>
      <c r="O38" s="70">
        <v>10814.6521443525</v>
      </c>
      <c r="P38" s="165">
        <v>0</v>
      </c>
      <c r="Q38" s="149"/>
      <c r="AM38" s="143">
        <f>+'ESTADO DECLARACIÓN CVP'!G38*'COSTO VARIABLE DE PRODUCCIÓN'!M38</f>
        <v>3676.7575621213637</v>
      </c>
      <c r="AN38" s="143">
        <f>+VLOOKUP('ESTADO DECLARACIÓN CVP'!$C38,'COSTO VARIABLE DE PRODUCCIÓN'!$C$4:$K$57,9,FALSE)</f>
        <v>3676.7575621213637</v>
      </c>
      <c r="AO38" t="b">
        <f t="shared" si="1"/>
        <v>1</v>
      </c>
    </row>
    <row r="39" spans="1:41" ht="16.5" customHeight="1" x14ac:dyDescent="0.3">
      <c r="A39" s="162" t="s">
        <v>255</v>
      </c>
      <c r="B39" s="162" t="s">
        <v>32</v>
      </c>
      <c r="C39" s="162" t="s">
        <v>33</v>
      </c>
      <c r="D39" s="162" t="s">
        <v>60</v>
      </c>
      <c r="E39" s="70">
        <v>136.90560274401372</v>
      </c>
      <c r="F39" s="70">
        <v>3.9979796270911758</v>
      </c>
      <c r="G39" s="70">
        <v>140.90358237110487</v>
      </c>
      <c r="H39" s="163">
        <v>6.0858630986667279E-2</v>
      </c>
      <c r="I39" s="70">
        <v>8575.1991242225486</v>
      </c>
      <c r="J39" s="70">
        <v>343.00796496890194</v>
      </c>
      <c r="K39" s="70">
        <v>8918.20708919145</v>
      </c>
      <c r="L39" s="164">
        <v>737800.93068853999</v>
      </c>
      <c r="M39" s="73">
        <v>58.872</v>
      </c>
      <c r="N39" s="164">
        <v>146402.51475088301</v>
      </c>
      <c r="O39" s="70">
        <v>8909.8843605635702</v>
      </c>
      <c r="P39" s="165">
        <v>931.27354095673104</v>
      </c>
      <c r="Q39" s="149"/>
      <c r="AM39" s="143">
        <f>+'ESTADO DECLARACIÓN CVP'!G39*'COSTO VARIABLE DE PRODUCCIÓN'!M39</f>
        <v>8682.6070084906405</v>
      </c>
      <c r="AN39" s="143">
        <f>+VLOOKUP('ESTADO DECLARACIÓN CVP'!$C39,'COSTO VARIABLE DE PRODUCCIÓN'!$C$4:$K$57,9,FALSE)</f>
        <v>8682.6070084906405</v>
      </c>
      <c r="AO39" t="b">
        <f t="shared" si="1"/>
        <v>1</v>
      </c>
    </row>
    <row r="40" spans="1:41" ht="16.5" customHeight="1" x14ac:dyDescent="0.3">
      <c r="A40" s="162" t="s">
        <v>255</v>
      </c>
      <c r="B40" s="162" t="s">
        <v>32</v>
      </c>
      <c r="C40" s="162" t="s">
        <v>35</v>
      </c>
      <c r="D40" s="162" t="s">
        <v>60</v>
      </c>
      <c r="E40" s="70">
        <v>135.86096806396998</v>
      </c>
      <c r="F40" s="70">
        <v>2.298632671651931</v>
      </c>
      <c r="G40" s="70">
        <v>138.15960073562192</v>
      </c>
      <c r="H40" s="163">
        <v>6.0427654253928258E-2</v>
      </c>
      <c r="I40" s="70">
        <v>8348.6605851129334</v>
      </c>
      <c r="J40" s="70">
        <v>333.94642337770716</v>
      </c>
      <c r="K40" s="70">
        <v>8682.6070084906405</v>
      </c>
      <c r="L40" s="164">
        <v>906319.07773270295</v>
      </c>
      <c r="M40" s="73">
        <v>58.872</v>
      </c>
      <c r="N40" s="53">
        <v>146035.91999309199</v>
      </c>
      <c r="O40" s="70">
        <v>8824.6355430845997</v>
      </c>
      <c r="P40" s="165">
        <v>931.17011047277697</v>
      </c>
      <c r="Q40" s="149"/>
      <c r="AM40" s="143">
        <f>+'ESTADO DECLARACIÓN CVP'!G40*'COSTO VARIABLE DE PRODUCCIÓN'!M40</f>
        <v>8918.20708919145</v>
      </c>
      <c r="AN40" s="143">
        <f>+VLOOKUP('ESTADO DECLARACIÓN CVP'!$C40,'COSTO VARIABLE DE PRODUCCIÓN'!$C$4:$K$57,9,FALSE)</f>
        <v>8918.20708919145</v>
      </c>
      <c r="AO40" t="b">
        <f t="shared" si="1"/>
        <v>1</v>
      </c>
    </row>
    <row r="41" spans="1:41" ht="16.5" customHeight="1" x14ac:dyDescent="0.3">
      <c r="A41" s="162" t="s">
        <v>255</v>
      </c>
      <c r="B41" s="162" t="s">
        <v>219</v>
      </c>
      <c r="C41" s="162" t="s">
        <v>220</v>
      </c>
      <c r="D41" s="162" t="s">
        <v>60</v>
      </c>
      <c r="E41" s="70">
        <v>132.39191428571405</v>
      </c>
      <c r="F41" s="70">
        <v>0</v>
      </c>
      <c r="G41" s="70">
        <v>132.39191428571405</v>
      </c>
      <c r="H41" s="163">
        <v>6.1493437572692954E-2</v>
      </c>
      <c r="I41" s="70">
        <v>8141.2339162578737</v>
      </c>
      <c r="J41" s="70">
        <v>8.8308</v>
      </c>
      <c r="K41" s="70">
        <v>8150.0647162578744</v>
      </c>
      <c r="L41" s="164">
        <v>398358.08942277299</v>
      </c>
      <c r="M41" s="73">
        <v>58.872</v>
      </c>
      <c r="N41" s="53">
        <v>141744</v>
      </c>
      <c r="O41" s="70">
        <v>8009.02</v>
      </c>
      <c r="P41" s="165">
        <v>990.9</v>
      </c>
      <c r="Q41" s="149"/>
      <c r="AM41" s="143">
        <f>+'ESTADO DECLARACIÓN CVP'!G41*'COSTO VARIABLE DE PRODUCCIÓN'!M41</f>
        <v>8150.0647162578744</v>
      </c>
      <c r="AN41" s="143">
        <f>+VLOOKUP('ESTADO DECLARACIÓN CVP'!$C41,'COSTO VARIABLE DE PRODUCCIÓN'!$C$4:$K$57,9,FALSE)</f>
        <v>8150.0647162578744</v>
      </c>
      <c r="AO41" t="b">
        <f t="shared" si="1"/>
        <v>1</v>
      </c>
    </row>
    <row r="42" spans="1:41" ht="16.5" customHeight="1" x14ac:dyDescent="0.3">
      <c r="A42" s="162" t="s">
        <v>255</v>
      </c>
      <c r="B42" s="162" t="s">
        <v>219</v>
      </c>
      <c r="C42" s="162" t="s">
        <v>222</v>
      </c>
      <c r="D42" s="162" t="s">
        <v>60</v>
      </c>
      <c r="E42" s="70">
        <v>132.39191428571405</v>
      </c>
      <c r="F42" s="70">
        <v>0</v>
      </c>
      <c r="G42" s="70">
        <v>132.39191428571405</v>
      </c>
      <c r="H42" s="163">
        <v>6.1067242934021826E-2</v>
      </c>
      <c r="I42" s="70">
        <v>8084.809192185895</v>
      </c>
      <c r="J42" s="70">
        <v>13.540560000000001</v>
      </c>
      <c r="K42" s="70">
        <v>8098.3497521858944</v>
      </c>
      <c r="L42" s="164">
        <v>147064.03324851199</v>
      </c>
      <c r="M42" s="73">
        <v>58.872</v>
      </c>
      <c r="N42" s="164">
        <v>141744</v>
      </c>
      <c r="O42" s="70">
        <v>7677.29</v>
      </c>
      <c r="P42" s="165">
        <v>990.9</v>
      </c>
      <c r="Q42" s="149"/>
      <c r="AM42" s="143">
        <f>+'ESTADO DECLARACIÓN CVP'!G42*'COSTO VARIABLE DE PRODUCCIÓN'!M42</f>
        <v>8098.3497521858944</v>
      </c>
      <c r="AN42" s="143">
        <f>+VLOOKUP('ESTADO DECLARACIÓN CVP'!$C42,'COSTO VARIABLE DE PRODUCCIÓN'!$C$4:$K$57,9,FALSE)</f>
        <v>8098.3497521858944</v>
      </c>
      <c r="AO42" t="b">
        <f t="shared" si="1"/>
        <v>1</v>
      </c>
    </row>
    <row r="43" spans="1:41" ht="16.5" customHeight="1" x14ac:dyDescent="0.3">
      <c r="A43" s="162" t="s">
        <v>255</v>
      </c>
      <c r="B43" s="162" t="s">
        <v>37</v>
      </c>
      <c r="C43" s="162" t="s">
        <v>226</v>
      </c>
      <c r="D43" s="162" t="s">
        <v>60</v>
      </c>
      <c r="E43" s="70">
        <v>137.29791428571446</v>
      </c>
      <c r="F43" s="70">
        <v>7.102198710629974</v>
      </c>
      <c r="G43" s="70">
        <v>144.4001129963444</v>
      </c>
      <c r="H43" s="163">
        <v>5.7293478133653465E-2</v>
      </c>
      <c r="I43" s="70">
        <v>8273.18471645315</v>
      </c>
      <c r="J43" s="70">
        <v>330.92738865812595</v>
      </c>
      <c r="K43" s="70">
        <v>8604.112105111275</v>
      </c>
      <c r="L43" s="164">
        <v>245256.23353756499</v>
      </c>
      <c r="M43" s="73">
        <v>58.872</v>
      </c>
      <c r="N43" s="164">
        <v>141389.555555556</v>
      </c>
      <c r="O43" s="70">
        <v>8100.72466049789</v>
      </c>
      <c r="P43" s="165">
        <v>978.32133848393698</v>
      </c>
      <c r="Q43" s="149"/>
      <c r="AM43" s="143">
        <f>+'ESTADO DECLARACIÓN CVP'!G43*'COSTO VARIABLE DE PRODUCCIÓN'!M43</f>
        <v>8561.4300891341463</v>
      </c>
      <c r="AN43" s="143">
        <f>+VLOOKUP('ESTADO DECLARACIÓN CVP'!$C43,'COSTO VARIABLE DE PRODUCCIÓN'!$C$4:$K$57,9,FALSE)</f>
        <v>8561.4300891341463</v>
      </c>
      <c r="AO43" t="b">
        <f t="shared" si="1"/>
        <v>1</v>
      </c>
    </row>
    <row r="44" spans="1:41" ht="16.5" customHeight="1" x14ac:dyDescent="0.3">
      <c r="A44" s="162" t="s">
        <v>255</v>
      </c>
      <c r="B44" s="162" t="s">
        <v>37</v>
      </c>
      <c r="C44" s="162" t="s">
        <v>40</v>
      </c>
      <c r="D44" s="162" t="s">
        <v>60</v>
      </c>
      <c r="E44" s="70">
        <v>137.29791428571446</v>
      </c>
      <c r="F44" s="70">
        <v>7.102198710629974</v>
      </c>
      <c r="G44" s="70">
        <v>144.4001129963444</v>
      </c>
      <c r="H44" s="163">
        <v>6.0587726144739978E-2</v>
      </c>
      <c r="I44" s="70">
        <v>8748.8745014920223</v>
      </c>
      <c r="J44" s="70">
        <v>349.95498005968091</v>
      </c>
      <c r="K44" s="70">
        <v>9098.8294815517038</v>
      </c>
      <c r="L44" s="164">
        <v>305914.23913106002</v>
      </c>
      <c r="M44" s="73">
        <v>58.872</v>
      </c>
      <c r="N44" s="164">
        <v>141389.555555556</v>
      </c>
      <c r="O44" s="70">
        <v>8566.4983520626101</v>
      </c>
      <c r="P44" s="165">
        <v>978.32133848393698</v>
      </c>
      <c r="Q44" s="149"/>
      <c r="AM44" s="143">
        <f>+'ESTADO DECLARACIÓN CVP'!G44*'COSTO VARIABLE DE PRODUCCIÓN'!M44</f>
        <v>8604.112105111275</v>
      </c>
      <c r="AN44" s="143">
        <f>+VLOOKUP('ESTADO DECLARACIÓN CVP'!$C44,'COSTO VARIABLE DE PRODUCCIÓN'!$C$4:$K$57,9,FALSE)</f>
        <v>8604.112105111275</v>
      </c>
      <c r="AO44" t="b">
        <f t="shared" si="1"/>
        <v>1</v>
      </c>
    </row>
    <row r="45" spans="1:41" ht="16.5" customHeight="1" x14ac:dyDescent="0.3">
      <c r="A45" s="162" t="s">
        <v>255</v>
      </c>
      <c r="B45" s="162" t="s">
        <v>37</v>
      </c>
      <c r="C45" s="162" t="s">
        <v>38</v>
      </c>
      <c r="D45" s="162" t="s">
        <v>60</v>
      </c>
      <c r="E45" s="70">
        <v>137.29791428571446</v>
      </c>
      <c r="F45" s="70">
        <v>7.102198710629974</v>
      </c>
      <c r="G45" s="70">
        <v>144.4001129963444</v>
      </c>
      <c r="H45" s="163">
        <v>5.9911502700690254E-2</v>
      </c>
      <c r="I45" s="70">
        <v>8651.2277597604643</v>
      </c>
      <c r="J45" s="70">
        <v>346.0491103904186</v>
      </c>
      <c r="K45" s="70">
        <v>8997.276870150883</v>
      </c>
      <c r="L45" s="164">
        <v>228993.52677515999</v>
      </c>
      <c r="M45" s="73">
        <v>58.872</v>
      </c>
      <c r="N45" s="164">
        <v>141389.555555556</v>
      </c>
      <c r="O45" s="70">
        <v>8470.8871874068991</v>
      </c>
      <c r="P45" s="165">
        <v>978.32133848393698</v>
      </c>
      <c r="Q45" s="149"/>
      <c r="AM45" s="143">
        <f>+'ESTADO DECLARACIÓN CVP'!G45*'COSTO VARIABLE DE PRODUCCIÓN'!M45</f>
        <v>8997.276870150883</v>
      </c>
      <c r="AN45" s="143">
        <f>+VLOOKUP('ESTADO DECLARACIÓN CVP'!$C45,'COSTO VARIABLE DE PRODUCCIÓN'!$C$4:$K$57,9,FALSE)</f>
        <v>8997.276870150883</v>
      </c>
      <c r="AO45" t="b">
        <f t="shared" si="1"/>
        <v>1</v>
      </c>
    </row>
    <row r="46" spans="1:41" ht="16.5" customHeight="1" x14ac:dyDescent="0.3">
      <c r="A46" s="162" t="s">
        <v>255</v>
      </c>
      <c r="B46" s="162" t="s">
        <v>37</v>
      </c>
      <c r="C46" s="162" t="s">
        <v>42</v>
      </c>
      <c r="D46" s="162" t="s">
        <v>60</v>
      </c>
      <c r="E46" s="70">
        <v>137.29791428571446</v>
      </c>
      <c r="F46" s="70">
        <v>7.102198710629974</v>
      </c>
      <c r="G46" s="70">
        <v>144.4001129963444</v>
      </c>
      <c r="H46" s="163">
        <v>5.7009265059810195E-2</v>
      </c>
      <c r="I46" s="70">
        <v>8232.1443164751417</v>
      </c>
      <c r="J46" s="70">
        <v>329.28577265900566</v>
      </c>
      <c r="K46" s="70">
        <v>8561.4300891341463</v>
      </c>
      <c r="L46" s="164">
        <v>285109.60137109301</v>
      </c>
      <c r="M46" s="73">
        <v>58.872</v>
      </c>
      <c r="N46" s="164">
        <v>141389.555555556</v>
      </c>
      <c r="O46" s="70">
        <v>8060.5397459748101</v>
      </c>
      <c r="P46" s="165">
        <v>978.32133848393698</v>
      </c>
      <c r="Q46" s="149"/>
      <c r="AM46" s="143">
        <f>+'ESTADO DECLARACIÓN CVP'!G46*'COSTO VARIABLE DE PRODUCCIÓN'!M46</f>
        <v>9098.8294815517038</v>
      </c>
      <c r="AN46" s="143">
        <f>+VLOOKUP('ESTADO DECLARACIÓN CVP'!$C46,'COSTO VARIABLE DE PRODUCCIÓN'!$C$4:$K$57,9,FALSE)</f>
        <v>9098.8294815517038</v>
      </c>
      <c r="AO46" t="b">
        <f t="shared" si="1"/>
        <v>1</v>
      </c>
    </row>
    <row r="47" spans="1:41" ht="16.5" customHeight="1" x14ac:dyDescent="0.3">
      <c r="A47" s="162" t="s">
        <v>255</v>
      </c>
      <c r="B47" s="162" t="s">
        <v>92</v>
      </c>
      <c r="C47" s="162" t="s">
        <v>53</v>
      </c>
      <c r="D47" s="162" t="s">
        <v>60</v>
      </c>
      <c r="E47" s="70">
        <v>151.7916399999998</v>
      </c>
      <c r="F47" s="70">
        <v>0</v>
      </c>
      <c r="G47" s="70">
        <v>151.7916399999998</v>
      </c>
      <c r="H47" s="163">
        <v>5.9811683412589252E-2</v>
      </c>
      <c r="I47" s="70">
        <v>9078.9135163577066</v>
      </c>
      <c r="J47" s="70">
        <v>363.15654065430823</v>
      </c>
      <c r="K47" s="70">
        <v>9442.0700570120152</v>
      </c>
      <c r="L47" s="164">
        <v>5101838.7</v>
      </c>
      <c r="M47" s="73">
        <v>58.872</v>
      </c>
      <c r="N47" s="164">
        <v>147815.13869497899</v>
      </c>
      <c r="O47" s="70">
        <v>8964.8147496145302</v>
      </c>
      <c r="P47" s="165">
        <v>971.82120399999997</v>
      </c>
      <c r="Q47" s="149"/>
      <c r="AM47" s="143">
        <f>+'ESTADO DECLARACIÓN CVP'!G47*'COSTO VARIABLE DE PRODUCCIÓN'!M47</f>
        <v>9442.0700570120152</v>
      </c>
      <c r="AN47" s="143">
        <f>+VLOOKUP('ESTADO DECLARACIÓN CVP'!$C47,'COSTO VARIABLE DE PRODUCCIÓN'!$C$4:$K$57,9,FALSE)</f>
        <v>9442.0700570120152</v>
      </c>
      <c r="AO47" t="b">
        <f t="shared" si="1"/>
        <v>1</v>
      </c>
    </row>
    <row r="48" spans="1:41" ht="16.5" customHeight="1" x14ac:dyDescent="0.3">
      <c r="A48" s="162" t="s">
        <v>255</v>
      </c>
      <c r="B48" s="162" t="s">
        <v>44</v>
      </c>
      <c r="C48" s="162" t="s">
        <v>47</v>
      </c>
      <c r="D48" s="162" t="s">
        <v>59</v>
      </c>
      <c r="E48" s="70">
        <v>829.50648000000001</v>
      </c>
      <c r="F48" s="70">
        <v>0</v>
      </c>
      <c r="G48" s="70">
        <v>829.50648000000001</v>
      </c>
      <c r="H48" s="163">
        <v>9.3403239869489126E-3</v>
      </c>
      <c r="I48" s="70">
        <v>7747.859272473559</v>
      </c>
      <c r="J48" s="70">
        <v>0</v>
      </c>
      <c r="K48" s="70">
        <v>7747.859272473559</v>
      </c>
      <c r="L48" s="164">
        <v>0</v>
      </c>
      <c r="M48" s="73">
        <v>58.872</v>
      </c>
      <c r="N48" s="164">
        <v>0</v>
      </c>
      <c r="O48" s="70">
        <v>0</v>
      </c>
      <c r="P48" s="165">
        <v>0</v>
      </c>
      <c r="Q48" s="149"/>
      <c r="AM48" s="143">
        <f>+'ESTADO DECLARACIÓN CVP'!G48*'COSTO VARIABLE DE PRODUCCIÓN'!M48</f>
        <v>8644.3368042687653</v>
      </c>
      <c r="AN48" s="143">
        <f>+VLOOKUP('ESTADO DECLARACIÓN CVP'!$C48,'COSTO VARIABLE DE PRODUCCIÓN'!$C$4:$K$57,9,FALSE)</f>
        <v>8644.3368042687653</v>
      </c>
      <c r="AO48" t="b">
        <f t="shared" si="1"/>
        <v>1</v>
      </c>
    </row>
    <row r="49" spans="1:41" ht="16.5" customHeight="1" x14ac:dyDescent="0.3">
      <c r="A49" s="162" t="s">
        <v>255</v>
      </c>
      <c r="B49" s="162" t="s">
        <v>44</v>
      </c>
      <c r="C49" s="162" t="s">
        <v>45</v>
      </c>
      <c r="D49" s="162" t="s">
        <v>60</v>
      </c>
      <c r="E49" s="70">
        <v>135.18973599999981</v>
      </c>
      <c r="F49" s="70">
        <v>5.8171142857142852</v>
      </c>
      <c r="G49" s="70">
        <v>141.00685028571411</v>
      </c>
      <c r="H49" s="163">
        <v>5.8946514270904277E-2</v>
      </c>
      <c r="I49" s="53">
        <v>8311.8623126621078</v>
      </c>
      <c r="J49" s="53">
        <v>332.47449160665718</v>
      </c>
      <c r="K49" s="53">
        <v>8644.3368042687653</v>
      </c>
      <c r="L49" s="164">
        <v>191536</v>
      </c>
      <c r="M49" s="73">
        <v>58.872</v>
      </c>
      <c r="N49" s="164">
        <v>147821.58225221001</v>
      </c>
      <c r="O49" s="70">
        <v>8713.5669841946601</v>
      </c>
      <c r="P49" s="165">
        <v>942.46694465214796</v>
      </c>
      <c r="Q49" s="149"/>
      <c r="AM49" s="143">
        <f>+'ESTADO DECLARACIÓN CVP'!G49*'COSTO VARIABLE DE PRODUCCIÓN'!M49</f>
        <v>7747.859272473559</v>
      </c>
      <c r="AN49" s="143">
        <f>+VLOOKUP('ESTADO DECLARACIÓN CVP'!$C49,'COSTO VARIABLE DE PRODUCCIÓN'!$C$4:$K$57,9,FALSE)</f>
        <v>7747.859272473559</v>
      </c>
      <c r="AO49" t="b">
        <f t="shared" si="1"/>
        <v>1</v>
      </c>
    </row>
    <row r="50" spans="1:41" ht="16.5" customHeight="1" x14ac:dyDescent="0.3">
      <c r="A50" s="162" t="s">
        <v>255</v>
      </c>
      <c r="B50" s="162" t="s">
        <v>49</v>
      </c>
      <c r="C50" s="162" t="s">
        <v>50</v>
      </c>
      <c r="D50" s="162" t="s">
        <v>60</v>
      </c>
      <c r="E50" s="70">
        <v>146.92302289573371</v>
      </c>
      <c r="F50" s="70">
        <v>0</v>
      </c>
      <c r="G50" s="47">
        <v>146.92302289573371</v>
      </c>
      <c r="H50" s="163">
        <v>6.3737314538691622E-2</v>
      </c>
      <c r="I50" s="47">
        <v>9364.4789232807707</v>
      </c>
      <c r="J50" s="70">
        <v>374.57915693123084</v>
      </c>
      <c r="K50" s="47">
        <v>9739.0580802120003</v>
      </c>
      <c r="L50" s="164">
        <v>46603</v>
      </c>
      <c r="M50" s="73">
        <v>58.872</v>
      </c>
      <c r="N50" s="164">
        <v>141010.13862963099</v>
      </c>
      <c r="O50" s="70">
        <v>9048.0256010390694</v>
      </c>
      <c r="P50" s="165">
        <v>928.26017375360198</v>
      </c>
      <c r="Q50" s="149"/>
      <c r="AM50" s="143">
        <f>+'ESTADO DECLARACIÓN CVP'!G50*'COSTO VARIABLE DE PRODUCCIÓN'!M50</f>
        <v>9739.0580802120003</v>
      </c>
      <c r="AN50" s="143">
        <f>+VLOOKUP('ESTADO DECLARACIÓN CVP'!$C50,'COSTO VARIABLE DE PRODUCCIÓN'!$C$4:$K$57,9,FALSE)</f>
        <v>9739.0580802120003</v>
      </c>
      <c r="AO50" t="b">
        <f t="shared" si="1"/>
        <v>1</v>
      </c>
    </row>
    <row r="51" spans="1:41" ht="16.5" customHeight="1" x14ac:dyDescent="0.3">
      <c r="A51" s="162" t="s">
        <v>255</v>
      </c>
      <c r="B51" s="162" t="s">
        <v>52</v>
      </c>
      <c r="C51" s="162" t="s">
        <v>165</v>
      </c>
      <c r="D51" s="162" t="s">
        <v>59</v>
      </c>
      <c r="E51" s="70">
        <v>491.66950800000001</v>
      </c>
      <c r="F51" s="70">
        <v>0</v>
      </c>
      <c r="G51" s="47">
        <v>491.66950800000001</v>
      </c>
      <c r="H51" s="163">
        <v>8.0168831667005707E-3</v>
      </c>
      <c r="I51" s="47">
        <v>3941.6570022651517</v>
      </c>
      <c r="J51" s="70">
        <v>29.436</v>
      </c>
      <c r="K51" s="47">
        <v>3971.0930022651519</v>
      </c>
      <c r="L51" s="164">
        <v>0</v>
      </c>
      <c r="M51" s="73">
        <v>58.872</v>
      </c>
      <c r="N51" s="164">
        <v>23800</v>
      </c>
      <c r="O51" s="70">
        <v>7989.3585441375599</v>
      </c>
      <c r="P51" s="165">
        <v>0</v>
      </c>
      <c r="Q51" s="149"/>
      <c r="AM51" s="143">
        <f>+'ESTADO DECLARACIÓN CVP'!G51*'COSTO VARIABLE DE PRODUCCIÓN'!M51</f>
        <v>3971.0930022651519</v>
      </c>
      <c r="AN51" s="143">
        <f>+VLOOKUP('ESTADO DECLARACIÓN CVP'!$C51,'COSTO VARIABLE DE PRODUCCIÓN'!$C$4:$K$57,9,FALSE)</f>
        <v>3971.0930022651519</v>
      </c>
      <c r="AO51" t="b">
        <f t="shared" si="1"/>
        <v>1</v>
      </c>
    </row>
    <row r="52" spans="1:41" ht="16.5" customHeight="1" x14ac:dyDescent="0.3">
      <c r="A52" s="162" t="s">
        <v>255</v>
      </c>
      <c r="B52" s="162" t="s">
        <v>52</v>
      </c>
      <c r="C52" s="162" t="s">
        <v>167</v>
      </c>
      <c r="D52" s="162" t="s">
        <v>59</v>
      </c>
      <c r="E52" s="70">
        <v>491.66950800000001</v>
      </c>
      <c r="F52" s="70">
        <v>0</v>
      </c>
      <c r="G52" s="70">
        <v>491.66950800000001</v>
      </c>
      <c r="H52" s="163">
        <v>8.0168831667005707E-3</v>
      </c>
      <c r="I52" s="70">
        <v>3941.6570022651517</v>
      </c>
      <c r="J52" s="70">
        <v>29.436</v>
      </c>
      <c r="K52" s="70">
        <v>3971.0930022651519</v>
      </c>
      <c r="L52" s="164">
        <v>0</v>
      </c>
      <c r="M52" s="73">
        <v>58.872</v>
      </c>
      <c r="N52" s="164">
        <v>23800</v>
      </c>
      <c r="O52" s="70">
        <v>7989.3585441375599</v>
      </c>
      <c r="P52" s="165">
        <v>0</v>
      </c>
      <c r="Q52" s="149"/>
      <c r="AM52" s="143">
        <f>+'ESTADO DECLARACIÓN CVP'!G52*'COSTO VARIABLE DE PRODUCCIÓN'!M52</f>
        <v>6588.2442220030089</v>
      </c>
      <c r="AN52" s="143">
        <f>+VLOOKUP('ESTADO DECLARACIÓN CVP'!$C52,'COSTO VARIABLE DE PRODUCCIÓN'!$C$4:$K$57,9,FALSE)</f>
        <v>6588.2442220030089</v>
      </c>
      <c r="AO52" t="b">
        <f t="shared" si="1"/>
        <v>1</v>
      </c>
    </row>
    <row r="53" spans="1:41" ht="16.5" customHeight="1" x14ac:dyDescent="0.3">
      <c r="A53" s="162" t="s">
        <v>255</v>
      </c>
      <c r="B53" s="162" t="s">
        <v>52</v>
      </c>
      <c r="C53" s="162" t="s">
        <v>172</v>
      </c>
      <c r="D53" s="162" t="s">
        <v>60</v>
      </c>
      <c r="E53" s="70">
        <v>147.72947214942815</v>
      </c>
      <c r="F53" s="70">
        <v>0</v>
      </c>
      <c r="G53" s="70">
        <v>147.72947214942815</v>
      </c>
      <c r="H53" s="163">
        <v>4.4397425419409768E-2</v>
      </c>
      <c r="I53" s="70">
        <v>6558.8082220030083</v>
      </c>
      <c r="J53" s="70">
        <v>29.436</v>
      </c>
      <c r="K53" s="70">
        <v>6588.2442220030089</v>
      </c>
      <c r="L53" s="164">
        <v>3430095.6</v>
      </c>
      <c r="M53" s="73">
        <v>58.872</v>
      </c>
      <c r="N53" s="164">
        <v>148856.21057502099</v>
      </c>
      <c r="O53" s="70">
        <v>7853.3703803296703</v>
      </c>
      <c r="P53" s="165">
        <v>967.9</v>
      </c>
      <c r="Q53" s="149"/>
      <c r="AM53" s="143">
        <f>+'ESTADO DECLARACIÓN CVP'!G53*'COSTO VARIABLE DE PRODUCCIÓN'!M53</f>
        <v>6588.2442220030089</v>
      </c>
      <c r="AN53" s="143">
        <f>+VLOOKUP('ESTADO DECLARACIÓN CVP'!$C53,'COSTO VARIABLE DE PRODUCCIÓN'!$C$4:$K$57,9,FALSE)</f>
        <v>6588.2442220030089</v>
      </c>
      <c r="AO53" t="b">
        <f t="shared" si="1"/>
        <v>1</v>
      </c>
    </row>
    <row r="54" spans="1:41" ht="16.5" customHeight="1" x14ac:dyDescent="0.3">
      <c r="A54" s="162" t="s">
        <v>255</v>
      </c>
      <c r="B54" s="162" t="s">
        <v>52</v>
      </c>
      <c r="C54" s="162" t="s">
        <v>170</v>
      </c>
      <c r="D54" s="162" t="s">
        <v>60</v>
      </c>
      <c r="E54" s="70">
        <v>147.72947214942815</v>
      </c>
      <c r="F54" s="70">
        <v>0</v>
      </c>
      <c r="G54" s="70">
        <v>147.72947214942815</v>
      </c>
      <c r="H54" s="163">
        <v>4.4397425419409768E-2</v>
      </c>
      <c r="I54" s="70">
        <v>6558.8082220030083</v>
      </c>
      <c r="J54" s="70">
        <v>29.436</v>
      </c>
      <c r="K54" s="70">
        <v>6588.2442220030089</v>
      </c>
      <c r="L54" s="164">
        <v>3430095.6</v>
      </c>
      <c r="M54" s="73">
        <v>58.872</v>
      </c>
      <c r="N54" s="164">
        <v>148856.21057502099</v>
      </c>
      <c r="O54" s="70">
        <v>7853.3703803296703</v>
      </c>
      <c r="P54" s="165">
        <v>967.9</v>
      </c>
      <c r="Q54" s="149"/>
      <c r="AM54" s="143">
        <f>+'ESTADO DECLARACIÓN CVP'!G54*'COSTO VARIABLE DE PRODUCCIÓN'!M54</f>
        <v>3971.0930022651519</v>
      </c>
      <c r="AN54" s="143">
        <f>+VLOOKUP('ESTADO DECLARACIÓN CVP'!$C54,'COSTO VARIABLE DE PRODUCCIÓN'!$C$4:$K$57,9,FALSE)</f>
        <v>3971.0930022651519</v>
      </c>
      <c r="AO54" t="b">
        <f t="shared" si="1"/>
        <v>1</v>
      </c>
    </row>
    <row r="55" spans="1:41" ht="16.5" customHeight="1" x14ac:dyDescent="0.3">
      <c r="A55" s="162" t="s">
        <v>255</v>
      </c>
      <c r="B55" s="162" t="s">
        <v>218</v>
      </c>
      <c r="C55" s="162" t="s">
        <v>239</v>
      </c>
      <c r="D55" s="162" t="s">
        <v>59</v>
      </c>
      <c r="E55" s="70">
        <v>1139.1732000000002</v>
      </c>
      <c r="F55" s="70">
        <v>0</v>
      </c>
      <c r="G55" s="70">
        <v>1139.1732000000002</v>
      </c>
      <c r="H55" s="163">
        <v>8.4419871879506704E-3</v>
      </c>
      <c r="I55" s="70">
        <v>9616.885559256767</v>
      </c>
      <c r="J55" s="70">
        <v>192.51143999999999</v>
      </c>
      <c r="K55" s="70">
        <v>9809.396999256769</v>
      </c>
      <c r="L55" s="164">
        <v>0</v>
      </c>
      <c r="M55" s="73">
        <v>58.872</v>
      </c>
      <c r="N55" s="164">
        <v>1000</v>
      </c>
      <c r="O55" s="70">
        <v>8.4419999999999999E-3</v>
      </c>
      <c r="P55" s="165">
        <v>0</v>
      </c>
      <c r="Q55" s="149"/>
      <c r="AM55" s="143">
        <f>+'ESTADO DECLARACIÓN CVP'!G55*'COSTO VARIABLE DE PRODUCCIÓN'!M55</f>
        <v>9809.396999256769</v>
      </c>
      <c r="AN55" s="143">
        <f>+VLOOKUP('ESTADO DECLARACIÓN CVP'!$C55,'COSTO VARIABLE DE PRODUCCIÓN'!$C$4:$K$57,9,FALSE)</f>
        <v>9809.396999256769</v>
      </c>
      <c r="AO55" t="b">
        <f t="shared" si="1"/>
        <v>1</v>
      </c>
    </row>
    <row r="56" spans="1:41" ht="16.5" customHeight="1" x14ac:dyDescent="0.3">
      <c r="A56" s="162" t="s">
        <v>255</v>
      </c>
      <c r="B56" s="162" t="s">
        <v>218</v>
      </c>
      <c r="C56" s="162" t="s">
        <v>230</v>
      </c>
      <c r="D56" s="162" t="s">
        <v>59</v>
      </c>
      <c r="E56" s="70">
        <v>1139.1732000000002</v>
      </c>
      <c r="F56" s="70">
        <v>0</v>
      </c>
      <c r="G56" s="70">
        <v>1139.1732000000002</v>
      </c>
      <c r="H56" s="163">
        <v>1.1251392880147988E-2</v>
      </c>
      <c r="I56" s="70">
        <v>12817.285231735401</v>
      </c>
      <c r="J56" s="70">
        <v>256.09319999999997</v>
      </c>
      <c r="K56" s="70">
        <v>13073.3784317354</v>
      </c>
      <c r="L56" s="164">
        <v>0</v>
      </c>
      <c r="M56" s="73">
        <v>58.872</v>
      </c>
      <c r="N56" s="164">
        <v>1000</v>
      </c>
      <c r="O56" s="70">
        <v>1.1251300000000001E-2</v>
      </c>
      <c r="P56" s="165">
        <v>0</v>
      </c>
      <c r="Q56" s="149"/>
      <c r="AM56" s="143">
        <f>+'ESTADO DECLARACIÓN CVP'!G56*'COSTO VARIABLE DE PRODUCCIÓN'!M56</f>
        <v>13073.3784317354</v>
      </c>
      <c r="AN56" s="143">
        <f>+VLOOKUP('ESTADO DECLARACIÓN CVP'!$C56,'COSTO VARIABLE DE PRODUCCIÓN'!$C$4:$K$57,9,FALSE)</f>
        <v>13073.3784317354</v>
      </c>
      <c r="AO56" t="b">
        <f t="shared" si="1"/>
        <v>1</v>
      </c>
    </row>
    <row r="57" spans="1:41" ht="16.5" customHeight="1" thickBot="1" x14ac:dyDescent="0.35">
      <c r="A57" s="166" t="s">
        <v>255</v>
      </c>
      <c r="B57" s="166" t="s">
        <v>97</v>
      </c>
      <c r="C57" s="166" t="s">
        <v>157</v>
      </c>
      <c r="D57" s="166" t="s">
        <v>99</v>
      </c>
      <c r="E57" s="112">
        <v>2084.3743554565549</v>
      </c>
      <c r="F57" s="112">
        <v>0</v>
      </c>
      <c r="G57" s="112">
        <v>2084.3743554565549</v>
      </c>
      <c r="H57" s="167">
        <v>2.190475856237595E-3</v>
      </c>
      <c r="I57" s="112">
        <v>4565.7717009883827</v>
      </c>
      <c r="J57" s="112">
        <v>570.71459924218766</v>
      </c>
      <c r="K57" s="112">
        <v>5136.4863002305692</v>
      </c>
      <c r="L57" s="168">
        <v>82180.9980641211</v>
      </c>
      <c r="M57" s="116">
        <v>58.872</v>
      </c>
      <c r="N57" s="168">
        <v>3690.4442260574701</v>
      </c>
      <c r="O57" s="112">
        <v>14806.3363653422</v>
      </c>
      <c r="P57" s="169">
        <v>234.46505108761301</v>
      </c>
      <c r="Q57" s="149"/>
      <c r="AM57" s="143">
        <f>+'ESTADO DECLARACIÓN CVP'!G56*'COSTO VARIABLE DE PRODUCCIÓN'!M57</f>
        <v>13073.3784317354</v>
      </c>
      <c r="AN57" s="143">
        <f>+VLOOKUP('ESTADO DECLARACIÓN CVP'!$C56,'COSTO VARIABLE DE PRODUCCIÓN'!$C$4:$K$57,9,FALSE)</f>
        <v>13073.3784317354</v>
      </c>
      <c r="AO57" t="b">
        <f t="shared" si="0"/>
        <v>1</v>
      </c>
    </row>
    <row r="59" spans="1:41" s="23" customFormat="1" ht="18" x14ac:dyDescent="0.35">
      <c r="A59" s="18" t="s">
        <v>90</v>
      </c>
    </row>
    <row r="60" spans="1:41" s="23" customFormat="1" x14ac:dyDescent="0.3">
      <c r="A60" s="24" t="s">
        <v>70</v>
      </c>
    </row>
    <row r="61" spans="1:41" s="23" customFormat="1" ht="15" thickBot="1" x14ac:dyDescent="0.35"/>
    <row r="62" spans="1:41" s="23" customFormat="1" ht="18.600000000000001" thickBot="1" x14ac:dyDescent="0.35">
      <c r="A62" s="25" t="s">
        <v>86</v>
      </c>
      <c r="B62" s="25" t="s">
        <v>71</v>
      </c>
      <c r="C62" s="25" t="s">
        <v>94</v>
      </c>
      <c r="D62" s="75" t="s">
        <v>72</v>
      </c>
    </row>
    <row r="63" spans="1:41" s="23" customFormat="1" x14ac:dyDescent="0.3">
      <c r="A63" s="26" t="s">
        <v>73</v>
      </c>
      <c r="B63" s="27" t="s">
        <v>134</v>
      </c>
      <c r="C63" s="27" t="s">
        <v>74</v>
      </c>
      <c r="D63" s="28" t="s">
        <v>75</v>
      </c>
    </row>
    <row r="64" spans="1:41" s="23" customFormat="1" x14ac:dyDescent="0.3">
      <c r="A64" s="29" t="s">
        <v>76</v>
      </c>
      <c r="B64" s="30" t="s">
        <v>134</v>
      </c>
      <c r="C64" s="30" t="s">
        <v>74</v>
      </c>
      <c r="D64" s="31" t="s">
        <v>75</v>
      </c>
    </row>
    <row r="65" spans="1:9" s="23" customFormat="1" x14ac:dyDescent="0.3">
      <c r="A65" s="29" t="s">
        <v>77</v>
      </c>
      <c r="B65" s="30" t="s">
        <v>134</v>
      </c>
      <c r="C65" s="30" t="s">
        <v>74</v>
      </c>
      <c r="D65" s="31" t="s">
        <v>75</v>
      </c>
    </row>
    <row r="66" spans="1:9" s="23" customFormat="1" x14ac:dyDescent="0.3">
      <c r="A66" s="29" t="s">
        <v>78</v>
      </c>
      <c r="B66" s="30" t="s">
        <v>135</v>
      </c>
      <c r="C66" s="30" t="s">
        <v>80</v>
      </c>
      <c r="D66" s="31" t="s">
        <v>81</v>
      </c>
    </row>
    <row r="67" spans="1:9" s="23" customFormat="1" x14ac:dyDescent="0.3">
      <c r="A67" s="29" t="s">
        <v>56</v>
      </c>
      <c r="B67" s="30" t="s">
        <v>137</v>
      </c>
      <c r="C67" s="30" t="s">
        <v>136</v>
      </c>
      <c r="D67" s="31" t="s">
        <v>82</v>
      </c>
    </row>
    <row r="68" spans="1:9" s="23" customFormat="1" x14ac:dyDescent="0.3">
      <c r="A68" s="29" t="s">
        <v>83</v>
      </c>
      <c r="B68" s="30" t="s">
        <v>138</v>
      </c>
      <c r="C68" s="30" t="s">
        <v>139</v>
      </c>
      <c r="D68" s="31" t="s">
        <v>85</v>
      </c>
    </row>
    <row r="69" spans="1:9" s="23" customFormat="1" x14ac:dyDescent="0.3">
      <c r="A69" s="29" t="s">
        <v>57</v>
      </c>
      <c r="B69" s="30" t="s">
        <v>140</v>
      </c>
      <c r="C69" s="30" t="s">
        <v>142</v>
      </c>
      <c r="D69" s="31" t="s">
        <v>147</v>
      </c>
    </row>
    <row r="70" spans="1:9" s="23" customFormat="1" ht="16.8" thickBot="1" x14ac:dyDescent="0.35">
      <c r="A70" s="32" t="s">
        <v>58</v>
      </c>
      <c r="B70" s="33" t="s">
        <v>141</v>
      </c>
      <c r="C70" s="34" t="s">
        <v>84</v>
      </c>
      <c r="D70" s="35" t="s">
        <v>84</v>
      </c>
    </row>
    <row r="71" spans="1:9" s="23" customFormat="1" ht="15" thickBot="1" x14ac:dyDescent="0.35">
      <c r="C71" s="74"/>
      <c r="D71" s="74"/>
    </row>
    <row r="72" spans="1:9" s="23" customFormat="1" x14ac:dyDescent="0.3">
      <c r="A72" s="215" t="s">
        <v>93</v>
      </c>
      <c r="B72" s="216"/>
      <c r="C72" s="216"/>
      <c r="D72" s="217"/>
    </row>
    <row r="73" spans="1:9" s="23" customFormat="1" ht="42.75" customHeight="1" x14ac:dyDescent="0.3">
      <c r="A73" s="78"/>
      <c r="B73" s="212" t="s">
        <v>225</v>
      </c>
      <c r="C73" s="213"/>
      <c r="D73" s="214"/>
    </row>
    <row r="74" spans="1:9" s="23" customFormat="1" ht="15" customHeight="1" thickBot="1" x14ac:dyDescent="0.35">
      <c r="A74" s="32"/>
      <c r="B74" s="76"/>
      <c r="C74" s="77"/>
      <c r="D74" s="35"/>
    </row>
    <row r="75" spans="1:9" s="23" customFormat="1" ht="15" customHeight="1" thickBot="1" x14ac:dyDescent="0.35">
      <c r="C75" s="74"/>
      <c r="D75" s="74"/>
    </row>
    <row r="76" spans="1:9" s="23" customFormat="1" ht="54.6" thickBot="1" x14ac:dyDescent="0.35">
      <c r="A76" s="79" t="s">
        <v>149</v>
      </c>
      <c r="B76" s="79" t="s">
        <v>21</v>
      </c>
      <c r="C76" s="79" t="s">
        <v>98</v>
      </c>
      <c r="D76" s="80" t="s">
        <v>148</v>
      </c>
      <c r="E76" s="80" t="s">
        <v>150</v>
      </c>
      <c r="F76" s="80" t="s">
        <v>151</v>
      </c>
      <c r="G76" s="80" t="s">
        <v>47</v>
      </c>
      <c r="H76" s="80" t="s">
        <v>197</v>
      </c>
      <c r="I76" s="80" t="s">
        <v>219</v>
      </c>
    </row>
    <row r="77" spans="1:9" s="23" customFormat="1" x14ac:dyDescent="0.3">
      <c r="A77" s="29" t="s">
        <v>83</v>
      </c>
      <c r="B77" s="30" t="s">
        <v>138</v>
      </c>
      <c r="C77" s="30" t="s">
        <v>144</v>
      </c>
      <c r="D77" s="31" t="s">
        <v>139</v>
      </c>
      <c r="E77" s="31" t="s">
        <v>143</v>
      </c>
      <c r="F77" s="31"/>
      <c r="G77" s="31"/>
      <c r="H77" s="31" t="s">
        <v>198</v>
      </c>
      <c r="I77" s="31" t="s">
        <v>198</v>
      </c>
    </row>
    <row r="78" spans="1:9" s="23" customFormat="1" x14ac:dyDescent="0.3">
      <c r="A78" s="29" t="s">
        <v>57</v>
      </c>
      <c r="B78" s="30" t="s">
        <v>145</v>
      </c>
      <c r="C78" s="30" t="s">
        <v>147</v>
      </c>
      <c r="D78" s="31" t="s">
        <v>145</v>
      </c>
      <c r="E78" s="31" t="s">
        <v>89</v>
      </c>
      <c r="F78" s="31" t="s">
        <v>152</v>
      </c>
      <c r="G78" s="31" t="s">
        <v>152</v>
      </c>
      <c r="H78" s="31" t="s">
        <v>199</v>
      </c>
      <c r="I78" s="31" t="s">
        <v>140</v>
      </c>
    </row>
    <row r="79" spans="1:9" s="23" customFormat="1" ht="16.8" thickBot="1" x14ac:dyDescent="0.35">
      <c r="A79" s="32" t="s">
        <v>58</v>
      </c>
      <c r="B79" s="33" t="s">
        <v>146</v>
      </c>
      <c r="C79" s="34" t="s">
        <v>84</v>
      </c>
      <c r="D79" s="35" t="s">
        <v>84</v>
      </c>
      <c r="E79" s="35" t="s">
        <v>84</v>
      </c>
      <c r="F79" s="35" t="s">
        <v>84</v>
      </c>
      <c r="G79" s="35" t="s">
        <v>84</v>
      </c>
      <c r="H79" s="35" t="s">
        <v>84</v>
      </c>
      <c r="I79" s="33" t="s">
        <v>146</v>
      </c>
    </row>
    <row r="80" spans="1:9" s="23" customFormat="1" x14ac:dyDescent="0.3">
      <c r="C80" s="74"/>
      <c r="D80" s="74"/>
    </row>
    <row r="81" spans="1:4" s="23" customFormat="1" ht="15" thickBot="1" x14ac:dyDescent="0.35"/>
    <row r="82" spans="1:4" ht="33.75" customHeight="1" x14ac:dyDescent="0.3">
      <c r="A82" s="206" t="s">
        <v>91</v>
      </c>
      <c r="B82" s="207"/>
      <c r="C82" s="207"/>
      <c r="D82" s="208"/>
    </row>
    <row r="83" spans="1:4" ht="82.5" customHeight="1" thickBot="1" x14ac:dyDescent="0.35">
      <c r="A83" s="209"/>
      <c r="B83" s="210"/>
      <c r="C83" s="210"/>
      <c r="D83" s="211"/>
    </row>
    <row r="84" spans="1:4" ht="180" customHeight="1" x14ac:dyDescent="0.3">
      <c r="B84" s="36"/>
      <c r="C84" s="36"/>
      <c r="D84" s="36"/>
    </row>
  </sheetData>
  <mergeCells count="5">
    <mergeCell ref="A1:P1"/>
    <mergeCell ref="A82:D83"/>
    <mergeCell ref="A2:P2"/>
    <mergeCell ref="B73:D73"/>
    <mergeCell ref="A72:D72"/>
  </mergeCells>
  <phoneticPr fontId="57" type="noConversion"/>
  <conditionalFormatting sqref="AO4:AO57">
    <cfRule type="cellIs" dxfId="0" priority="2" operator="equal">
      <formula>FALSE</formula>
    </cfRule>
  </conditionalFormatting>
  <pageMargins left="0.08" right="0" top="0.4" bottom="1" header="0" footer="0"/>
  <pageSetup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FD57"/>
  <sheetViews>
    <sheetView showGridLines="0" zoomScale="60" zoomScaleNormal="60" workbookViewId="0">
      <pane xSplit="1" ySplit="3" topLeftCell="B4" activePane="bottomRight" state="frozen"/>
      <selection pane="topRight" activeCell="B1" sqref="B1"/>
      <selection pane="bottomLeft" activeCell="A4" sqref="A4"/>
      <selection pane="bottomRight" activeCell="B4" sqref="B4:B57"/>
    </sheetView>
  </sheetViews>
  <sheetFormatPr defaultRowHeight="14.4" x14ac:dyDescent="0.3"/>
  <cols>
    <col min="1" max="1" width="2.33203125" customWidth="1"/>
    <col min="2" max="2" width="36.33203125" customWidth="1"/>
    <col min="3" max="3" width="13" bestFit="1" customWidth="1"/>
    <col min="4" max="4" width="18.88671875" customWidth="1"/>
    <col min="5" max="5" width="20.109375" bestFit="1" customWidth="1"/>
    <col min="6" max="6" width="23.6640625" bestFit="1" customWidth="1"/>
    <col min="7" max="7" width="25.5546875" customWidth="1"/>
    <col min="8" max="8" width="31.88671875" bestFit="1" customWidth="1"/>
    <col min="9" max="9" width="24.44140625" customWidth="1"/>
    <col min="10" max="10" width="13.33203125" customWidth="1"/>
    <col min="11" max="11" width="31.33203125" customWidth="1"/>
    <col min="12" max="12" width="22" customWidth="1"/>
    <col min="13" max="13" width="30.33203125" customWidth="1"/>
    <col min="14" max="14" width="38" customWidth="1"/>
    <col min="15" max="15" width="22.109375" customWidth="1"/>
    <col min="16" max="16" width="14.44140625" bestFit="1" customWidth="1"/>
  </cols>
  <sheetData>
    <row r="1" spans="2:17" ht="114.75" customHeight="1" thickBot="1" x14ac:dyDescent="0.65">
      <c r="B1" s="195" t="s">
        <v>130</v>
      </c>
      <c r="C1" s="195"/>
      <c r="D1" s="195"/>
      <c r="E1" s="195"/>
      <c r="F1" s="195"/>
      <c r="G1" s="195"/>
      <c r="H1" s="195"/>
      <c r="I1" s="195"/>
      <c r="J1" s="195"/>
      <c r="K1" s="195"/>
      <c r="L1" s="195"/>
      <c r="M1" s="195"/>
      <c r="N1" s="195"/>
      <c r="O1" s="195"/>
    </row>
    <row r="2" spans="2:17" ht="49.5" customHeight="1" thickTop="1" x14ac:dyDescent="0.3">
      <c r="B2" s="192" t="str">
        <f ca="1">"EXISTENCIA DE COMBUSTIBLE " &amp;ETIQUETA!O21</f>
        <v>EXISTENCIA DE COMBUSTIBLE CVP_06-06_12-06-26</v>
      </c>
      <c r="C2" s="192"/>
      <c r="D2" s="192"/>
      <c r="E2" s="192"/>
      <c r="F2" s="192"/>
      <c r="G2" s="192"/>
      <c r="H2" s="192"/>
      <c r="I2" s="192"/>
      <c r="J2" s="192"/>
      <c r="K2" s="192"/>
      <c r="L2" s="192"/>
      <c r="M2" s="192"/>
      <c r="N2" s="192"/>
      <c r="O2" s="192"/>
      <c r="P2" s="37"/>
      <c r="Q2" s="37"/>
    </row>
    <row r="3" spans="2:17" ht="54" x14ac:dyDescent="0.3">
      <c r="B3" s="19" t="s">
        <v>101</v>
      </c>
      <c r="C3" s="19" t="s">
        <v>104</v>
      </c>
      <c r="D3" s="19" t="s">
        <v>118</v>
      </c>
      <c r="E3" s="19" t="s">
        <v>107</v>
      </c>
      <c r="F3" s="19" t="s">
        <v>119</v>
      </c>
      <c r="G3" s="19" t="s">
        <v>120</v>
      </c>
      <c r="H3" s="19" t="s">
        <v>121</v>
      </c>
      <c r="I3" s="19" t="s">
        <v>122</v>
      </c>
      <c r="J3" s="19" t="s">
        <v>0</v>
      </c>
      <c r="K3" s="19" t="s">
        <v>123</v>
      </c>
      <c r="L3" s="19" t="s">
        <v>114</v>
      </c>
      <c r="M3" s="19" t="s">
        <v>124</v>
      </c>
      <c r="N3" s="19" t="s">
        <v>125</v>
      </c>
      <c r="O3" s="19" t="s">
        <v>126</v>
      </c>
    </row>
    <row r="4" spans="2:17" x14ac:dyDescent="0.3">
      <c r="B4" s="65" t="s">
        <v>1</v>
      </c>
      <c r="C4" s="61" t="s">
        <v>212</v>
      </c>
      <c r="D4" s="62" t="s">
        <v>63</v>
      </c>
      <c r="E4" s="62" t="s">
        <v>59</v>
      </c>
      <c r="F4" s="66"/>
      <c r="G4" s="63"/>
      <c r="H4" s="62"/>
      <c r="I4" s="94" t="s">
        <v>54</v>
      </c>
      <c r="J4" s="67">
        <v>7.7921236851028908E-3</v>
      </c>
      <c r="K4" s="64" t="s">
        <v>64</v>
      </c>
      <c r="L4" s="83">
        <v>1369807.2448913001</v>
      </c>
      <c r="M4" s="64" t="s">
        <v>65</v>
      </c>
      <c r="N4" s="47" t="s">
        <v>2</v>
      </c>
      <c r="O4" s="83">
        <v>175793.82723481662</v>
      </c>
    </row>
    <row r="5" spans="2:17" x14ac:dyDescent="0.3">
      <c r="B5" s="65" t="s">
        <v>1</v>
      </c>
      <c r="C5" s="61" t="s">
        <v>214</v>
      </c>
      <c r="D5" s="62" t="s">
        <v>66</v>
      </c>
      <c r="E5" s="62" t="s">
        <v>61</v>
      </c>
      <c r="F5" s="66"/>
      <c r="G5" s="63"/>
      <c r="H5" s="62"/>
      <c r="I5" s="94" t="s">
        <v>54</v>
      </c>
      <c r="J5" s="67">
        <v>5.7318421585657822E-2</v>
      </c>
      <c r="K5" s="64" t="s">
        <v>67</v>
      </c>
      <c r="L5" s="83">
        <v>24500</v>
      </c>
      <c r="M5" s="64" t="s">
        <v>68</v>
      </c>
      <c r="N5" s="47" t="s">
        <v>2</v>
      </c>
      <c r="O5" s="83">
        <v>427.43675283149065</v>
      </c>
    </row>
    <row r="6" spans="2:17" x14ac:dyDescent="0.3">
      <c r="B6" s="57" t="s">
        <v>3</v>
      </c>
      <c r="C6" s="52" t="s">
        <v>4</v>
      </c>
      <c r="D6" s="53" t="s">
        <v>66</v>
      </c>
      <c r="E6" s="53" t="s">
        <v>60</v>
      </c>
      <c r="F6" s="58"/>
      <c r="G6" s="54"/>
      <c r="H6" s="53"/>
      <c r="I6" s="94" t="s">
        <v>54</v>
      </c>
      <c r="J6" s="59">
        <v>6.0526176178334265E-2</v>
      </c>
      <c r="K6" s="55" t="s">
        <v>67</v>
      </c>
      <c r="L6" s="84">
        <v>84351.216</v>
      </c>
      <c r="M6" s="55" t="s">
        <v>68</v>
      </c>
      <c r="N6" s="47" t="s">
        <v>2</v>
      </c>
      <c r="O6" s="84">
        <v>1393.6320006647645</v>
      </c>
    </row>
    <row r="7" spans="2:17" x14ac:dyDescent="0.3">
      <c r="B7" s="46" t="s">
        <v>100</v>
      </c>
      <c r="C7" s="46" t="s">
        <v>188</v>
      </c>
      <c r="D7" s="47" t="s">
        <v>63</v>
      </c>
      <c r="E7" s="47" t="s">
        <v>59</v>
      </c>
      <c r="F7" s="87"/>
      <c r="G7" s="88"/>
      <c r="H7" s="47"/>
      <c r="I7" s="94" t="s">
        <v>54</v>
      </c>
      <c r="J7" s="89">
        <v>8.4025827237911924E-3</v>
      </c>
      <c r="K7" s="90" t="s">
        <v>64</v>
      </c>
      <c r="L7" s="91">
        <v>1936769.6</v>
      </c>
      <c r="M7" s="90" t="s">
        <v>65</v>
      </c>
      <c r="N7" s="47" t="s">
        <v>2</v>
      </c>
      <c r="O7" s="91">
        <v>230496.93929417714</v>
      </c>
    </row>
    <row r="8" spans="2:17" x14ac:dyDescent="0.3">
      <c r="B8" s="46" t="s">
        <v>100</v>
      </c>
      <c r="C8" s="46" t="s">
        <v>178</v>
      </c>
      <c r="D8" s="47" t="s">
        <v>66</v>
      </c>
      <c r="E8" s="47" t="s">
        <v>61</v>
      </c>
      <c r="F8" s="87"/>
      <c r="G8" s="88"/>
      <c r="H8" s="47"/>
      <c r="I8" s="94" t="s">
        <v>54</v>
      </c>
      <c r="J8" s="89">
        <v>6.9981196140553828E-2</v>
      </c>
      <c r="K8" s="90" t="s">
        <v>67</v>
      </c>
      <c r="L8" s="91">
        <v>236486.24</v>
      </c>
      <c r="M8" s="90" t="s">
        <v>68</v>
      </c>
      <c r="N8" s="47" t="s">
        <v>2</v>
      </c>
      <c r="O8" s="91">
        <v>3379.2826222208159</v>
      </c>
    </row>
    <row r="9" spans="2:17" x14ac:dyDescent="0.3">
      <c r="B9" s="57" t="s">
        <v>100</v>
      </c>
      <c r="C9" s="52" t="s">
        <v>190</v>
      </c>
      <c r="D9" s="53" t="s">
        <v>63</v>
      </c>
      <c r="E9" s="53" t="s">
        <v>59</v>
      </c>
      <c r="F9" s="58"/>
      <c r="G9" s="54"/>
      <c r="H9" s="53"/>
      <c r="I9" s="94" t="s">
        <v>54</v>
      </c>
      <c r="J9" s="59">
        <v>8.3295576218750389E-3</v>
      </c>
      <c r="K9" s="55" t="s">
        <v>64</v>
      </c>
      <c r="L9" s="84">
        <v>1936769.6</v>
      </c>
      <c r="M9" s="55" t="s">
        <v>65</v>
      </c>
      <c r="N9" s="47" t="s">
        <v>2</v>
      </c>
      <c r="O9" s="84">
        <v>232517.70237037155</v>
      </c>
    </row>
    <row r="10" spans="2:17" x14ac:dyDescent="0.3">
      <c r="B10" s="57" t="s">
        <v>100</v>
      </c>
      <c r="C10" s="52" t="s">
        <v>180</v>
      </c>
      <c r="D10" s="53" t="s">
        <v>66</v>
      </c>
      <c r="E10" s="53" t="s">
        <v>61</v>
      </c>
      <c r="F10" s="58"/>
      <c r="G10" s="54"/>
      <c r="H10" s="53"/>
      <c r="I10" s="94" t="s">
        <v>54</v>
      </c>
      <c r="J10" s="59">
        <v>9.4942973577876913E-2</v>
      </c>
      <c r="K10" s="55" t="s">
        <v>67</v>
      </c>
      <c r="L10" s="84">
        <v>236486.24</v>
      </c>
      <c r="M10" s="55" t="s">
        <v>68</v>
      </c>
      <c r="N10" s="47" t="s">
        <v>2</v>
      </c>
      <c r="O10" s="84">
        <v>2490.8240292897744</v>
      </c>
    </row>
    <row r="11" spans="2:17" x14ac:dyDescent="0.3">
      <c r="B11" s="57" t="s">
        <v>100</v>
      </c>
      <c r="C11" s="52" t="s">
        <v>192</v>
      </c>
      <c r="D11" s="53" t="s">
        <v>63</v>
      </c>
      <c r="E11" s="53" t="s">
        <v>59</v>
      </c>
      <c r="F11" s="58"/>
      <c r="G11" s="54"/>
      <c r="H11" s="53"/>
      <c r="I11" s="94" t="s">
        <v>54</v>
      </c>
      <c r="J11" s="59">
        <v>8.387790744853154E-3</v>
      </c>
      <c r="K11" s="55" t="s">
        <v>64</v>
      </c>
      <c r="L11" s="84">
        <v>1936769.6</v>
      </c>
      <c r="M11" s="55" t="s">
        <v>65</v>
      </c>
      <c r="N11" s="47" t="s">
        <v>2</v>
      </c>
      <c r="O11" s="84">
        <v>230903.42366831511</v>
      </c>
    </row>
    <row r="12" spans="2:17" x14ac:dyDescent="0.3">
      <c r="B12" s="57" t="s">
        <v>100</v>
      </c>
      <c r="C12" s="52" t="s">
        <v>182</v>
      </c>
      <c r="D12" s="53" t="s">
        <v>66</v>
      </c>
      <c r="E12" s="53" t="s">
        <v>61</v>
      </c>
      <c r="F12" s="58"/>
      <c r="G12" s="54"/>
      <c r="H12" s="53"/>
      <c r="I12" s="94" t="s">
        <v>54</v>
      </c>
      <c r="J12" s="59">
        <v>6.3224967215097433E-2</v>
      </c>
      <c r="K12" s="55" t="s">
        <v>67</v>
      </c>
      <c r="L12" s="84">
        <v>236486.24</v>
      </c>
      <c r="M12" s="55" t="s">
        <v>68</v>
      </c>
      <c r="N12" s="47" t="s">
        <v>2</v>
      </c>
      <c r="O12" s="84">
        <v>3740.3932404654479</v>
      </c>
    </row>
    <row r="13" spans="2:17" x14ac:dyDescent="0.3">
      <c r="B13" s="57" t="s">
        <v>100</v>
      </c>
      <c r="C13" s="52" t="s">
        <v>242</v>
      </c>
      <c r="D13" s="53" t="s">
        <v>66</v>
      </c>
      <c r="E13" s="53" t="s">
        <v>61</v>
      </c>
      <c r="F13" s="58"/>
      <c r="G13" s="54"/>
      <c r="H13" s="53"/>
      <c r="I13" s="94" t="s">
        <v>54</v>
      </c>
      <c r="J13" s="59">
        <v>5.4945319144018463E-2</v>
      </c>
      <c r="K13" s="55" t="s">
        <v>67</v>
      </c>
      <c r="L13" s="84">
        <v>236486.24</v>
      </c>
      <c r="M13" s="55" t="s">
        <v>68</v>
      </c>
      <c r="N13" s="47" t="s">
        <v>2</v>
      </c>
      <c r="O13" s="84">
        <v>4304.0288724165994</v>
      </c>
    </row>
    <row r="14" spans="2:17" x14ac:dyDescent="0.3">
      <c r="B14" s="57" t="s">
        <v>100</v>
      </c>
      <c r="C14" s="52" t="s">
        <v>244</v>
      </c>
      <c r="D14" s="53" t="s">
        <v>63</v>
      </c>
      <c r="E14" s="53" t="s">
        <v>59</v>
      </c>
      <c r="F14" s="58"/>
      <c r="G14" s="54"/>
      <c r="H14" s="53"/>
      <c r="I14" s="94" t="s">
        <v>54</v>
      </c>
      <c r="J14" s="59">
        <v>7.2990158709382901E-3</v>
      </c>
      <c r="K14" s="55" t="s">
        <v>64</v>
      </c>
      <c r="L14" s="84">
        <v>410298.08</v>
      </c>
      <c r="M14" s="55" t="s">
        <v>65</v>
      </c>
      <c r="N14" s="47" t="s">
        <v>2</v>
      </c>
      <c r="O14" s="84">
        <v>56212.794608878699</v>
      </c>
    </row>
    <row r="15" spans="2:17" x14ac:dyDescent="0.3">
      <c r="B15" s="57" t="s">
        <v>5</v>
      </c>
      <c r="C15" s="52" t="s">
        <v>6</v>
      </c>
      <c r="D15" s="53" t="s">
        <v>66</v>
      </c>
      <c r="E15" s="53" t="s">
        <v>60</v>
      </c>
      <c r="F15" s="58"/>
      <c r="G15" s="54"/>
      <c r="H15" s="53"/>
      <c r="I15" s="94" t="s">
        <v>54</v>
      </c>
      <c r="J15" s="59"/>
      <c r="K15" s="55" t="s">
        <v>67</v>
      </c>
      <c r="L15" s="84"/>
      <c r="M15" s="55" t="s">
        <v>68</v>
      </c>
      <c r="N15" s="47" t="s">
        <v>54</v>
      </c>
      <c r="O15" s="84"/>
      <c r="P15" s="98"/>
    </row>
    <row r="16" spans="2:17" x14ac:dyDescent="0.3">
      <c r="B16" s="57" t="s">
        <v>228</v>
      </c>
      <c r="C16" s="52" t="s">
        <v>132</v>
      </c>
      <c r="D16" s="53" t="s">
        <v>66</v>
      </c>
      <c r="E16" s="53" t="s">
        <v>60</v>
      </c>
      <c r="F16" s="58"/>
      <c r="G16" s="54"/>
      <c r="H16" s="53"/>
      <c r="I16" s="94" t="s">
        <v>54</v>
      </c>
      <c r="J16" s="59">
        <v>6.3873081103768173E-2</v>
      </c>
      <c r="K16" s="55" t="s">
        <v>67</v>
      </c>
      <c r="L16" s="84">
        <v>122050.1</v>
      </c>
      <c r="M16" s="55" t="s">
        <v>68</v>
      </c>
      <c r="N16" s="45" t="s">
        <v>2</v>
      </c>
      <c r="O16" s="84">
        <v>1910.8221787785292</v>
      </c>
    </row>
    <row r="17" spans="2:15" s="92" customFormat="1" x14ac:dyDescent="0.3">
      <c r="B17" s="86" t="s">
        <v>7</v>
      </c>
      <c r="C17" s="46" t="s">
        <v>153</v>
      </c>
      <c r="D17" s="47" t="s">
        <v>63</v>
      </c>
      <c r="E17" s="47" t="s">
        <v>59</v>
      </c>
      <c r="F17" s="87"/>
      <c r="G17" s="88"/>
      <c r="H17" s="47"/>
      <c r="I17" s="94" t="s">
        <v>54</v>
      </c>
      <c r="J17" s="89">
        <v>8.4866168926077505E-3</v>
      </c>
      <c r="K17" s="90" t="s">
        <v>64</v>
      </c>
      <c r="L17" s="91">
        <v>0</v>
      </c>
      <c r="M17" s="90" t="s">
        <v>65</v>
      </c>
      <c r="N17" s="45" t="s">
        <v>2</v>
      </c>
      <c r="O17" s="91">
        <v>0</v>
      </c>
    </row>
    <row r="18" spans="2:15" x14ac:dyDescent="0.3">
      <c r="B18" s="57" t="s">
        <v>7</v>
      </c>
      <c r="C18" s="52" t="s">
        <v>154</v>
      </c>
      <c r="D18" s="53" t="s">
        <v>63</v>
      </c>
      <c r="E18" s="53" t="s">
        <v>59</v>
      </c>
      <c r="F18" s="58"/>
      <c r="G18" s="54"/>
      <c r="H18" s="53"/>
      <c r="I18" s="94" t="s">
        <v>54</v>
      </c>
      <c r="J18" s="59">
        <v>8.5963102824214224E-3</v>
      </c>
      <c r="K18" s="55" t="s">
        <v>64</v>
      </c>
      <c r="L18" s="84">
        <v>0</v>
      </c>
      <c r="M18" s="55" t="s">
        <v>65</v>
      </c>
      <c r="N18" s="45" t="s">
        <v>2</v>
      </c>
      <c r="O18" s="84">
        <v>0</v>
      </c>
    </row>
    <row r="19" spans="2:15" x14ac:dyDescent="0.3">
      <c r="B19" s="57" t="s">
        <v>7</v>
      </c>
      <c r="C19" s="52" t="s">
        <v>8</v>
      </c>
      <c r="D19" s="53" t="s">
        <v>63</v>
      </c>
      <c r="E19" s="53" t="s">
        <v>59</v>
      </c>
      <c r="F19" s="58"/>
      <c r="G19" s="54"/>
      <c r="H19" s="53"/>
      <c r="I19" s="94" t="s">
        <v>54</v>
      </c>
      <c r="J19" s="59">
        <v>1.2250973249206647E-2</v>
      </c>
      <c r="K19" s="55" t="s">
        <v>64</v>
      </c>
      <c r="L19" s="84">
        <v>0</v>
      </c>
      <c r="M19" s="55" t="s">
        <v>65</v>
      </c>
      <c r="N19" s="45" t="s">
        <v>2</v>
      </c>
      <c r="O19" s="84">
        <v>0</v>
      </c>
    </row>
    <row r="20" spans="2:15" x14ac:dyDescent="0.3">
      <c r="B20" s="57" t="s">
        <v>7</v>
      </c>
      <c r="C20" s="52" t="s">
        <v>10</v>
      </c>
      <c r="D20" s="53" t="s">
        <v>63</v>
      </c>
      <c r="E20" s="53" t="s">
        <v>59</v>
      </c>
      <c r="F20" s="58"/>
      <c r="G20" s="54"/>
      <c r="H20" s="53"/>
      <c r="I20" s="94" t="s">
        <v>54</v>
      </c>
      <c r="J20" s="59">
        <v>1.2331142846717692E-2</v>
      </c>
      <c r="K20" s="55" t="s">
        <v>64</v>
      </c>
      <c r="L20" s="84">
        <v>0</v>
      </c>
      <c r="M20" s="55" t="s">
        <v>65</v>
      </c>
      <c r="N20" s="45" t="s">
        <v>2</v>
      </c>
      <c r="O20" s="84">
        <v>0</v>
      </c>
    </row>
    <row r="21" spans="2:15" s="92" customFormat="1" x14ac:dyDescent="0.3">
      <c r="B21" s="86" t="s">
        <v>246</v>
      </c>
      <c r="C21" s="46" t="s">
        <v>247</v>
      </c>
      <c r="D21" s="47" t="s">
        <v>63</v>
      </c>
      <c r="E21" s="47" t="s">
        <v>59</v>
      </c>
      <c r="F21" s="87"/>
      <c r="G21" s="88"/>
      <c r="H21" s="47"/>
      <c r="I21" s="94" t="s">
        <v>54</v>
      </c>
      <c r="J21" s="89">
        <v>1.3549122095664053E-2</v>
      </c>
      <c r="K21" s="90" t="s">
        <v>64</v>
      </c>
      <c r="L21" s="91">
        <v>1070828</v>
      </c>
      <c r="M21" s="90" t="s">
        <v>65</v>
      </c>
      <c r="N21" s="45" t="s">
        <v>2</v>
      </c>
      <c r="O21" s="91">
        <v>79033.017227196062</v>
      </c>
    </row>
    <row r="22" spans="2:15" s="92" customFormat="1" x14ac:dyDescent="0.3">
      <c r="B22" s="86" t="s">
        <v>12</v>
      </c>
      <c r="C22" s="46" t="s">
        <v>174</v>
      </c>
      <c r="D22" s="47" t="s">
        <v>66</v>
      </c>
      <c r="E22" s="47" t="s">
        <v>60</v>
      </c>
      <c r="F22" s="87"/>
      <c r="G22" s="88"/>
      <c r="H22" s="47"/>
      <c r="I22" s="94" t="s">
        <v>54</v>
      </c>
      <c r="J22" s="89">
        <v>5.3938111706778015E-2</v>
      </c>
      <c r="K22" s="90" t="s">
        <v>67</v>
      </c>
      <c r="L22" s="91">
        <v>2056101.44</v>
      </c>
      <c r="M22" s="90" t="s">
        <v>68</v>
      </c>
      <c r="N22" s="45" t="s">
        <v>2</v>
      </c>
      <c r="O22" s="91">
        <v>38119.640731539075</v>
      </c>
    </row>
    <row r="23" spans="2:15" s="92" customFormat="1" x14ac:dyDescent="0.3">
      <c r="B23" s="86" t="s">
        <v>12</v>
      </c>
      <c r="C23" s="46" t="s">
        <v>176</v>
      </c>
      <c r="D23" s="47" t="s">
        <v>63</v>
      </c>
      <c r="E23" s="47" t="s">
        <v>59</v>
      </c>
      <c r="F23" s="87"/>
      <c r="G23" s="88"/>
      <c r="H23" s="47"/>
      <c r="I23" s="94" t="s">
        <v>54</v>
      </c>
      <c r="J23" s="89">
        <v>8.0581378762683148E-3</v>
      </c>
      <c r="K23" s="90" t="s">
        <v>64</v>
      </c>
      <c r="L23" s="91">
        <v>0</v>
      </c>
      <c r="M23" s="90" t="s">
        <v>65</v>
      </c>
      <c r="N23" s="45" t="s">
        <v>2</v>
      </c>
      <c r="O23" s="91">
        <v>0</v>
      </c>
    </row>
    <row r="24" spans="2:15" x14ac:dyDescent="0.3">
      <c r="B24" s="57" t="s">
        <v>12</v>
      </c>
      <c r="C24" s="52" t="s">
        <v>155</v>
      </c>
      <c r="D24" s="53" t="s">
        <v>69</v>
      </c>
      <c r="E24" s="53" t="s">
        <v>62</v>
      </c>
      <c r="F24" s="58"/>
      <c r="G24" s="54"/>
      <c r="H24" s="53"/>
      <c r="I24" s="94" t="s">
        <v>54</v>
      </c>
      <c r="J24" s="59">
        <v>5.9668371941748314E-4</v>
      </c>
      <c r="K24" s="55" t="s">
        <v>194</v>
      </c>
      <c r="L24" s="84">
        <v>14091.7</v>
      </c>
      <c r="M24" s="55" t="s">
        <v>196</v>
      </c>
      <c r="N24" s="45" t="s">
        <v>2</v>
      </c>
      <c r="O24" s="84">
        <v>23616.699335716963</v>
      </c>
    </row>
    <row r="25" spans="2:15" x14ac:dyDescent="0.3">
      <c r="B25" s="57" t="s">
        <v>12</v>
      </c>
      <c r="C25" s="52" t="s">
        <v>156</v>
      </c>
      <c r="D25" s="53" t="s">
        <v>66</v>
      </c>
      <c r="E25" s="53" t="s">
        <v>61</v>
      </c>
      <c r="F25" s="58"/>
      <c r="G25" s="54"/>
      <c r="H25" s="53"/>
      <c r="I25" s="94" t="s">
        <v>54</v>
      </c>
      <c r="J25" s="59">
        <v>9.0062012392580146E-2</v>
      </c>
      <c r="K25" s="55" t="s">
        <v>67</v>
      </c>
      <c r="L25" s="84">
        <v>161238.24</v>
      </c>
      <c r="M25" s="55" t="s">
        <v>68</v>
      </c>
      <c r="N25" s="45" t="s">
        <v>2</v>
      </c>
      <c r="O25" s="84">
        <v>1790.3024340291531</v>
      </c>
    </row>
    <row r="26" spans="2:15" x14ac:dyDescent="0.3">
      <c r="B26" s="57" t="s">
        <v>12</v>
      </c>
      <c r="C26" s="52" t="s">
        <v>14</v>
      </c>
      <c r="D26" s="53" t="s">
        <v>66</v>
      </c>
      <c r="E26" s="53" t="s">
        <v>60</v>
      </c>
      <c r="F26" s="58"/>
      <c r="G26" s="54"/>
      <c r="H26" s="53"/>
      <c r="I26" s="94" t="s">
        <v>54</v>
      </c>
      <c r="J26" s="59">
        <v>5.7502678872455561E-2</v>
      </c>
      <c r="K26" s="55" t="s">
        <v>67</v>
      </c>
      <c r="L26" s="84">
        <v>4123070.0637489101</v>
      </c>
      <c r="M26" s="55" t="s">
        <v>68</v>
      </c>
      <c r="N26" s="45" t="s">
        <v>2</v>
      </c>
      <c r="O26" s="84">
        <v>71702.225784891358</v>
      </c>
    </row>
    <row r="27" spans="2:15" x14ac:dyDescent="0.3">
      <c r="B27" s="57" t="s">
        <v>16</v>
      </c>
      <c r="C27" s="52" t="s">
        <v>17</v>
      </c>
      <c r="D27" s="53" t="s">
        <v>69</v>
      </c>
      <c r="E27" s="53" t="s">
        <v>62</v>
      </c>
      <c r="F27" s="58"/>
      <c r="G27" s="54"/>
      <c r="H27" s="53"/>
      <c r="I27" s="94" t="s">
        <v>54</v>
      </c>
      <c r="J27" s="59">
        <v>5.3713315643338639E-4</v>
      </c>
      <c r="K27" s="55" t="s">
        <v>194</v>
      </c>
      <c r="L27" s="84">
        <v>40098.375</v>
      </c>
      <c r="M27" s="55" t="s">
        <v>196</v>
      </c>
      <c r="N27" s="45" t="s">
        <v>2</v>
      </c>
      <c r="O27" s="84">
        <v>74652.578266173135</v>
      </c>
    </row>
    <row r="28" spans="2:15" x14ac:dyDescent="0.3">
      <c r="B28" s="57" t="s">
        <v>16</v>
      </c>
      <c r="C28" s="52" t="s">
        <v>19</v>
      </c>
      <c r="D28" s="53" t="s">
        <v>69</v>
      </c>
      <c r="E28" s="53" t="s">
        <v>62</v>
      </c>
      <c r="F28" s="58"/>
      <c r="G28" s="54"/>
      <c r="H28" s="53"/>
      <c r="I28" s="94" t="s">
        <v>54</v>
      </c>
      <c r="J28" s="59">
        <v>4.9099229646417568E-4</v>
      </c>
      <c r="K28" s="55" t="s">
        <v>194</v>
      </c>
      <c r="L28" s="84">
        <v>40098.375</v>
      </c>
      <c r="M28" s="55" t="s">
        <v>196</v>
      </c>
      <c r="N28" s="45" t="s">
        <v>2</v>
      </c>
      <c r="O28" s="84">
        <v>81668.032856653386</v>
      </c>
    </row>
    <row r="29" spans="2:15" x14ac:dyDescent="0.3">
      <c r="B29" s="57" t="s">
        <v>16</v>
      </c>
      <c r="C29" s="52" t="s">
        <v>21</v>
      </c>
      <c r="D29" s="53" t="s">
        <v>66</v>
      </c>
      <c r="E29" s="53" t="s">
        <v>61</v>
      </c>
      <c r="F29" s="58"/>
      <c r="G29" s="54"/>
      <c r="H29" s="53"/>
      <c r="I29" s="94" t="s">
        <v>54</v>
      </c>
      <c r="J29" s="59"/>
      <c r="K29" s="55" t="s">
        <v>67</v>
      </c>
      <c r="L29" s="84"/>
      <c r="M29" s="55" t="s">
        <v>68</v>
      </c>
      <c r="N29" s="45" t="s">
        <v>54</v>
      </c>
      <c r="O29" s="84"/>
    </row>
    <row r="30" spans="2:15" ht="28.8" x14ac:dyDescent="0.3">
      <c r="B30" s="57" t="s">
        <v>224</v>
      </c>
      <c r="C30" s="52" t="s">
        <v>184</v>
      </c>
      <c r="D30" s="53" t="s">
        <v>69</v>
      </c>
      <c r="E30" s="53" t="s">
        <v>62</v>
      </c>
      <c r="F30" s="58"/>
      <c r="G30" s="54"/>
      <c r="H30" s="53"/>
      <c r="I30" s="94" t="s">
        <v>54</v>
      </c>
      <c r="J30" s="59">
        <v>4.1774966807887486E-4</v>
      </c>
      <c r="K30" s="55" t="s">
        <v>194</v>
      </c>
      <c r="L30" s="84">
        <v>116604.72818854199</v>
      </c>
      <c r="M30" s="55" t="s">
        <v>196</v>
      </c>
      <c r="N30" s="45" t="s">
        <v>2</v>
      </c>
      <c r="O30" s="84">
        <v>279125.84281581285</v>
      </c>
    </row>
    <row r="31" spans="2:15" ht="28.8" x14ac:dyDescent="0.3">
      <c r="B31" s="57" t="s">
        <v>224</v>
      </c>
      <c r="C31" s="52" t="s">
        <v>186</v>
      </c>
      <c r="D31" s="53" t="s">
        <v>69</v>
      </c>
      <c r="E31" s="53" t="s">
        <v>62</v>
      </c>
      <c r="F31" s="58"/>
      <c r="G31" s="54"/>
      <c r="H31" s="53"/>
      <c r="I31" s="94" t="s">
        <v>54</v>
      </c>
      <c r="J31" s="59">
        <v>4.0802560898160967E-4</v>
      </c>
      <c r="K31" s="55" t="s">
        <v>194</v>
      </c>
      <c r="L31" s="84">
        <v>116604.72818854199</v>
      </c>
      <c r="M31" s="55" t="s">
        <v>196</v>
      </c>
      <c r="N31" s="45" t="s">
        <v>2</v>
      </c>
      <c r="O31" s="84">
        <v>285777.96496542339</v>
      </c>
    </row>
    <row r="32" spans="2:15" x14ac:dyDescent="0.3">
      <c r="B32" s="57" t="s">
        <v>23</v>
      </c>
      <c r="C32" s="52" t="s">
        <v>26</v>
      </c>
      <c r="D32" s="53" t="s">
        <v>63</v>
      </c>
      <c r="E32" s="53" t="s">
        <v>59</v>
      </c>
      <c r="F32" s="58"/>
      <c r="G32" s="54"/>
      <c r="H32" s="53"/>
      <c r="I32" s="94" t="s">
        <v>54</v>
      </c>
      <c r="J32" s="59"/>
      <c r="K32" s="55" t="s">
        <v>64</v>
      </c>
      <c r="L32" s="84"/>
      <c r="M32" s="55" t="s">
        <v>65</v>
      </c>
      <c r="N32" s="45" t="s">
        <v>54</v>
      </c>
      <c r="O32" s="84"/>
    </row>
    <row r="33" spans="1:16384" x14ac:dyDescent="0.3">
      <c r="B33" s="57" t="s">
        <v>23</v>
      </c>
      <c r="C33" s="52" t="s">
        <v>30</v>
      </c>
      <c r="D33" s="53" t="s">
        <v>63</v>
      </c>
      <c r="E33" s="53" t="s">
        <v>59</v>
      </c>
      <c r="F33" s="58"/>
      <c r="G33" s="54"/>
      <c r="H33" s="53"/>
      <c r="I33" s="94" t="s">
        <v>54</v>
      </c>
      <c r="J33" s="59"/>
      <c r="K33" s="55" t="s">
        <v>64</v>
      </c>
      <c r="L33" s="84"/>
      <c r="M33" s="55" t="s">
        <v>65</v>
      </c>
      <c r="N33" s="45" t="s">
        <v>54</v>
      </c>
      <c r="O33" s="84"/>
    </row>
    <row r="34" spans="1:16384" x14ac:dyDescent="0.3">
      <c r="B34" s="57" t="s">
        <v>23</v>
      </c>
      <c r="C34" s="52" t="s">
        <v>24</v>
      </c>
      <c r="D34" s="53" t="s">
        <v>66</v>
      </c>
      <c r="E34" s="53" t="s">
        <v>60</v>
      </c>
      <c r="F34" s="58"/>
      <c r="G34" s="54"/>
      <c r="H34" s="53"/>
      <c r="I34" s="94" t="s">
        <v>54</v>
      </c>
      <c r="J34" s="59"/>
      <c r="K34" s="55" t="s">
        <v>67</v>
      </c>
      <c r="L34" s="84"/>
      <c r="M34" s="55" t="s">
        <v>68</v>
      </c>
      <c r="N34" s="45" t="s">
        <v>54</v>
      </c>
      <c r="O34" s="84"/>
    </row>
    <row r="35" spans="1:16384" x14ac:dyDescent="0.3">
      <c r="B35" s="57" t="s">
        <v>23</v>
      </c>
      <c r="C35" s="52" t="s">
        <v>28</v>
      </c>
      <c r="D35" s="53" t="s">
        <v>66</v>
      </c>
      <c r="E35" s="53" t="s">
        <v>60</v>
      </c>
      <c r="F35" s="58"/>
      <c r="G35" s="54"/>
      <c r="H35" s="53"/>
      <c r="I35" s="94" t="s">
        <v>54</v>
      </c>
      <c r="J35" s="59"/>
      <c r="K35" s="55" t="s">
        <v>67</v>
      </c>
      <c r="L35" s="84"/>
      <c r="M35" s="55" t="s">
        <v>68</v>
      </c>
      <c r="N35" s="45" t="s">
        <v>54</v>
      </c>
      <c r="O35" s="84"/>
    </row>
    <row r="36" spans="1:16384" x14ac:dyDescent="0.3">
      <c r="B36" s="57" t="s">
        <v>23</v>
      </c>
      <c r="C36" s="52" t="s">
        <v>210</v>
      </c>
      <c r="D36" s="53" t="s">
        <v>63</v>
      </c>
      <c r="E36" s="53" t="s">
        <v>59</v>
      </c>
      <c r="F36" s="58"/>
      <c r="G36" s="54"/>
      <c r="H36" s="53"/>
      <c r="I36" s="94" t="s">
        <v>54</v>
      </c>
      <c r="J36" s="59"/>
      <c r="K36" s="55" t="s">
        <v>64</v>
      </c>
      <c r="L36" s="84"/>
      <c r="M36" s="55" t="s">
        <v>65</v>
      </c>
      <c r="N36" s="45" t="s">
        <v>54</v>
      </c>
      <c r="O36" s="84"/>
    </row>
    <row r="37" spans="1:16384" x14ac:dyDescent="0.3">
      <c r="B37" s="57" t="s">
        <v>23</v>
      </c>
      <c r="C37" s="52" t="s">
        <v>206</v>
      </c>
      <c r="D37" s="53" t="s">
        <v>63</v>
      </c>
      <c r="E37" s="53" t="s">
        <v>59</v>
      </c>
      <c r="F37" s="58"/>
      <c r="G37" s="54"/>
      <c r="H37" s="53"/>
      <c r="I37" s="94" t="s">
        <v>54</v>
      </c>
      <c r="J37" s="59"/>
      <c r="K37" s="55" t="s">
        <v>64</v>
      </c>
      <c r="L37" s="84"/>
      <c r="M37" s="55" t="s">
        <v>65</v>
      </c>
      <c r="N37" s="45" t="s">
        <v>54</v>
      </c>
      <c r="O37" s="84"/>
    </row>
    <row r="38" spans="1:16384" x14ac:dyDescent="0.3">
      <c r="B38" s="57" t="s">
        <v>23</v>
      </c>
      <c r="C38" s="52" t="s">
        <v>208</v>
      </c>
      <c r="D38" s="53" t="s">
        <v>63</v>
      </c>
      <c r="E38" s="53" t="s">
        <v>59</v>
      </c>
      <c r="F38" s="58"/>
      <c r="G38" s="54"/>
      <c r="H38" s="53"/>
      <c r="I38" s="94" t="s">
        <v>54</v>
      </c>
      <c r="J38" s="59"/>
      <c r="K38" s="55" t="s">
        <v>64</v>
      </c>
      <c r="L38" s="84"/>
      <c r="M38" s="55" t="s">
        <v>65</v>
      </c>
      <c r="N38" s="45" t="s">
        <v>54</v>
      </c>
      <c r="O38" s="84"/>
    </row>
    <row r="39" spans="1:16384" x14ac:dyDescent="0.3">
      <c r="B39" s="57" t="s">
        <v>32</v>
      </c>
      <c r="C39" s="52" t="s">
        <v>33</v>
      </c>
      <c r="D39" s="53" t="s">
        <v>66</v>
      </c>
      <c r="E39" s="53" t="s">
        <v>60</v>
      </c>
      <c r="F39" s="58"/>
      <c r="G39" s="53"/>
      <c r="H39" s="53"/>
      <c r="I39" s="94" t="s">
        <v>54</v>
      </c>
      <c r="J39" s="59">
        <v>6.0858630986667279E-2</v>
      </c>
      <c r="K39" s="55" t="s">
        <v>67</v>
      </c>
      <c r="L39" s="84">
        <v>737800.93068853999</v>
      </c>
      <c r="M39" s="55" t="s">
        <v>68</v>
      </c>
      <c r="N39" s="45" t="s">
        <v>2</v>
      </c>
      <c r="O39" s="84">
        <v>12123.193024998789</v>
      </c>
    </row>
    <row r="40" spans="1:16384" x14ac:dyDescent="0.3">
      <c r="A40" s="22"/>
      <c r="B40" s="69" t="s">
        <v>32</v>
      </c>
      <c r="C40" s="70" t="s">
        <v>35</v>
      </c>
      <c r="D40" s="70" t="s">
        <v>66</v>
      </c>
      <c r="E40" s="70" t="s">
        <v>60</v>
      </c>
      <c r="F40" s="71">
        <v>2113383</v>
      </c>
      <c r="G40" s="70">
        <v>0</v>
      </c>
      <c r="H40" s="70" t="s">
        <v>158</v>
      </c>
      <c r="I40" s="94" t="s">
        <v>87</v>
      </c>
      <c r="J40" s="72">
        <v>6.0427654253928258E-2</v>
      </c>
      <c r="K40" s="73" t="s">
        <v>67</v>
      </c>
      <c r="L40" s="85">
        <v>906319.07773270295</v>
      </c>
      <c r="M40" s="70" t="s">
        <v>68</v>
      </c>
      <c r="N40" s="45" t="s">
        <v>2</v>
      </c>
      <c r="O40" s="85">
        <v>14998.415691004344</v>
      </c>
      <c r="Q40" s="38"/>
      <c r="R40" s="38"/>
      <c r="S40" s="38"/>
      <c r="T40" s="39"/>
      <c r="U40" s="38"/>
      <c r="V40" s="38"/>
      <c r="W40" s="38"/>
      <c r="X40" s="40"/>
      <c r="Y40" s="41"/>
      <c r="Z40" s="40"/>
      <c r="AA40" s="38"/>
      <c r="AB40" s="42"/>
      <c r="AC40" s="42"/>
      <c r="AD40" s="42"/>
      <c r="AE40" s="38"/>
      <c r="AF40" s="38"/>
      <c r="AG40" s="38"/>
      <c r="AH40" s="39"/>
      <c r="AI40" s="38"/>
      <c r="AJ40" s="38"/>
      <c r="AK40" s="38"/>
      <c r="AL40" s="40"/>
      <c r="AM40" s="41"/>
      <c r="AN40" s="40"/>
      <c r="AO40" s="38"/>
      <c r="AP40" s="42"/>
      <c r="AQ40" s="42"/>
      <c r="AR40" s="42"/>
      <c r="AS40" s="38"/>
      <c r="AT40" s="38"/>
      <c r="AU40" s="38"/>
      <c r="AV40" s="39"/>
      <c r="AW40" s="38"/>
      <c r="AX40" s="38"/>
      <c r="AY40" s="38"/>
      <c r="AZ40" s="40"/>
      <c r="BA40" s="41"/>
      <c r="BB40" s="40"/>
      <c r="BC40" s="38"/>
      <c r="BD40" s="42"/>
      <c r="BE40" s="42"/>
      <c r="BF40" s="42"/>
      <c r="BG40" s="38"/>
      <c r="BH40" s="38"/>
      <c r="BI40" s="38"/>
      <c r="BJ40" s="39"/>
      <c r="BK40" s="38"/>
      <c r="BL40" s="38"/>
      <c r="BM40" s="38"/>
      <c r="BN40" s="40"/>
      <c r="BO40" s="41"/>
      <c r="BP40" s="40"/>
      <c r="BQ40" s="38"/>
      <c r="BR40" s="42"/>
      <c r="BS40" s="42"/>
      <c r="BT40" s="42"/>
      <c r="BU40" s="38"/>
      <c r="BV40" s="38"/>
      <c r="BW40" s="38"/>
      <c r="BX40" s="39"/>
      <c r="BY40" s="38"/>
      <c r="BZ40" s="38"/>
      <c r="CA40" s="38"/>
      <c r="CB40" s="40"/>
      <c r="CC40" s="41"/>
      <c r="CD40" s="40"/>
      <c r="CE40" s="38"/>
      <c r="CF40" s="42"/>
      <c r="CG40" s="42"/>
      <c r="CH40" s="42"/>
      <c r="CI40" s="38"/>
      <c r="CJ40" s="38"/>
      <c r="CK40" s="38"/>
      <c r="CL40" s="39"/>
      <c r="CM40" s="38"/>
      <c r="CN40" s="38"/>
      <c r="CO40" s="38"/>
      <c r="CP40" s="40"/>
      <c r="CQ40" s="41"/>
      <c r="CR40" s="40"/>
      <c r="CS40" s="38"/>
      <c r="CT40" s="42"/>
      <c r="CU40" s="42"/>
      <c r="CV40" s="42"/>
      <c r="CW40" s="38"/>
      <c r="CX40" s="38"/>
      <c r="CY40" s="38"/>
      <c r="CZ40" s="39"/>
      <c r="DA40" s="38"/>
      <c r="DB40" s="38"/>
      <c r="DC40" s="38"/>
      <c r="DD40" s="40"/>
      <c r="DE40" s="41"/>
      <c r="DF40" s="40"/>
      <c r="DG40" s="38"/>
      <c r="DH40" s="42"/>
      <c r="DI40" s="42"/>
      <c r="DJ40" s="42"/>
      <c r="DK40" s="38"/>
      <c r="DL40" s="38"/>
      <c r="DM40" s="38"/>
      <c r="DN40" s="39"/>
      <c r="DO40" s="38"/>
      <c r="DP40" s="38"/>
      <c r="DQ40" s="38"/>
      <c r="DR40" s="40"/>
      <c r="DS40" s="41"/>
      <c r="DT40" s="40"/>
      <c r="DU40" s="38"/>
      <c r="DV40" s="42"/>
      <c r="DW40" s="42"/>
      <c r="DX40" s="42"/>
      <c r="DY40" s="38"/>
      <c r="DZ40" s="38"/>
      <c r="EA40" s="38"/>
      <c r="EB40" s="39"/>
      <c r="EC40" s="38"/>
      <c r="ED40" s="38"/>
      <c r="EE40" s="38"/>
      <c r="EF40" s="40"/>
      <c r="EG40" s="41"/>
      <c r="EH40" s="40"/>
      <c r="EI40" s="38"/>
      <c r="EJ40" s="42"/>
      <c r="EK40" s="42"/>
      <c r="EL40" s="42"/>
      <c r="EM40" s="38"/>
      <c r="EN40" s="38"/>
      <c r="EO40" s="38"/>
      <c r="EP40" s="39"/>
      <c r="EQ40" s="38"/>
      <c r="ER40" s="38"/>
      <c r="ES40" s="38"/>
      <c r="ET40" s="40"/>
      <c r="EU40" s="41"/>
      <c r="EV40" s="40"/>
      <c r="EW40" s="38"/>
      <c r="EX40" s="42"/>
      <c r="EY40" s="42"/>
      <c r="EZ40" s="42"/>
      <c r="FA40" s="38"/>
      <c r="FB40" s="38"/>
      <c r="FC40" s="38"/>
      <c r="FD40" s="39"/>
      <c r="FE40" s="38"/>
      <c r="FF40" s="38"/>
      <c r="FG40" s="38"/>
      <c r="FH40" s="40"/>
      <c r="FI40" s="41"/>
      <c r="FJ40" s="40"/>
      <c r="FK40" s="38"/>
      <c r="FL40" s="42"/>
      <c r="FM40" s="42"/>
      <c r="FN40" s="42"/>
      <c r="FO40" s="38"/>
      <c r="FP40" s="38"/>
      <c r="FQ40" s="38"/>
      <c r="FR40" s="39"/>
      <c r="FS40" s="38"/>
      <c r="FT40" s="38"/>
      <c r="FU40" s="38"/>
      <c r="FV40" s="40"/>
      <c r="FW40" s="41"/>
      <c r="FX40" s="40"/>
      <c r="FY40" s="38"/>
      <c r="FZ40" s="42"/>
      <c r="GA40" s="42"/>
      <c r="GB40" s="42"/>
      <c r="GC40" s="38"/>
      <c r="GD40" s="38"/>
      <c r="GE40" s="38"/>
      <c r="GF40" s="39"/>
      <c r="GG40" s="38"/>
      <c r="GH40" s="38"/>
      <c r="GI40" s="38"/>
      <c r="GJ40" s="40"/>
      <c r="GK40" s="41"/>
      <c r="GL40" s="40"/>
      <c r="GM40" s="38"/>
      <c r="GN40" s="42"/>
      <c r="GO40" s="42"/>
      <c r="GP40" s="42"/>
      <c r="GQ40" s="38"/>
      <c r="GR40" s="38"/>
      <c r="GS40" s="38"/>
      <c r="GT40" s="39"/>
      <c r="GU40" s="38"/>
      <c r="GV40" s="38"/>
      <c r="GW40" s="38"/>
      <c r="GX40" s="40"/>
      <c r="GY40" s="41"/>
      <c r="GZ40" s="40"/>
      <c r="HA40" s="38"/>
      <c r="HB40" s="42"/>
      <c r="HC40" s="42"/>
      <c r="HD40" s="42"/>
      <c r="HE40" s="38"/>
      <c r="HF40" s="38"/>
      <c r="HG40" s="38"/>
      <c r="HH40" s="39"/>
      <c r="HI40" s="38"/>
      <c r="HJ40" s="38"/>
      <c r="HK40" s="38"/>
      <c r="HL40" s="40"/>
      <c r="HM40" s="41"/>
      <c r="HN40" s="40"/>
      <c r="HO40" s="38"/>
      <c r="HP40" s="42"/>
      <c r="HQ40" s="42"/>
      <c r="HR40" s="42"/>
      <c r="HS40" s="38"/>
      <c r="HT40" s="38"/>
      <c r="HU40" s="38"/>
      <c r="HV40" s="39"/>
      <c r="HW40" s="38"/>
      <c r="HX40" s="38"/>
      <c r="HY40" s="38"/>
      <c r="HZ40" s="40"/>
      <c r="IA40" s="41"/>
      <c r="IB40" s="40"/>
      <c r="IC40" s="38"/>
      <c r="ID40" s="42"/>
      <c r="IE40" s="42"/>
      <c r="IF40" s="42"/>
      <c r="IG40" s="38"/>
      <c r="IH40" s="38"/>
      <c r="II40" s="38"/>
      <c r="IJ40" s="39"/>
      <c r="IK40" s="38"/>
      <c r="IL40" s="38"/>
      <c r="IM40" s="38"/>
      <c r="IN40" s="40"/>
      <c r="IO40" s="41"/>
      <c r="IP40" s="40"/>
      <c r="IQ40" s="38"/>
      <c r="IR40" s="42"/>
      <c r="IS40" s="42"/>
      <c r="IT40" s="42"/>
      <c r="IU40" s="38"/>
      <c r="IV40" s="38"/>
      <c r="IW40" s="38"/>
      <c r="IX40" s="39"/>
      <c r="IY40" s="38"/>
      <c r="IZ40" s="38"/>
      <c r="JA40" s="38"/>
      <c r="JB40" s="40"/>
      <c r="JC40" s="41"/>
      <c r="JD40" s="40"/>
      <c r="JE40" s="38"/>
      <c r="JF40" s="42"/>
      <c r="JG40" s="42"/>
      <c r="JH40" s="42"/>
      <c r="JI40" s="38"/>
      <c r="JJ40" s="38"/>
      <c r="JK40" s="38"/>
      <c r="JL40" s="39"/>
      <c r="JM40" s="38"/>
      <c r="JN40" s="38"/>
      <c r="JO40" s="38"/>
      <c r="JP40" s="40"/>
      <c r="JQ40" s="41"/>
      <c r="JR40" s="40"/>
      <c r="JS40" s="38"/>
      <c r="JT40" s="42"/>
      <c r="JU40" s="42"/>
      <c r="JV40" s="42"/>
      <c r="JW40" s="38"/>
      <c r="JX40" s="38"/>
      <c r="JY40" s="38"/>
      <c r="JZ40" s="39"/>
      <c r="KA40" s="38"/>
      <c r="KB40" s="38"/>
      <c r="KC40" s="38"/>
      <c r="KD40" s="40"/>
      <c r="KE40" s="41"/>
      <c r="KF40" s="40"/>
      <c r="KG40" s="38"/>
      <c r="KH40" s="42"/>
      <c r="KI40" s="42"/>
      <c r="KJ40" s="42"/>
      <c r="KK40" s="38"/>
      <c r="KL40" s="38"/>
      <c r="KM40" s="38"/>
      <c r="KN40" s="39"/>
      <c r="KO40" s="38"/>
      <c r="KP40" s="38"/>
      <c r="KQ40" s="38"/>
      <c r="KR40" s="40"/>
      <c r="KS40" s="41"/>
      <c r="KT40" s="40"/>
      <c r="KU40" s="38"/>
      <c r="KV40" s="42"/>
      <c r="KW40" s="42"/>
      <c r="KX40" s="42"/>
      <c r="KY40" s="38"/>
      <c r="KZ40" s="38"/>
      <c r="LA40" s="38"/>
      <c r="LB40" s="39"/>
      <c r="LC40" s="38"/>
      <c r="LD40" s="38"/>
      <c r="LE40" s="38"/>
      <c r="LF40" s="40"/>
      <c r="LG40" s="41"/>
      <c r="LH40" s="40"/>
      <c r="LI40" s="38"/>
      <c r="LJ40" s="42"/>
      <c r="LK40" s="42"/>
      <c r="LL40" s="42"/>
      <c r="LM40" s="38"/>
      <c r="LN40" s="38"/>
      <c r="LO40" s="38"/>
      <c r="LP40" s="39"/>
      <c r="LQ40" s="38"/>
      <c r="LR40" s="38"/>
      <c r="LS40" s="38"/>
      <c r="LT40" s="40"/>
      <c r="LU40" s="41"/>
      <c r="LV40" s="40"/>
      <c r="LW40" s="38"/>
      <c r="LX40" s="42"/>
      <c r="LY40" s="42"/>
      <c r="LZ40" s="42"/>
      <c r="MA40" s="38"/>
      <c r="MB40" s="38"/>
      <c r="MC40" s="38"/>
      <c r="MD40" s="39"/>
      <c r="ME40" s="38"/>
      <c r="MF40" s="38"/>
      <c r="MG40" s="38"/>
      <c r="MH40" s="40"/>
      <c r="MI40" s="41"/>
      <c r="MJ40" s="40"/>
      <c r="MK40" s="38"/>
      <c r="ML40" s="42"/>
      <c r="MM40" s="42"/>
      <c r="MN40" s="42"/>
      <c r="MO40" s="38"/>
      <c r="MP40" s="38"/>
      <c r="MQ40" s="38"/>
      <c r="MR40" s="39"/>
      <c r="MS40" s="38"/>
      <c r="MT40" s="38"/>
      <c r="MU40" s="38"/>
      <c r="MV40" s="40"/>
      <c r="MW40" s="41"/>
      <c r="MX40" s="40"/>
      <c r="MY40" s="38"/>
      <c r="MZ40" s="42"/>
      <c r="NA40" s="42"/>
      <c r="NB40" s="42"/>
      <c r="NC40" s="38"/>
      <c r="ND40" s="38"/>
      <c r="NE40" s="38"/>
      <c r="NF40" s="39"/>
      <c r="NG40" s="38"/>
      <c r="NH40" s="38"/>
      <c r="NI40" s="38"/>
      <c r="NJ40" s="40"/>
      <c r="NK40" s="41"/>
      <c r="NL40" s="40"/>
      <c r="NM40" s="38"/>
      <c r="NN40" s="42"/>
      <c r="NO40" s="42"/>
      <c r="NP40" s="42"/>
      <c r="NQ40" s="38"/>
      <c r="NR40" s="38"/>
      <c r="NS40" s="38"/>
      <c r="NT40" s="39"/>
      <c r="NU40" s="38"/>
      <c r="NV40" s="38"/>
      <c r="NW40" s="38"/>
      <c r="NX40" s="40"/>
      <c r="NY40" s="41"/>
      <c r="NZ40" s="40"/>
      <c r="OA40" s="38"/>
      <c r="OB40" s="42"/>
      <c r="OC40" s="42"/>
      <c r="OD40" s="42"/>
      <c r="OE40" s="38"/>
      <c r="OF40" s="38"/>
      <c r="OG40" s="38"/>
      <c r="OH40" s="39"/>
      <c r="OI40" s="38"/>
      <c r="OJ40" s="38"/>
      <c r="OK40" s="38"/>
      <c r="OL40" s="40"/>
      <c r="OM40" s="41"/>
      <c r="ON40" s="40"/>
      <c r="OO40" s="38"/>
      <c r="OP40" s="42"/>
      <c r="OQ40" s="42"/>
      <c r="OR40" s="42"/>
      <c r="OS40" s="38"/>
      <c r="OT40" s="38"/>
      <c r="OU40" s="38"/>
      <c r="OV40" s="39"/>
      <c r="OW40" s="38"/>
      <c r="OX40" s="38"/>
      <c r="OY40" s="38"/>
      <c r="OZ40" s="40"/>
      <c r="PA40" s="41"/>
      <c r="PB40" s="40"/>
      <c r="PC40" s="38"/>
      <c r="PD40" s="42"/>
      <c r="PE40" s="42"/>
      <c r="PF40" s="42"/>
      <c r="PG40" s="38"/>
      <c r="PH40" s="38"/>
      <c r="PI40" s="38"/>
      <c r="PJ40" s="39"/>
      <c r="PK40" s="38"/>
      <c r="PL40" s="38"/>
      <c r="PM40" s="38"/>
      <c r="PN40" s="40"/>
      <c r="PO40" s="41"/>
      <c r="PP40" s="40"/>
      <c r="PQ40" s="38"/>
      <c r="PR40" s="42"/>
      <c r="PS40" s="42"/>
      <c r="PT40" s="42"/>
      <c r="PU40" s="38"/>
      <c r="PV40" s="38"/>
      <c r="PW40" s="38"/>
      <c r="PX40" s="39"/>
      <c r="PY40" s="38"/>
      <c r="PZ40" s="38"/>
      <c r="QA40" s="38"/>
      <c r="QB40" s="40"/>
      <c r="QC40" s="41"/>
      <c r="QD40" s="40"/>
      <c r="QE40" s="38"/>
      <c r="QF40" s="42"/>
      <c r="QG40" s="42"/>
      <c r="QH40" s="42"/>
      <c r="QI40" s="38"/>
      <c r="QJ40" s="38"/>
      <c r="QK40" s="38"/>
      <c r="QL40" s="39"/>
      <c r="QM40" s="38"/>
      <c r="QN40" s="38"/>
      <c r="QO40" s="38"/>
      <c r="QP40" s="40"/>
      <c r="QQ40" s="41"/>
      <c r="QR40" s="40"/>
      <c r="QS40" s="38"/>
      <c r="QT40" s="42"/>
      <c r="QU40" s="42"/>
      <c r="QV40" s="42"/>
      <c r="QW40" s="38"/>
      <c r="QX40" s="38"/>
      <c r="QY40" s="38"/>
      <c r="QZ40" s="39"/>
      <c r="RA40" s="38"/>
      <c r="RB40" s="38"/>
      <c r="RC40" s="38"/>
      <c r="RD40" s="40"/>
      <c r="RE40" s="41"/>
      <c r="RF40" s="40"/>
      <c r="RG40" s="38"/>
      <c r="RH40" s="42"/>
      <c r="RI40" s="42"/>
      <c r="RJ40" s="42"/>
      <c r="RK40" s="38"/>
      <c r="RL40" s="38"/>
      <c r="RM40" s="38"/>
      <c r="RN40" s="39"/>
      <c r="RO40" s="38"/>
      <c r="RP40" s="38"/>
      <c r="RQ40" s="38"/>
      <c r="RR40" s="40"/>
      <c r="RS40" s="41"/>
      <c r="RT40" s="40"/>
      <c r="RU40" s="38"/>
      <c r="RV40" s="42"/>
      <c r="RW40" s="42"/>
      <c r="RX40" s="42"/>
      <c r="RY40" s="38"/>
      <c r="RZ40" s="38"/>
      <c r="SA40" s="38"/>
      <c r="SB40" s="39"/>
      <c r="SC40" s="38"/>
      <c r="SD40" s="38"/>
      <c r="SE40" s="38"/>
      <c r="SF40" s="40"/>
      <c r="SG40" s="41"/>
      <c r="SH40" s="40"/>
      <c r="SI40" s="38"/>
      <c r="SJ40" s="42"/>
      <c r="SK40" s="42"/>
      <c r="SL40" s="42"/>
      <c r="SM40" s="38"/>
      <c r="SN40" s="38"/>
      <c r="SO40" s="38"/>
      <c r="SP40" s="39"/>
      <c r="SQ40" s="38"/>
      <c r="SR40" s="38"/>
      <c r="SS40" s="38"/>
      <c r="ST40" s="40"/>
      <c r="SU40" s="41"/>
      <c r="SV40" s="40"/>
      <c r="SW40" s="38"/>
      <c r="SX40" s="42"/>
      <c r="SY40" s="42"/>
      <c r="SZ40" s="42"/>
      <c r="TA40" s="38"/>
      <c r="TB40" s="38"/>
      <c r="TC40" s="38"/>
      <c r="TD40" s="39"/>
      <c r="TE40" s="38"/>
      <c r="TF40" s="38"/>
      <c r="TG40" s="38"/>
      <c r="TH40" s="40"/>
      <c r="TI40" s="41"/>
      <c r="TJ40" s="40"/>
      <c r="TK40" s="38"/>
      <c r="TL40" s="42"/>
      <c r="TM40" s="42"/>
      <c r="TN40" s="42"/>
      <c r="TO40" s="38"/>
      <c r="TP40" s="38"/>
      <c r="TQ40" s="38"/>
      <c r="TR40" s="39"/>
      <c r="TS40" s="38"/>
      <c r="TT40" s="38"/>
      <c r="TU40" s="38"/>
      <c r="TV40" s="40"/>
      <c r="TW40" s="41"/>
      <c r="TX40" s="40"/>
      <c r="TY40" s="38"/>
      <c r="TZ40" s="42"/>
      <c r="UA40" s="42"/>
      <c r="UB40" s="42"/>
      <c r="UC40" s="38"/>
      <c r="UD40" s="38"/>
      <c r="UE40" s="38"/>
      <c r="UF40" s="39"/>
      <c r="UG40" s="38"/>
      <c r="UH40" s="38"/>
      <c r="UI40" s="38"/>
      <c r="UJ40" s="40"/>
      <c r="UK40" s="41"/>
      <c r="UL40" s="40"/>
      <c r="UM40" s="38"/>
      <c r="UN40" s="42"/>
      <c r="UO40" s="42"/>
      <c r="UP40" s="42"/>
      <c r="UQ40" s="38"/>
      <c r="UR40" s="38"/>
      <c r="US40" s="38"/>
      <c r="UT40" s="39"/>
      <c r="UU40" s="38"/>
      <c r="UV40" s="38"/>
      <c r="UW40" s="38"/>
      <c r="UX40" s="40"/>
      <c r="UY40" s="41"/>
      <c r="UZ40" s="40"/>
      <c r="VA40" s="38"/>
      <c r="VB40" s="42"/>
      <c r="VC40" s="42"/>
      <c r="VD40" s="42"/>
      <c r="VE40" s="38"/>
      <c r="VF40" s="38"/>
      <c r="VG40" s="38"/>
      <c r="VH40" s="39"/>
      <c r="VI40" s="38"/>
      <c r="VJ40" s="38"/>
      <c r="VK40" s="38"/>
      <c r="VL40" s="40"/>
      <c r="VM40" s="41"/>
      <c r="VN40" s="40"/>
      <c r="VO40" s="38"/>
      <c r="VP40" s="42"/>
      <c r="VQ40" s="42"/>
      <c r="VR40" s="42"/>
      <c r="VS40" s="38"/>
      <c r="VT40" s="38"/>
      <c r="VU40" s="38"/>
      <c r="VV40" s="39"/>
      <c r="VW40" s="38"/>
      <c r="VX40" s="38"/>
      <c r="VY40" s="38"/>
      <c r="VZ40" s="40"/>
      <c r="WA40" s="41"/>
      <c r="WB40" s="40"/>
      <c r="WC40" s="38"/>
      <c r="WD40" s="42"/>
      <c r="WE40" s="42"/>
      <c r="WF40" s="42"/>
      <c r="WG40" s="38"/>
      <c r="WH40" s="38"/>
      <c r="WI40" s="38"/>
      <c r="WJ40" s="39"/>
      <c r="WK40" s="38"/>
      <c r="WL40" s="38"/>
      <c r="WM40" s="38"/>
      <c r="WN40" s="40"/>
      <c r="WO40" s="41"/>
      <c r="WP40" s="40"/>
      <c r="WQ40" s="38"/>
      <c r="WR40" s="42"/>
      <c r="WS40" s="42"/>
      <c r="WT40" s="42"/>
      <c r="WU40" s="38"/>
      <c r="WV40" s="38"/>
      <c r="WW40" s="38"/>
      <c r="WX40" s="39"/>
      <c r="WY40" s="38"/>
      <c r="WZ40" s="38"/>
      <c r="XA40" s="38"/>
      <c r="XB40" s="40"/>
      <c r="XC40" s="41"/>
      <c r="XD40" s="40"/>
      <c r="XE40" s="38"/>
      <c r="XF40" s="42"/>
      <c r="XG40" s="42"/>
      <c r="XH40" s="42"/>
      <c r="XI40" s="38"/>
      <c r="XJ40" s="38"/>
      <c r="XK40" s="38"/>
      <c r="XL40" s="39"/>
      <c r="XM40" s="38"/>
      <c r="XN40" s="38"/>
      <c r="XO40" s="38"/>
      <c r="XP40" s="40"/>
      <c r="XQ40" s="41"/>
      <c r="XR40" s="40"/>
      <c r="XS40" s="38"/>
      <c r="XT40" s="42"/>
      <c r="XU40" s="42"/>
      <c r="XV40" s="42"/>
      <c r="XW40" s="38"/>
      <c r="XX40" s="38"/>
      <c r="XY40" s="38"/>
      <c r="XZ40" s="39"/>
      <c r="YA40" s="38"/>
      <c r="YB40" s="38"/>
      <c r="YC40" s="38"/>
      <c r="YD40" s="40"/>
      <c r="YE40" s="41"/>
      <c r="YF40" s="40"/>
      <c r="YG40" s="38"/>
      <c r="YH40" s="42"/>
      <c r="YI40" s="42"/>
      <c r="YJ40" s="42"/>
      <c r="YK40" s="38"/>
      <c r="YL40" s="38"/>
      <c r="YM40" s="38"/>
      <c r="YN40" s="39"/>
      <c r="YO40" s="38"/>
      <c r="YP40" s="38"/>
      <c r="YQ40" s="38"/>
      <c r="YR40" s="40"/>
      <c r="YS40" s="41"/>
      <c r="YT40" s="40"/>
      <c r="YU40" s="38"/>
      <c r="YV40" s="42"/>
      <c r="YW40" s="42"/>
      <c r="YX40" s="42"/>
      <c r="YY40" s="38"/>
      <c r="YZ40" s="38"/>
      <c r="ZA40" s="38"/>
      <c r="ZB40" s="39"/>
      <c r="ZC40" s="38"/>
      <c r="ZD40" s="38"/>
      <c r="ZE40" s="38"/>
      <c r="ZF40" s="40"/>
      <c r="ZG40" s="41"/>
      <c r="ZH40" s="40"/>
      <c r="ZI40" s="38"/>
      <c r="ZJ40" s="42"/>
      <c r="ZK40" s="42"/>
      <c r="ZL40" s="42"/>
      <c r="ZM40" s="38"/>
      <c r="ZN40" s="38"/>
      <c r="ZO40" s="38"/>
      <c r="ZP40" s="39"/>
      <c r="ZQ40" s="38"/>
      <c r="ZR40" s="38"/>
      <c r="ZS40" s="38"/>
      <c r="ZT40" s="40"/>
      <c r="ZU40" s="41"/>
      <c r="ZV40" s="40"/>
      <c r="ZW40" s="38"/>
      <c r="ZX40" s="42"/>
      <c r="ZY40" s="42"/>
      <c r="ZZ40" s="42"/>
      <c r="AAA40" s="38"/>
      <c r="AAB40" s="38"/>
      <c r="AAC40" s="38"/>
      <c r="AAD40" s="39"/>
      <c r="AAE40" s="38"/>
      <c r="AAF40" s="38"/>
      <c r="AAG40" s="38"/>
      <c r="AAH40" s="40"/>
      <c r="AAI40" s="41"/>
      <c r="AAJ40" s="40"/>
      <c r="AAK40" s="38"/>
      <c r="AAL40" s="42"/>
      <c r="AAM40" s="42"/>
      <c r="AAN40" s="42"/>
      <c r="AAO40" s="38"/>
      <c r="AAP40" s="38"/>
      <c r="AAQ40" s="38"/>
      <c r="AAR40" s="39"/>
      <c r="AAS40" s="38"/>
      <c r="AAT40" s="38"/>
      <c r="AAU40" s="38"/>
      <c r="AAV40" s="40"/>
      <c r="AAW40" s="41"/>
      <c r="AAX40" s="40"/>
      <c r="AAY40" s="38"/>
      <c r="AAZ40" s="42"/>
      <c r="ABA40" s="42"/>
      <c r="ABB40" s="42"/>
      <c r="ABC40" s="38"/>
      <c r="ABD40" s="38"/>
      <c r="ABE40" s="38"/>
      <c r="ABF40" s="39"/>
      <c r="ABG40" s="38"/>
      <c r="ABH40" s="38"/>
      <c r="ABI40" s="38"/>
      <c r="ABJ40" s="40"/>
      <c r="ABK40" s="41"/>
      <c r="ABL40" s="40"/>
      <c r="ABM40" s="38"/>
      <c r="ABN40" s="42"/>
      <c r="ABO40" s="42"/>
      <c r="ABP40" s="42"/>
      <c r="ABQ40" s="38"/>
      <c r="ABR40" s="38"/>
      <c r="ABS40" s="38"/>
      <c r="ABT40" s="39"/>
      <c r="ABU40" s="38"/>
      <c r="ABV40" s="38"/>
      <c r="ABW40" s="38"/>
      <c r="ABX40" s="40"/>
      <c r="ABY40" s="41"/>
      <c r="ABZ40" s="40"/>
      <c r="ACA40" s="38"/>
      <c r="ACB40" s="42"/>
      <c r="ACC40" s="42"/>
      <c r="ACD40" s="42"/>
      <c r="ACE40" s="38"/>
      <c r="ACF40" s="38"/>
      <c r="ACG40" s="38"/>
      <c r="ACH40" s="39"/>
      <c r="ACI40" s="38"/>
      <c r="ACJ40" s="38"/>
      <c r="ACK40" s="38"/>
      <c r="ACL40" s="40"/>
      <c r="ACM40" s="41"/>
      <c r="ACN40" s="40"/>
      <c r="ACO40" s="38"/>
      <c r="ACP40" s="42"/>
      <c r="ACQ40" s="42"/>
      <c r="ACR40" s="42"/>
      <c r="ACS40" s="38"/>
      <c r="ACT40" s="38"/>
      <c r="ACU40" s="38"/>
      <c r="ACV40" s="39"/>
      <c r="ACW40" s="38"/>
      <c r="ACX40" s="38"/>
      <c r="ACY40" s="38"/>
      <c r="ACZ40" s="40"/>
      <c r="ADA40" s="41"/>
      <c r="ADB40" s="40"/>
      <c r="ADC40" s="38"/>
      <c r="ADD40" s="42"/>
      <c r="ADE40" s="42"/>
      <c r="ADF40" s="42"/>
      <c r="ADG40" s="38"/>
      <c r="ADH40" s="38"/>
      <c r="ADI40" s="38"/>
      <c r="ADJ40" s="39"/>
      <c r="ADK40" s="38"/>
      <c r="ADL40" s="38"/>
      <c r="ADM40" s="38"/>
      <c r="ADN40" s="40"/>
      <c r="ADO40" s="41"/>
      <c r="ADP40" s="40"/>
      <c r="ADQ40" s="38"/>
      <c r="ADR40" s="42"/>
      <c r="ADS40" s="42"/>
      <c r="ADT40" s="42"/>
      <c r="ADU40" s="38"/>
      <c r="ADV40" s="38"/>
      <c r="ADW40" s="38"/>
      <c r="ADX40" s="39"/>
      <c r="ADY40" s="38"/>
      <c r="ADZ40" s="38"/>
      <c r="AEA40" s="38"/>
      <c r="AEB40" s="40"/>
      <c r="AEC40" s="41"/>
      <c r="AED40" s="40"/>
      <c r="AEE40" s="38"/>
      <c r="AEF40" s="42"/>
      <c r="AEG40" s="42"/>
      <c r="AEH40" s="42"/>
      <c r="AEI40" s="38"/>
      <c r="AEJ40" s="38"/>
      <c r="AEK40" s="38"/>
      <c r="AEL40" s="39"/>
      <c r="AEM40" s="38"/>
      <c r="AEN40" s="38"/>
      <c r="AEO40" s="38"/>
      <c r="AEP40" s="40"/>
      <c r="AEQ40" s="41"/>
      <c r="AER40" s="40"/>
      <c r="AES40" s="38"/>
      <c r="AET40" s="42"/>
      <c r="AEU40" s="42"/>
      <c r="AEV40" s="42"/>
      <c r="AEW40" s="38"/>
      <c r="AEX40" s="38"/>
      <c r="AEY40" s="38"/>
      <c r="AEZ40" s="39"/>
      <c r="AFA40" s="38"/>
      <c r="AFB40" s="38"/>
      <c r="AFC40" s="38"/>
      <c r="AFD40" s="40"/>
      <c r="AFE40" s="41"/>
      <c r="AFF40" s="40"/>
      <c r="AFG40" s="38"/>
      <c r="AFH40" s="42"/>
      <c r="AFI40" s="42"/>
      <c r="AFJ40" s="42"/>
      <c r="AFK40" s="38"/>
      <c r="AFL40" s="38"/>
      <c r="AFM40" s="38"/>
      <c r="AFN40" s="39"/>
      <c r="AFO40" s="38"/>
      <c r="AFP40" s="38"/>
      <c r="AFQ40" s="38"/>
      <c r="AFR40" s="40"/>
      <c r="AFS40" s="41"/>
      <c r="AFT40" s="40"/>
      <c r="AFU40" s="38"/>
      <c r="AFV40" s="42"/>
      <c r="AFW40" s="42"/>
      <c r="AFX40" s="42"/>
      <c r="AFY40" s="38"/>
      <c r="AFZ40" s="38"/>
      <c r="AGA40" s="38"/>
      <c r="AGB40" s="39"/>
      <c r="AGC40" s="38"/>
      <c r="AGD40" s="38"/>
      <c r="AGE40" s="38"/>
      <c r="AGF40" s="40"/>
      <c r="AGG40" s="41"/>
      <c r="AGH40" s="40"/>
      <c r="AGI40" s="38"/>
      <c r="AGJ40" s="42"/>
      <c r="AGK40" s="42"/>
      <c r="AGL40" s="42"/>
      <c r="AGM40" s="38"/>
      <c r="AGN40" s="38"/>
      <c r="AGO40" s="38"/>
      <c r="AGP40" s="39"/>
      <c r="AGQ40" s="38"/>
      <c r="AGR40" s="38"/>
      <c r="AGS40" s="38"/>
      <c r="AGT40" s="40"/>
      <c r="AGU40" s="41"/>
      <c r="AGV40" s="40"/>
      <c r="AGW40" s="38"/>
      <c r="AGX40" s="42"/>
      <c r="AGY40" s="42"/>
      <c r="AGZ40" s="42"/>
      <c r="AHA40" s="38"/>
      <c r="AHB40" s="38"/>
      <c r="AHC40" s="38"/>
      <c r="AHD40" s="39"/>
      <c r="AHE40" s="38"/>
      <c r="AHF40" s="38"/>
      <c r="AHG40" s="38"/>
      <c r="AHH40" s="40"/>
      <c r="AHI40" s="41"/>
      <c r="AHJ40" s="40"/>
      <c r="AHK40" s="38"/>
      <c r="AHL40" s="42"/>
      <c r="AHM40" s="42"/>
      <c r="AHN40" s="42"/>
      <c r="AHO40" s="38"/>
      <c r="AHP40" s="38"/>
      <c r="AHQ40" s="38"/>
      <c r="AHR40" s="39"/>
      <c r="AHS40" s="38"/>
      <c r="AHT40" s="38"/>
      <c r="AHU40" s="38"/>
      <c r="AHV40" s="40"/>
      <c r="AHW40" s="41"/>
      <c r="AHX40" s="40"/>
      <c r="AHY40" s="38"/>
      <c r="AHZ40" s="42"/>
      <c r="AIA40" s="42"/>
      <c r="AIB40" s="42"/>
      <c r="AIC40" s="38"/>
      <c r="AID40" s="38"/>
      <c r="AIE40" s="38"/>
      <c r="AIF40" s="39"/>
      <c r="AIG40" s="38"/>
      <c r="AIH40" s="38"/>
      <c r="AII40" s="38"/>
      <c r="AIJ40" s="40"/>
      <c r="AIK40" s="41"/>
      <c r="AIL40" s="40"/>
      <c r="AIM40" s="38"/>
      <c r="AIN40" s="42"/>
      <c r="AIO40" s="42"/>
      <c r="AIP40" s="42"/>
      <c r="AIQ40" s="38"/>
      <c r="AIR40" s="38"/>
      <c r="AIS40" s="38"/>
      <c r="AIT40" s="39"/>
      <c r="AIU40" s="38"/>
      <c r="AIV40" s="38"/>
      <c r="AIW40" s="38"/>
      <c r="AIX40" s="40"/>
      <c r="AIY40" s="41"/>
      <c r="AIZ40" s="40"/>
      <c r="AJA40" s="38"/>
      <c r="AJB40" s="42"/>
      <c r="AJC40" s="42"/>
      <c r="AJD40" s="42"/>
      <c r="AJE40" s="38"/>
      <c r="AJF40" s="38"/>
      <c r="AJG40" s="38"/>
      <c r="AJH40" s="39"/>
      <c r="AJI40" s="38"/>
      <c r="AJJ40" s="38"/>
      <c r="AJK40" s="38"/>
      <c r="AJL40" s="40"/>
      <c r="AJM40" s="41"/>
      <c r="AJN40" s="40"/>
      <c r="AJO40" s="38"/>
      <c r="AJP40" s="42"/>
      <c r="AJQ40" s="42"/>
      <c r="AJR40" s="42"/>
      <c r="AJS40" s="38"/>
      <c r="AJT40" s="38"/>
      <c r="AJU40" s="38"/>
      <c r="AJV40" s="39"/>
      <c r="AJW40" s="38"/>
      <c r="AJX40" s="38"/>
      <c r="AJY40" s="38"/>
      <c r="AJZ40" s="40"/>
      <c r="AKA40" s="41"/>
      <c r="AKB40" s="40"/>
      <c r="AKC40" s="38"/>
      <c r="AKD40" s="42"/>
      <c r="AKE40" s="42"/>
      <c r="AKF40" s="42"/>
      <c r="AKG40" s="38"/>
      <c r="AKH40" s="38"/>
      <c r="AKI40" s="38"/>
      <c r="AKJ40" s="39"/>
      <c r="AKK40" s="38"/>
      <c r="AKL40" s="38"/>
      <c r="AKM40" s="38"/>
      <c r="AKN40" s="40"/>
      <c r="AKO40" s="41"/>
      <c r="AKP40" s="40"/>
      <c r="AKQ40" s="38"/>
      <c r="AKR40" s="42"/>
      <c r="AKS40" s="42"/>
      <c r="AKT40" s="42"/>
      <c r="AKU40" s="38"/>
      <c r="AKV40" s="38"/>
      <c r="AKW40" s="38"/>
      <c r="AKX40" s="39"/>
      <c r="AKY40" s="38"/>
      <c r="AKZ40" s="38"/>
      <c r="ALA40" s="38"/>
      <c r="ALB40" s="40"/>
      <c r="ALC40" s="41"/>
      <c r="ALD40" s="40"/>
      <c r="ALE40" s="38"/>
      <c r="ALF40" s="42"/>
      <c r="ALG40" s="42"/>
      <c r="ALH40" s="42"/>
      <c r="ALI40" s="38"/>
      <c r="ALJ40" s="38"/>
      <c r="ALK40" s="38"/>
      <c r="ALL40" s="39"/>
      <c r="ALM40" s="38"/>
      <c r="ALN40" s="38"/>
      <c r="ALO40" s="38"/>
      <c r="ALP40" s="40"/>
      <c r="ALQ40" s="41"/>
      <c r="ALR40" s="40"/>
      <c r="ALS40" s="38"/>
      <c r="ALT40" s="42"/>
      <c r="ALU40" s="42"/>
      <c r="ALV40" s="42"/>
      <c r="ALW40" s="38"/>
      <c r="ALX40" s="38"/>
      <c r="ALY40" s="38"/>
      <c r="ALZ40" s="39"/>
      <c r="AMA40" s="38"/>
      <c r="AMB40" s="38"/>
      <c r="AMC40" s="38"/>
      <c r="AMD40" s="40"/>
      <c r="AME40" s="41"/>
      <c r="AMF40" s="40"/>
      <c r="AMG40" s="38"/>
      <c r="AMH40" s="42"/>
      <c r="AMI40" s="42"/>
      <c r="AMJ40" s="42"/>
      <c r="AMK40" s="38"/>
      <c r="AML40" s="38"/>
      <c r="AMM40" s="38"/>
      <c r="AMN40" s="39"/>
      <c r="AMO40" s="38"/>
      <c r="AMP40" s="38"/>
      <c r="AMQ40" s="38"/>
      <c r="AMR40" s="40"/>
      <c r="AMS40" s="41"/>
      <c r="AMT40" s="40"/>
      <c r="AMU40" s="38"/>
      <c r="AMV40" s="42"/>
      <c r="AMW40" s="42"/>
      <c r="AMX40" s="42"/>
      <c r="AMY40" s="38"/>
      <c r="AMZ40" s="38"/>
      <c r="ANA40" s="38"/>
      <c r="ANB40" s="39"/>
      <c r="ANC40" s="38"/>
      <c r="AND40" s="38"/>
      <c r="ANE40" s="38"/>
      <c r="ANF40" s="40"/>
      <c r="ANG40" s="41"/>
      <c r="ANH40" s="40"/>
      <c r="ANI40" s="38"/>
      <c r="ANJ40" s="42"/>
      <c r="ANK40" s="42"/>
      <c r="ANL40" s="42"/>
      <c r="ANM40" s="38"/>
      <c r="ANN40" s="38"/>
      <c r="ANO40" s="38"/>
      <c r="ANP40" s="39"/>
      <c r="ANQ40" s="38"/>
      <c r="ANR40" s="38"/>
      <c r="ANS40" s="38"/>
      <c r="ANT40" s="40"/>
      <c r="ANU40" s="41"/>
      <c r="ANV40" s="40"/>
      <c r="ANW40" s="38"/>
      <c r="ANX40" s="42"/>
      <c r="ANY40" s="42"/>
      <c r="ANZ40" s="42"/>
      <c r="AOA40" s="38"/>
      <c r="AOB40" s="38"/>
      <c r="AOC40" s="38"/>
      <c r="AOD40" s="39"/>
      <c r="AOE40" s="38"/>
      <c r="AOF40" s="38"/>
      <c r="AOG40" s="38"/>
      <c r="AOH40" s="40"/>
      <c r="AOI40" s="41"/>
      <c r="AOJ40" s="40"/>
      <c r="AOK40" s="38"/>
      <c r="AOL40" s="42"/>
      <c r="AOM40" s="42"/>
      <c r="AON40" s="42"/>
      <c r="AOO40" s="38"/>
      <c r="AOP40" s="38"/>
      <c r="AOQ40" s="38"/>
      <c r="AOR40" s="39"/>
      <c r="AOS40" s="38"/>
      <c r="AOT40" s="38"/>
      <c r="AOU40" s="38"/>
      <c r="AOV40" s="40"/>
      <c r="AOW40" s="41"/>
      <c r="AOX40" s="40"/>
      <c r="AOY40" s="38"/>
      <c r="AOZ40" s="42"/>
      <c r="APA40" s="42"/>
      <c r="APB40" s="42"/>
      <c r="APC40" s="38"/>
      <c r="APD40" s="38"/>
      <c r="APE40" s="38"/>
      <c r="APF40" s="39"/>
      <c r="APG40" s="38"/>
      <c r="APH40" s="38"/>
      <c r="API40" s="38"/>
      <c r="APJ40" s="40"/>
      <c r="APK40" s="41"/>
      <c r="APL40" s="40"/>
      <c r="APM40" s="38"/>
      <c r="APN40" s="42"/>
      <c r="APO40" s="42"/>
      <c r="APP40" s="42"/>
      <c r="APQ40" s="38"/>
      <c r="APR40" s="38"/>
      <c r="APS40" s="38"/>
      <c r="APT40" s="39"/>
      <c r="APU40" s="38"/>
      <c r="APV40" s="38"/>
      <c r="APW40" s="38"/>
      <c r="APX40" s="40"/>
      <c r="APY40" s="41"/>
      <c r="APZ40" s="40"/>
      <c r="AQA40" s="38"/>
      <c r="AQB40" s="42"/>
      <c r="AQC40" s="42"/>
      <c r="AQD40" s="42"/>
      <c r="AQE40" s="38"/>
      <c r="AQF40" s="38"/>
      <c r="AQG40" s="38"/>
      <c r="AQH40" s="39"/>
      <c r="AQI40" s="38"/>
      <c r="AQJ40" s="38"/>
      <c r="AQK40" s="38"/>
      <c r="AQL40" s="40"/>
      <c r="AQM40" s="41"/>
      <c r="AQN40" s="40"/>
      <c r="AQO40" s="38"/>
      <c r="AQP40" s="42"/>
      <c r="AQQ40" s="42"/>
      <c r="AQR40" s="42"/>
      <c r="AQS40" s="38"/>
      <c r="AQT40" s="38"/>
      <c r="AQU40" s="38"/>
      <c r="AQV40" s="39"/>
      <c r="AQW40" s="38"/>
      <c r="AQX40" s="38"/>
      <c r="AQY40" s="38"/>
      <c r="AQZ40" s="40"/>
      <c r="ARA40" s="41"/>
      <c r="ARB40" s="40"/>
      <c r="ARC40" s="38"/>
      <c r="ARD40" s="42"/>
      <c r="ARE40" s="42"/>
      <c r="ARF40" s="42"/>
      <c r="ARG40" s="38"/>
      <c r="ARH40" s="38"/>
      <c r="ARI40" s="38"/>
      <c r="ARJ40" s="39"/>
      <c r="ARK40" s="38"/>
      <c r="ARL40" s="38"/>
      <c r="ARM40" s="38"/>
      <c r="ARN40" s="40"/>
      <c r="ARO40" s="41"/>
      <c r="ARP40" s="40"/>
      <c r="ARQ40" s="38"/>
      <c r="ARR40" s="42"/>
      <c r="ARS40" s="42"/>
      <c r="ART40" s="42"/>
      <c r="ARU40" s="38"/>
      <c r="ARV40" s="38"/>
      <c r="ARW40" s="38"/>
      <c r="ARX40" s="39"/>
      <c r="ARY40" s="38"/>
      <c r="ARZ40" s="38"/>
      <c r="ASA40" s="38"/>
      <c r="ASB40" s="40"/>
      <c r="ASC40" s="41"/>
      <c r="ASD40" s="40"/>
      <c r="ASE40" s="38"/>
      <c r="ASF40" s="42"/>
      <c r="ASG40" s="42"/>
      <c r="ASH40" s="42"/>
      <c r="ASI40" s="38"/>
      <c r="ASJ40" s="38"/>
      <c r="ASK40" s="38"/>
      <c r="ASL40" s="39"/>
      <c r="ASM40" s="38"/>
      <c r="ASN40" s="38"/>
      <c r="ASO40" s="38"/>
      <c r="ASP40" s="40"/>
      <c r="ASQ40" s="41"/>
      <c r="ASR40" s="40"/>
      <c r="ASS40" s="38"/>
      <c r="AST40" s="42"/>
      <c r="ASU40" s="42"/>
      <c r="ASV40" s="42"/>
      <c r="ASW40" s="38"/>
      <c r="ASX40" s="38"/>
      <c r="ASY40" s="38"/>
      <c r="ASZ40" s="39"/>
      <c r="ATA40" s="38"/>
      <c r="ATB40" s="38"/>
      <c r="ATC40" s="38"/>
      <c r="ATD40" s="40"/>
      <c r="ATE40" s="41"/>
      <c r="ATF40" s="40"/>
      <c r="ATG40" s="38"/>
      <c r="ATH40" s="42"/>
      <c r="ATI40" s="42"/>
      <c r="ATJ40" s="42"/>
      <c r="ATK40" s="38"/>
      <c r="ATL40" s="38"/>
      <c r="ATM40" s="38"/>
      <c r="ATN40" s="39"/>
      <c r="ATO40" s="38"/>
      <c r="ATP40" s="38"/>
      <c r="ATQ40" s="38"/>
      <c r="ATR40" s="40"/>
      <c r="ATS40" s="41"/>
      <c r="ATT40" s="40"/>
      <c r="ATU40" s="38"/>
      <c r="ATV40" s="42"/>
      <c r="ATW40" s="42"/>
      <c r="ATX40" s="42"/>
      <c r="ATY40" s="38"/>
      <c r="ATZ40" s="38"/>
      <c r="AUA40" s="38"/>
      <c r="AUB40" s="39"/>
      <c r="AUC40" s="38"/>
      <c r="AUD40" s="38"/>
      <c r="AUE40" s="38"/>
      <c r="AUF40" s="40"/>
      <c r="AUG40" s="41"/>
      <c r="AUH40" s="40"/>
      <c r="AUI40" s="38"/>
      <c r="AUJ40" s="42"/>
      <c r="AUK40" s="42"/>
      <c r="AUL40" s="42"/>
      <c r="AUM40" s="38"/>
      <c r="AUN40" s="38"/>
      <c r="AUO40" s="38"/>
      <c r="AUP40" s="39"/>
      <c r="AUQ40" s="38"/>
      <c r="AUR40" s="38"/>
      <c r="AUS40" s="38"/>
      <c r="AUT40" s="40"/>
      <c r="AUU40" s="41"/>
      <c r="AUV40" s="40"/>
      <c r="AUW40" s="38"/>
      <c r="AUX40" s="42"/>
      <c r="AUY40" s="42"/>
      <c r="AUZ40" s="42"/>
      <c r="AVA40" s="38"/>
      <c r="AVB40" s="38"/>
      <c r="AVC40" s="38"/>
      <c r="AVD40" s="39"/>
      <c r="AVE40" s="38"/>
      <c r="AVF40" s="38"/>
      <c r="AVG40" s="38"/>
      <c r="AVH40" s="40"/>
      <c r="AVI40" s="41"/>
      <c r="AVJ40" s="40"/>
      <c r="AVK40" s="38"/>
      <c r="AVL40" s="42"/>
      <c r="AVM40" s="42"/>
      <c r="AVN40" s="42"/>
      <c r="AVO40" s="38"/>
      <c r="AVP40" s="38"/>
      <c r="AVQ40" s="38"/>
      <c r="AVR40" s="39"/>
      <c r="AVS40" s="38"/>
      <c r="AVT40" s="38"/>
      <c r="AVU40" s="38"/>
      <c r="AVV40" s="40"/>
      <c r="AVW40" s="41"/>
      <c r="AVX40" s="40"/>
      <c r="AVY40" s="38"/>
      <c r="AVZ40" s="42"/>
      <c r="AWA40" s="42"/>
      <c r="AWB40" s="42"/>
      <c r="AWC40" s="38"/>
      <c r="AWD40" s="38"/>
      <c r="AWE40" s="38"/>
      <c r="AWF40" s="39"/>
      <c r="AWG40" s="38"/>
      <c r="AWH40" s="38"/>
      <c r="AWI40" s="38"/>
      <c r="AWJ40" s="40"/>
      <c r="AWK40" s="41"/>
      <c r="AWL40" s="40"/>
      <c r="AWM40" s="38"/>
      <c r="AWN40" s="42"/>
      <c r="AWO40" s="42"/>
      <c r="AWP40" s="42"/>
      <c r="AWQ40" s="38"/>
      <c r="AWR40" s="38"/>
      <c r="AWS40" s="38"/>
      <c r="AWT40" s="39"/>
      <c r="AWU40" s="38"/>
      <c r="AWV40" s="38"/>
      <c r="AWW40" s="38"/>
      <c r="AWX40" s="40"/>
      <c r="AWY40" s="41"/>
      <c r="AWZ40" s="40"/>
      <c r="AXA40" s="38"/>
      <c r="AXB40" s="42"/>
      <c r="AXC40" s="42"/>
      <c r="AXD40" s="42"/>
      <c r="AXE40" s="38"/>
      <c r="AXF40" s="38"/>
      <c r="AXG40" s="38"/>
      <c r="AXH40" s="39"/>
      <c r="AXI40" s="38"/>
      <c r="AXJ40" s="38"/>
      <c r="AXK40" s="38"/>
      <c r="AXL40" s="40"/>
      <c r="AXM40" s="41"/>
      <c r="AXN40" s="40"/>
      <c r="AXO40" s="38"/>
      <c r="AXP40" s="42"/>
      <c r="AXQ40" s="42"/>
      <c r="AXR40" s="42"/>
      <c r="AXS40" s="38"/>
      <c r="AXT40" s="38"/>
      <c r="AXU40" s="38"/>
      <c r="AXV40" s="39"/>
      <c r="AXW40" s="38"/>
      <c r="AXX40" s="38"/>
      <c r="AXY40" s="38"/>
      <c r="AXZ40" s="40"/>
      <c r="AYA40" s="41"/>
      <c r="AYB40" s="40"/>
      <c r="AYC40" s="38"/>
      <c r="AYD40" s="42"/>
      <c r="AYE40" s="42"/>
      <c r="AYF40" s="42"/>
      <c r="AYG40" s="38"/>
      <c r="AYH40" s="38"/>
      <c r="AYI40" s="38"/>
      <c r="AYJ40" s="39"/>
      <c r="AYK40" s="38"/>
      <c r="AYL40" s="38"/>
      <c r="AYM40" s="38"/>
      <c r="AYN40" s="40"/>
      <c r="AYO40" s="41"/>
      <c r="AYP40" s="40"/>
      <c r="AYQ40" s="38"/>
      <c r="AYR40" s="42"/>
      <c r="AYS40" s="42"/>
      <c r="AYT40" s="42"/>
      <c r="AYU40" s="38"/>
      <c r="AYV40" s="38"/>
      <c r="AYW40" s="38"/>
      <c r="AYX40" s="39"/>
      <c r="AYY40" s="38"/>
      <c r="AYZ40" s="38"/>
      <c r="AZA40" s="38"/>
      <c r="AZB40" s="40"/>
      <c r="AZC40" s="41"/>
      <c r="AZD40" s="40"/>
      <c r="AZE40" s="38"/>
      <c r="AZF40" s="42"/>
      <c r="AZG40" s="42"/>
      <c r="AZH40" s="42"/>
      <c r="AZI40" s="38"/>
      <c r="AZJ40" s="38"/>
      <c r="AZK40" s="38"/>
      <c r="AZL40" s="39"/>
      <c r="AZM40" s="38"/>
      <c r="AZN40" s="38"/>
      <c r="AZO40" s="38"/>
      <c r="AZP40" s="40"/>
      <c r="AZQ40" s="41"/>
      <c r="AZR40" s="40"/>
      <c r="AZS40" s="38"/>
      <c r="AZT40" s="42"/>
      <c r="AZU40" s="42"/>
      <c r="AZV40" s="42"/>
      <c r="AZW40" s="38"/>
      <c r="AZX40" s="38"/>
      <c r="AZY40" s="38"/>
      <c r="AZZ40" s="39"/>
      <c r="BAA40" s="38"/>
      <c r="BAB40" s="38"/>
      <c r="BAC40" s="38"/>
      <c r="BAD40" s="40"/>
      <c r="BAE40" s="41"/>
      <c r="BAF40" s="40"/>
      <c r="BAG40" s="38"/>
      <c r="BAH40" s="42"/>
      <c r="BAI40" s="42"/>
      <c r="BAJ40" s="42"/>
      <c r="BAK40" s="38"/>
      <c r="BAL40" s="38"/>
      <c r="BAM40" s="38"/>
      <c r="BAN40" s="39"/>
      <c r="BAO40" s="38"/>
      <c r="BAP40" s="38"/>
      <c r="BAQ40" s="38"/>
      <c r="BAR40" s="40"/>
      <c r="BAS40" s="41"/>
      <c r="BAT40" s="40"/>
      <c r="BAU40" s="38"/>
      <c r="BAV40" s="42"/>
      <c r="BAW40" s="42"/>
      <c r="BAX40" s="42"/>
      <c r="BAY40" s="38"/>
      <c r="BAZ40" s="38"/>
      <c r="BBA40" s="38"/>
      <c r="BBB40" s="39"/>
      <c r="BBC40" s="38"/>
      <c r="BBD40" s="38"/>
      <c r="BBE40" s="38"/>
      <c r="BBF40" s="40"/>
      <c r="BBG40" s="41"/>
      <c r="BBH40" s="40"/>
      <c r="BBI40" s="38"/>
      <c r="BBJ40" s="42"/>
      <c r="BBK40" s="42"/>
      <c r="BBL40" s="42"/>
      <c r="BBM40" s="38"/>
      <c r="BBN40" s="38"/>
      <c r="BBO40" s="38"/>
      <c r="BBP40" s="39"/>
      <c r="BBQ40" s="38"/>
      <c r="BBR40" s="38"/>
      <c r="BBS40" s="38"/>
      <c r="BBT40" s="40"/>
      <c r="BBU40" s="41"/>
      <c r="BBV40" s="40"/>
      <c r="BBW40" s="38"/>
      <c r="BBX40" s="42"/>
      <c r="BBY40" s="42"/>
      <c r="BBZ40" s="42"/>
      <c r="BCA40" s="38"/>
      <c r="BCB40" s="38"/>
      <c r="BCC40" s="38"/>
      <c r="BCD40" s="39"/>
      <c r="BCE40" s="38"/>
      <c r="BCF40" s="38"/>
      <c r="BCG40" s="38"/>
      <c r="BCH40" s="40"/>
      <c r="BCI40" s="41"/>
      <c r="BCJ40" s="40"/>
      <c r="BCK40" s="38"/>
      <c r="BCL40" s="42"/>
      <c r="BCM40" s="42"/>
      <c r="BCN40" s="42"/>
      <c r="BCO40" s="38"/>
      <c r="BCP40" s="38"/>
      <c r="BCQ40" s="38"/>
      <c r="BCR40" s="39"/>
      <c r="BCS40" s="38"/>
      <c r="BCT40" s="38"/>
      <c r="BCU40" s="38"/>
      <c r="BCV40" s="40"/>
      <c r="BCW40" s="41"/>
      <c r="BCX40" s="40"/>
      <c r="BCY40" s="38"/>
      <c r="BCZ40" s="42"/>
      <c r="BDA40" s="42"/>
      <c r="BDB40" s="42"/>
      <c r="BDC40" s="38"/>
      <c r="BDD40" s="38"/>
      <c r="BDE40" s="38"/>
      <c r="BDF40" s="39"/>
      <c r="BDG40" s="38"/>
      <c r="BDH40" s="38"/>
      <c r="BDI40" s="38"/>
      <c r="BDJ40" s="40"/>
      <c r="BDK40" s="41"/>
      <c r="BDL40" s="40"/>
      <c r="BDM40" s="38"/>
      <c r="BDN40" s="42"/>
      <c r="BDO40" s="42"/>
      <c r="BDP40" s="42"/>
      <c r="BDQ40" s="38"/>
      <c r="BDR40" s="38"/>
      <c r="BDS40" s="38"/>
      <c r="BDT40" s="39"/>
      <c r="BDU40" s="38"/>
      <c r="BDV40" s="38"/>
      <c r="BDW40" s="38"/>
      <c r="BDX40" s="40"/>
      <c r="BDY40" s="41"/>
      <c r="BDZ40" s="40"/>
      <c r="BEA40" s="38"/>
      <c r="BEB40" s="42"/>
      <c r="BEC40" s="42"/>
      <c r="BED40" s="42"/>
      <c r="BEE40" s="38"/>
      <c r="BEF40" s="38"/>
      <c r="BEG40" s="38"/>
      <c r="BEH40" s="39"/>
      <c r="BEI40" s="38"/>
      <c r="BEJ40" s="38"/>
      <c r="BEK40" s="38"/>
      <c r="BEL40" s="40"/>
      <c r="BEM40" s="41"/>
      <c r="BEN40" s="40"/>
      <c r="BEO40" s="38"/>
      <c r="BEP40" s="42"/>
      <c r="BEQ40" s="42"/>
      <c r="BER40" s="42"/>
      <c r="BES40" s="38"/>
      <c r="BET40" s="38"/>
      <c r="BEU40" s="38"/>
      <c r="BEV40" s="39"/>
      <c r="BEW40" s="38"/>
      <c r="BEX40" s="38"/>
      <c r="BEY40" s="38"/>
      <c r="BEZ40" s="40"/>
      <c r="BFA40" s="41"/>
      <c r="BFB40" s="40"/>
      <c r="BFC40" s="38"/>
      <c r="BFD40" s="42"/>
      <c r="BFE40" s="42"/>
      <c r="BFF40" s="42"/>
      <c r="BFG40" s="38"/>
      <c r="BFH40" s="38"/>
      <c r="BFI40" s="38"/>
      <c r="BFJ40" s="39"/>
      <c r="BFK40" s="38"/>
      <c r="BFL40" s="38"/>
      <c r="BFM40" s="38"/>
      <c r="BFN40" s="40"/>
      <c r="BFO40" s="41"/>
      <c r="BFP40" s="40"/>
      <c r="BFQ40" s="38"/>
      <c r="BFR40" s="42"/>
      <c r="BFS40" s="42"/>
      <c r="BFT40" s="42"/>
      <c r="BFU40" s="38"/>
      <c r="BFV40" s="38"/>
      <c r="BFW40" s="38"/>
      <c r="BFX40" s="39"/>
      <c r="BFY40" s="38"/>
      <c r="BFZ40" s="38"/>
      <c r="BGA40" s="38"/>
      <c r="BGB40" s="40"/>
      <c r="BGC40" s="41"/>
      <c r="BGD40" s="40"/>
      <c r="BGE40" s="38"/>
      <c r="BGF40" s="42"/>
      <c r="BGG40" s="42"/>
      <c r="BGH40" s="42"/>
      <c r="BGI40" s="38"/>
      <c r="BGJ40" s="38"/>
      <c r="BGK40" s="38"/>
      <c r="BGL40" s="39"/>
      <c r="BGM40" s="38"/>
      <c r="BGN40" s="38"/>
      <c r="BGO40" s="38"/>
      <c r="BGP40" s="40"/>
      <c r="BGQ40" s="41"/>
      <c r="BGR40" s="40"/>
      <c r="BGS40" s="38"/>
      <c r="BGT40" s="42"/>
      <c r="BGU40" s="42"/>
      <c r="BGV40" s="42"/>
      <c r="BGW40" s="38"/>
      <c r="BGX40" s="38"/>
      <c r="BGY40" s="38"/>
      <c r="BGZ40" s="39"/>
      <c r="BHA40" s="38"/>
      <c r="BHB40" s="38"/>
      <c r="BHC40" s="38"/>
      <c r="BHD40" s="40"/>
      <c r="BHE40" s="41"/>
      <c r="BHF40" s="40"/>
      <c r="BHG40" s="38"/>
      <c r="BHH40" s="42"/>
      <c r="BHI40" s="42"/>
      <c r="BHJ40" s="42"/>
      <c r="BHK40" s="38"/>
      <c r="BHL40" s="38"/>
      <c r="BHM40" s="38"/>
      <c r="BHN40" s="39"/>
      <c r="BHO40" s="38"/>
      <c r="BHP40" s="38"/>
      <c r="BHQ40" s="38"/>
      <c r="BHR40" s="40"/>
      <c r="BHS40" s="41"/>
      <c r="BHT40" s="40"/>
      <c r="BHU40" s="38"/>
      <c r="BHV40" s="42"/>
      <c r="BHW40" s="42"/>
      <c r="BHX40" s="42"/>
      <c r="BHY40" s="38"/>
      <c r="BHZ40" s="38"/>
      <c r="BIA40" s="38"/>
      <c r="BIB40" s="39"/>
      <c r="BIC40" s="38"/>
      <c r="BID40" s="38"/>
      <c r="BIE40" s="38"/>
      <c r="BIF40" s="40"/>
      <c r="BIG40" s="41"/>
      <c r="BIH40" s="40"/>
      <c r="BII40" s="38"/>
      <c r="BIJ40" s="42"/>
      <c r="BIK40" s="42"/>
      <c r="BIL40" s="42"/>
      <c r="BIM40" s="38"/>
      <c r="BIN40" s="38"/>
      <c r="BIO40" s="38"/>
      <c r="BIP40" s="39"/>
      <c r="BIQ40" s="38"/>
      <c r="BIR40" s="38"/>
      <c r="BIS40" s="38"/>
      <c r="BIT40" s="40"/>
      <c r="BIU40" s="41"/>
      <c r="BIV40" s="40"/>
      <c r="BIW40" s="38"/>
      <c r="BIX40" s="42"/>
      <c r="BIY40" s="42"/>
      <c r="BIZ40" s="42"/>
      <c r="BJA40" s="38"/>
      <c r="BJB40" s="38"/>
      <c r="BJC40" s="38"/>
      <c r="BJD40" s="39"/>
      <c r="BJE40" s="38"/>
      <c r="BJF40" s="38"/>
      <c r="BJG40" s="38"/>
      <c r="BJH40" s="40"/>
      <c r="BJI40" s="41"/>
      <c r="BJJ40" s="40"/>
      <c r="BJK40" s="38"/>
      <c r="BJL40" s="42"/>
      <c r="BJM40" s="42"/>
      <c r="BJN40" s="42"/>
      <c r="BJO40" s="38"/>
      <c r="BJP40" s="38"/>
      <c r="BJQ40" s="38"/>
      <c r="BJR40" s="39"/>
      <c r="BJS40" s="38"/>
      <c r="BJT40" s="38"/>
      <c r="BJU40" s="38"/>
      <c r="BJV40" s="40"/>
      <c r="BJW40" s="41"/>
      <c r="BJX40" s="40"/>
      <c r="BJY40" s="38"/>
      <c r="BJZ40" s="42"/>
      <c r="BKA40" s="42"/>
      <c r="BKB40" s="42"/>
      <c r="BKC40" s="38"/>
      <c r="BKD40" s="38"/>
      <c r="BKE40" s="38"/>
      <c r="BKF40" s="39"/>
      <c r="BKG40" s="38"/>
      <c r="BKH40" s="38"/>
      <c r="BKI40" s="38"/>
      <c r="BKJ40" s="40"/>
      <c r="BKK40" s="41"/>
      <c r="BKL40" s="40"/>
      <c r="BKM40" s="38"/>
      <c r="BKN40" s="42"/>
      <c r="BKO40" s="42"/>
      <c r="BKP40" s="42"/>
      <c r="BKQ40" s="38"/>
      <c r="BKR40" s="38"/>
      <c r="BKS40" s="38"/>
      <c r="BKT40" s="39"/>
      <c r="BKU40" s="38"/>
      <c r="BKV40" s="38"/>
      <c r="BKW40" s="38"/>
      <c r="BKX40" s="40"/>
      <c r="BKY40" s="41"/>
      <c r="BKZ40" s="40"/>
      <c r="BLA40" s="38"/>
      <c r="BLB40" s="42"/>
      <c r="BLC40" s="42"/>
      <c r="BLD40" s="42"/>
      <c r="BLE40" s="38"/>
      <c r="BLF40" s="38"/>
      <c r="BLG40" s="38"/>
      <c r="BLH40" s="39"/>
      <c r="BLI40" s="38"/>
      <c r="BLJ40" s="38"/>
      <c r="BLK40" s="38"/>
      <c r="BLL40" s="40"/>
      <c r="BLM40" s="41"/>
      <c r="BLN40" s="40"/>
      <c r="BLO40" s="38"/>
      <c r="BLP40" s="42"/>
      <c r="BLQ40" s="42"/>
      <c r="BLR40" s="42"/>
      <c r="BLS40" s="38"/>
      <c r="BLT40" s="38"/>
      <c r="BLU40" s="38"/>
      <c r="BLV40" s="39"/>
      <c r="BLW40" s="38"/>
      <c r="BLX40" s="38"/>
      <c r="BLY40" s="38"/>
      <c r="BLZ40" s="40"/>
      <c r="BMA40" s="41"/>
      <c r="BMB40" s="40"/>
      <c r="BMC40" s="38"/>
      <c r="BMD40" s="42"/>
      <c r="BME40" s="42"/>
      <c r="BMF40" s="42"/>
      <c r="BMG40" s="38"/>
      <c r="BMH40" s="38"/>
      <c r="BMI40" s="38"/>
      <c r="BMJ40" s="39"/>
      <c r="BMK40" s="38"/>
      <c r="BML40" s="38"/>
      <c r="BMM40" s="38"/>
      <c r="BMN40" s="40"/>
      <c r="BMO40" s="41"/>
      <c r="BMP40" s="40"/>
      <c r="BMQ40" s="38"/>
      <c r="BMR40" s="42"/>
      <c r="BMS40" s="42"/>
      <c r="BMT40" s="42"/>
      <c r="BMU40" s="38"/>
      <c r="BMV40" s="38"/>
      <c r="BMW40" s="38"/>
      <c r="BMX40" s="39"/>
      <c r="BMY40" s="38"/>
      <c r="BMZ40" s="38"/>
      <c r="BNA40" s="38"/>
      <c r="BNB40" s="40"/>
      <c r="BNC40" s="41"/>
      <c r="BND40" s="40"/>
      <c r="BNE40" s="38"/>
      <c r="BNF40" s="42"/>
      <c r="BNG40" s="42"/>
      <c r="BNH40" s="42"/>
      <c r="BNI40" s="38"/>
      <c r="BNJ40" s="38"/>
      <c r="BNK40" s="38"/>
      <c r="BNL40" s="39"/>
      <c r="BNM40" s="38"/>
      <c r="BNN40" s="38"/>
      <c r="BNO40" s="38"/>
      <c r="BNP40" s="40"/>
      <c r="BNQ40" s="41"/>
      <c r="BNR40" s="40"/>
      <c r="BNS40" s="38"/>
      <c r="BNT40" s="42"/>
      <c r="BNU40" s="42"/>
      <c r="BNV40" s="42"/>
      <c r="BNW40" s="38"/>
      <c r="BNX40" s="38"/>
      <c r="BNY40" s="38"/>
      <c r="BNZ40" s="39"/>
      <c r="BOA40" s="38"/>
      <c r="BOB40" s="38"/>
      <c r="BOC40" s="38"/>
      <c r="BOD40" s="40"/>
      <c r="BOE40" s="41"/>
      <c r="BOF40" s="40"/>
      <c r="BOG40" s="38"/>
      <c r="BOH40" s="42"/>
      <c r="BOI40" s="42"/>
      <c r="BOJ40" s="42"/>
      <c r="BOK40" s="38"/>
      <c r="BOL40" s="38"/>
      <c r="BOM40" s="38"/>
      <c r="BON40" s="39"/>
      <c r="BOO40" s="38"/>
      <c r="BOP40" s="38"/>
      <c r="BOQ40" s="38"/>
      <c r="BOR40" s="40"/>
      <c r="BOS40" s="41"/>
      <c r="BOT40" s="40"/>
      <c r="BOU40" s="38"/>
      <c r="BOV40" s="42"/>
      <c r="BOW40" s="42"/>
      <c r="BOX40" s="42"/>
      <c r="BOY40" s="38"/>
      <c r="BOZ40" s="38"/>
      <c r="BPA40" s="38"/>
      <c r="BPB40" s="39"/>
      <c r="BPC40" s="38"/>
      <c r="BPD40" s="38"/>
      <c r="BPE40" s="38"/>
      <c r="BPF40" s="40"/>
      <c r="BPG40" s="41"/>
      <c r="BPH40" s="40"/>
      <c r="BPI40" s="38"/>
      <c r="BPJ40" s="42"/>
      <c r="BPK40" s="42"/>
      <c r="BPL40" s="42"/>
      <c r="BPM40" s="38"/>
      <c r="BPN40" s="38"/>
      <c r="BPO40" s="38"/>
      <c r="BPP40" s="39"/>
      <c r="BPQ40" s="38"/>
      <c r="BPR40" s="38"/>
      <c r="BPS40" s="38"/>
      <c r="BPT40" s="40"/>
      <c r="BPU40" s="41"/>
      <c r="BPV40" s="40"/>
      <c r="BPW40" s="38"/>
      <c r="BPX40" s="42"/>
      <c r="BPY40" s="42"/>
      <c r="BPZ40" s="42"/>
      <c r="BQA40" s="38"/>
      <c r="BQB40" s="38"/>
      <c r="BQC40" s="38"/>
      <c r="BQD40" s="39"/>
      <c r="BQE40" s="38"/>
      <c r="BQF40" s="38"/>
      <c r="BQG40" s="38"/>
      <c r="BQH40" s="40"/>
      <c r="BQI40" s="41"/>
      <c r="BQJ40" s="40"/>
      <c r="BQK40" s="38"/>
      <c r="BQL40" s="42"/>
      <c r="BQM40" s="42"/>
      <c r="BQN40" s="42"/>
      <c r="BQO40" s="38"/>
      <c r="BQP40" s="38"/>
      <c r="BQQ40" s="38"/>
      <c r="BQR40" s="39"/>
      <c r="BQS40" s="38"/>
      <c r="BQT40" s="38"/>
      <c r="BQU40" s="38"/>
      <c r="BQV40" s="40"/>
      <c r="BQW40" s="41"/>
      <c r="BQX40" s="40"/>
      <c r="BQY40" s="38"/>
      <c r="BQZ40" s="42"/>
      <c r="BRA40" s="42"/>
      <c r="BRB40" s="42"/>
      <c r="BRC40" s="38"/>
      <c r="BRD40" s="38"/>
      <c r="BRE40" s="38"/>
      <c r="BRF40" s="39"/>
      <c r="BRG40" s="38"/>
      <c r="BRH40" s="38"/>
      <c r="BRI40" s="38"/>
      <c r="BRJ40" s="40"/>
      <c r="BRK40" s="41"/>
      <c r="BRL40" s="40"/>
      <c r="BRM40" s="38"/>
      <c r="BRN40" s="42"/>
      <c r="BRO40" s="42"/>
      <c r="BRP40" s="42"/>
      <c r="BRQ40" s="38"/>
      <c r="BRR40" s="38"/>
      <c r="BRS40" s="38"/>
      <c r="BRT40" s="39"/>
      <c r="BRU40" s="38"/>
      <c r="BRV40" s="38"/>
      <c r="BRW40" s="38"/>
      <c r="BRX40" s="40"/>
      <c r="BRY40" s="41"/>
      <c r="BRZ40" s="40"/>
      <c r="BSA40" s="38"/>
      <c r="BSB40" s="42"/>
      <c r="BSC40" s="42"/>
      <c r="BSD40" s="42"/>
      <c r="BSE40" s="38"/>
      <c r="BSF40" s="38"/>
      <c r="BSG40" s="38"/>
      <c r="BSH40" s="39"/>
      <c r="BSI40" s="38"/>
      <c r="BSJ40" s="38"/>
      <c r="BSK40" s="38"/>
      <c r="BSL40" s="40"/>
      <c r="BSM40" s="41"/>
      <c r="BSN40" s="40"/>
      <c r="BSO40" s="38"/>
      <c r="BSP40" s="42"/>
      <c r="BSQ40" s="42"/>
      <c r="BSR40" s="42"/>
      <c r="BSS40" s="38"/>
      <c r="BST40" s="38"/>
      <c r="BSU40" s="38"/>
      <c r="BSV40" s="39"/>
      <c r="BSW40" s="38"/>
      <c r="BSX40" s="38"/>
      <c r="BSY40" s="38"/>
      <c r="BSZ40" s="40"/>
      <c r="BTA40" s="41"/>
      <c r="BTB40" s="40"/>
      <c r="BTC40" s="38"/>
      <c r="BTD40" s="42"/>
      <c r="BTE40" s="42"/>
      <c r="BTF40" s="42"/>
      <c r="BTG40" s="38"/>
      <c r="BTH40" s="38"/>
      <c r="BTI40" s="38"/>
      <c r="BTJ40" s="39"/>
      <c r="BTK40" s="38"/>
      <c r="BTL40" s="38"/>
      <c r="BTM40" s="38"/>
      <c r="BTN40" s="40"/>
      <c r="BTO40" s="41"/>
      <c r="BTP40" s="40"/>
      <c r="BTQ40" s="38"/>
      <c r="BTR40" s="42"/>
      <c r="BTS40" s="42"/>
      <c r="BTT40" s="42"/>
      <c r="BTU40" s="38"/>
      <c r="BTV40" s="38"/>
      <c r="BTW40" s="38"/>
      <c r="BTX40" s="39"/>
      <c r="BTY40" s="38"/>
      <c r="BTZ40" s="38"/>
      <c r="BUA40" s="38"/>
      <c r="BUB40" s="40"/>
      <c r="BUC40" s="41"/>
      <c r="BUD40" s="40"/>
      <c r="BUE40" s="38"/>
      <c r="BUF40" s="42"/>
      <c r="BUG40" s="42"/>
      <c r="BUH40" s="42"/>
      <c r="BUI40" s="38"/>
      <c r="BUJ40" s="38"/>
      <c r="BUK40" s="38"/>
      <c r="BUL40" s="39"/>
      <c r="BUM40" s="38"/>
      <c r="BUN40" s="38"/>
      <c r="BUO40" s="38"/>
      <c r="BUP40" s="40"/>
      <c r="BUQ40" s="41"/>
      <c r="BUR40" s="40"/>
      <c r="BUS40" s="38"/>
      <c r="BUT40" s="42"/>
      <c r="BUU40" s="42"/>
      <c r="BUV40" s="42"/>
      <c r="BUW40" s="38"/>
      <c r="BUX40" s="38"/>
      <c r="BUY40" s="38"/>
      <c r="BUZ40" s="39"/>
      <c r="BVA40" s="38"/>
      <c r="BVB40" s="38"/>
      <c r="BVC40" s="38"/>
      <c r="BVD40" s="40"/>
      <c r="BVE40" s="41"/>
      <c r="BVF40" s="40"/>
      <c r="BVG40" s="38"/>
      <c r="BVH40" s="42"/>
      <c r="BVI40" s="42"/>
      <c r="BVJ40" s="42"/>
      <c r="BVK40" s="38"/>
      <c r="BVL40" s="38"/>
      <c r="BVM40" s="38"/>
      <c r="BVN40" s="39"/>
      <c r="BVO40" s="38"/>
      <c r="BVP40" s="38"/>
      <c r="BVQ40" s="38"/>
      <c r="BVR40" s="40"/>
      <c r="BVS40" s="41"/>
      <c r="BVT40" s="40"/>
      <c r="BVU40" s="38"/>
      <c r="BVV40" s="42"/>
      <c r="BVW40" s="42"/>
      <c r="BVX40" s="42"/>
      <c r="BVY40" s="38"/>
      <c r="BVZ40" s="38"/>
      <c r="BWA40" s="38"/>
      <c r="BWB40" s="39"/>
      <c r="BWC40" s="38"/>
      <c r="BWD40" s="38"/>
      <c r="BWE40" s="38"/>
      <c r="BWF40" s="40"/>
      <c r="BWG40" s="41"/>
      <c r="BWH40" s="40"/>
      <c r="BWI40" s="38"/>
      <c r="BWJ40" s="42"/>
      <c r="BWK40" s="42"/>
      <c r="BWL40" s="42"/>
      <c r="BWM40" s="38"/>
      <c r="BWN40" s="38"/>
      <c r="BWO40" s="38"/>
      <c r="BWP40" s="39"/>
      <c r="BWQ40" s="38"/>
      <c r="BWR40" s="38"/>
      <c r="BWS40" s="38"/>
      <c r="BWT40" s="40"/>
      <c r="BWU40" s="41"/>
      <c r="BWV40" s="40"/>
      <c r="BWW40" s="38"/>
      <c r="BWX40" s="42"/>
      <c r="BWY40" s="42"/>
      <c r="BWZ40" s="42"/>
      <c r="BXA40" s="38"/>
      <c r="BXB40" s="38"/>
      <c r="BXC40" s="38"/>
      <c r="BXD40" s="39"/>
      <c r="BXE40" s="38"/>
      <c r="BXF40" s="38"/>
      <c r="BXG40" s="38"/>
      <c r="BXH40" s="40"/>
      <c r="BXI40" s="41"/>
      <c r="BXJ40" s="40"/>
      <c r="BXK40" s="38"/>
      <c r="BXL40" s="42"/>
      <c r="BXM40" s="42"/>
      <c r="BXN40" s="42"/>
      <c r="BXO40" s="38"/>
      <c r="BXP40" s="38"/>
      <c r="BXQ40" s="38"/>
      <c r="BXR40" s="39"/>
      <c r="BXS40" s="38"/>
      <c r="BXT40" s="38"/>
      <c r="BXU40" s="38"/>
      <c r="BXV40" s="40"/>
      <c r="BXW40" s="41"/>
      <c r="BXX40" s="40"/>
      <c r="BXY40" s="38"/>
      <c r="BXZ40" s="42"/>
      <c r="BYA40" s="42"/>
      <c r="BYB40" s="42"/>
      <c r="BYC40" s="38"/>
      <c r="BYD40" s="38"/>
      <c r="BYE40" s="38"/>
      <c r="BYF40" s="39"/>
      <c r="BYG40" s="38"/>
      <c r="BYH40" s="38"/>
      <c r="BYI40" s="38"/>
      <c r="BYJ40" s="40"/>
      <c r="BYK40" s="41"/>
      <c r="BYL40" s="40"/>
      <c r="BYM40" s="38"/>
      <c r="BYN40" s="42"/>
      <c r="BYO40" s="42"/>
      <c r="BYP40" s="42"/>
      <c r="BYQ40" s="38"/>
      <c r="BYR40" s="38"/>
      <c r="BYS40" s="38"/>
      <c r="BYT40" s="39"/>
      <c r="BYU40" s="38"/>
      <c r="BYV40" s="38"/>
      <c r="BYW40" s="38"/>
      <c r="BYX40" s="40"/>
      <c r="BYY40" s="41"/>
      <c r="BYZ40" s="40"/>
      <c r="BZA40" s="38"/>
      <c r="BZB40" s="42"/>
      <c r="BZC40" s="42"/>
      <c r="BZD40" s="42"/>
      <c r="BZE40" s="38"/>
      <c r="BZF40" s="38"/>
      <c r="BZG40" s="38"/>
      <c r="BZH40" s="39"/>
      <c r="BZI40" s="38"/>
      <c r="BZJ40" s="38"/>
      <c r="BZK40" s="38"/>
      <c r="BZL40" s="40"/>
      <c r="BZM40" s="41"/>
      <c r="BZN40" s="40"/>
      <c r="BZO40" s="38"/>
      <c r="BZP40" s="42"/>
      <c r="BZQ40" s="42"/>
      <c r="BZR40" s="42"/>
      <c r="BZS40" s="38"/>
      <c r="BZT40" s="38"/>
      <c r="BZU40" s="38"/>
      <c r="BZV40" s="39"/>
      <c r="BZW40" s="38"/>
      <c r="BZX40" s="38"/>
      <c r="BZY40" s="38"/>
      <c r="BZZ40" s="40"/>
      <c r="CAA40" s="41"/>
      <c r="CAB40" s="40"/>
      <c r="CAC40" s="38"/>
      <c r="CAD40" s="42"/>
      <c r="CAE40" s="42"/>
      <c r="CAF40" s="42"/>
      <c r="CAG40" s="38"/>
      <c r="CAH40" s="38"/>
      <c r="CAI40" s="38"/>
      <c r="CAJ40" s="39"/>
      <c r="CAK40" s="38"/>
      <c r="CAL40" s="38"/>
      <c r="CAM40" s="38"/>
      <c r="CAN40" s="40"/>
      <c r="CAO40" s="41"/>
      <c r="CAP40" s="40"/>
      <c r="CAQ40" s="38"/>
      <c r="CAR40" s="42"/>
      <c r="CAS40" s="42"/>
      <c r="CAT40" s="42"/>
      <c r="CAU40" s="38"/>
      <c r="CAV40" s="38"/>
      <c r="CAW40" s="38"/>
      <c r="CAX40" s="39"/>
      <c r="CAY40" s="38"/>
      <c r="CAZ40" s="38"/>
      <c r="CBA40" s="38"/>
      <c r="CBB40" s="40"/>
      <c r="CBC40" s="41"/>
      <c r="CBD40" s="40"/>
      <c r="CBE40" s="38"/>
      <c r="CBF40" s="42"/>
      <c r="CBG40" s="42"/>
      <c r="CBH40" s="42"/>
      <c r="CBI40" s="38"/>
      <c r="CBJ40" s="38"/>
      <c r="CBK40" s="38"/>
      <c r="CBL40" s="39"/>
      <c r="CBM40" s="38"/>
      <c r="CBN40" s="38"/>
      <c r="CBO40" s="38"/>
      <c r="CBP40" s="40"/>
      <c r="CBQ40" s="41"/>
      <c r="CBR40" s="40"/>
      <c r="CBS40" s="38"/>
      <c r="CBT40" s="42"/>
      <c r="CBU40" s="42"/>
      <c r="CBV40" s="42"/>
      <c r="CBW40" s="38"/>
      <c r="CBX40" s="38"/>
      <c r="CBY40" s="38"/>
      <c r="CBZ40" s="39"/>
      <c r="CCA40" s="38"/>
      <c r="CCB40" s="38"/>
      <c r="CCC40" s="38"/>
      <c r="CCD40" s="40"/>
      <c r="CCE40" s="41"/>
      <c r="CCF40" s="40"/>
      <c r="CCG40" s="38"/>
      <c r="CCH40" s="42"/>
      <c r="CCI40" s="42"/>
      <c r="CCJ40" s="42"/>
      <c r="CCK40" s="38"/>
      <c r="CCL40" s="38"/>
      <c r="CCM40" s="38"/>
      <c r="CCN40" s="39"/>
      <c r="CCO40" s="38"/>
      <c r="CCP40" s="38"/>
      <c r="CCQ40" s="38"/>
      <c r="CCR40" s="40"/>
      <c r="CCS40" s="41"/>
      <c r="CCT40" s="40"/>
      <c r="CCU40" s="38"/>
      <c r="CCV40" s="42"/>
      <c r="CCW40" s="42"/>
      <c r="CCX40" s="42"/>
      <c r="CCY40" s="38"/>
      <c r="CCZ40" s="38"/>
      <c r="CDA40" s="38"/>
      <c r="CDB40" s="39"/>
      <c r="CDC40" s="38"/>
      <c r="CDD40" s="38"/>
      <c r="CDE40" s="38"/>
      <c r="CDF40" s="40"/>
      <c r="CDG40" s="41"/>
      <c r="CDH40" s="40"/>
      <c r="CDI40" s="38"/>
      <c r="CDJ40" s="42"/>
      <c r="CDK40" s="42"/>
      <c r="CDL40" s="42"/>
      <c r="CDM40" s="38"/>
      <c r="CDN40" s="38"/>
      <c r="CDO40" s="38"/>
      <c r="CDP40" s="39"/>
      <c r="CDQ40" s="38"/>
      <c r="CDR40" s="38"/>
      <c r="CDS40" s="38"/>
      <c r="CDT40" s="40"/>
      <c r="CDU40" s="41"/>
      <c r="CDV40" s="40"/>
      <c r="CDW40" s="38"/>
      <c r="CDX40" s="42"/>
      <c r="CDY40" s="42"/>
      <c r="CDZ40" s="42"/>
      <c r="CEA40" s="38"/>
      <c r="CEB40" s="38"/>
      <c r="CEC40" s="38"/>
      <c r="CED40" s="39"/>
      <c r="CEE40" s="38"/>
      <c r="CEF40" s="38"/>
      <c r="CEG40" s="38"/>
      <c r="CEH40" s="40"/>
      <c r="CEI40" s="41"/>
      <c r="CEJ40" s="40"/>
      <c r="CEK40" s="38"/>
      <c r="CEL40" s="42"/>
      <c r="CEM40" s="42"/>
      <c r="CEN40" s="42"/>
      <c r="CEO40" s="38"/>
      <c r="CEP40" s="38"/>
      <c r="CEQ40" s="38"/>
      <c r="CER40" s="39"/>
      <c r="CES40" s="38"/>
      <c r="CET40" s="38"/>
      <c r="CEU40" s="38"/>
      <c r="CEV40" s="40"/>
      <c r="CEW40" s="41"/>
      <c r="CEX40" s="40"/>
      <c r="CEY40" s="38"/>
      <c r="CEZ40" s="42"/>
      <c r="CFA40" s="42"/>
      <c r="CFB40" s="42"/>
      <c r="CFC40" s="38"/>
      <c r="CFD40" s="38"/>
      <c r="CFE40" s="38"/>
      <c r="CFF40" s="39"/>
      <c r="CFG40" s="38"/>
      <c r="CFH40" s="38"/>
      <c r="CFI40" s="38"/>
      <c r="CFJ40" s="40"/>
      <c r="CFK40" s="41"/>
      <c r="CFL40" s="40"/>
      <c r="CFM40" s="38"/>
      <c r="CFN40" s="42"/>
      <c r="CFO40" s="42"/>
      <c r="CFP40" s="42"/>
      <c r="CFQ40" s="38"/>
      <c r="CFR40" s="38"/>
      <c r="CFS40" s="38"/>
      <c r="CFT40" s="39"/>
      <c r="CFU40" s="38"/>
      <c r="CFV40" s="38"/>
      <c r="CFW40" s="38"/>
      <c r="CFX40" s="40"/>
      <c r="CFY40" s="41"/>
      <c r="CFZ40" s="40"/>
      <c r="CGA40" s="38"/>
      <c r="CGB40" s="42"/>
      <c r="CGC40" s="42"/>
      <c r="CGD40" s="42"/>
      <c r="CGE40" s="38"/>
      <c r="CGF40" s="38"/>
      <c r="CGG40" s="38"/>
      <c r="CGH40" s="39"/>
      <c r="CGI40" s="38"/>
      <c r="CGJ40" s="38"/>
      <c r="CGK40" s="38"/>
      <c r="CGL40" s="40"/>
      <c r="CGM40" s="41"/>
      <c r="CGN40" s="40"/>
      <c r="CGO40" s="38"/>
      <c r="CGP40" s="42"/>
      <c r="CGQ40" s="42"/>
      <c r="CGR40" s="42"/>
      <c r="CGS40" s="38"/>
      <c r="CGT40" s="38"/>
      <c r="CGU40" s="38"/>
      <c r="CGV40" s="39"/>
      <c r="CGW40" s="38"/>
      <c r="CGX40" s="38"/>
      <c r="CGY40" s="38"/>
      <c r="CGZ40" s="40"/>
      <c r="CHA40" s="41"/>
      <c r="CHB40" s="40"/>
      <c r="CHC40" s="38"/>
      <c r="CHD40" s="42"/>
      <c r="CHE40" s="42"/>
      <c r="CHF40" s="42"/>
      <c r="CHG40" s="38"/>
      <c r="CHH40" s="38"/>
      <c r="CHI40" s="38"/>
      <c r="CHJ40" s="39"/>
      <c r="CHK40" s="38"/>
      <c r="CHL40" s="38"/>
      <c r="CHM40" s="38"/>
      <c r="CHN40" s="40"/>
      <c r="CHO40" s="41"/>
      <c r="CHP40" s="40"/>
      <c r="CHQ40" s="38"/>
      <c r="CHR40" s="42"/>
      <c r="CHS40" s="42"/>
      <c r="CHT40" s="42"/>
      <c r="CHU40" s="38"/>
      <c r="CHV40" s="38"/>
      <c r="CHW40" s="38"/>
      <c r="CHX40" s="39"/>
      <c r="CHY40" s="38"/>
      <c r="CHZ40" s="38"/>
      <c r="CIA40" s="38"/>
      <c r="CIB40" s="40"/>
      <c r="CIC40" s="41"/>
      <c r="CID40" s="40"/>
      <c r="CIE40" s="38"/>
      <c r="CIF40" s="42"/>
      <c r="CIG40" s="42"/>
      <c r="CIH40" s="42"/>
      <c r="CII40" s="38"/>
      <c r="CIJ40" s="38"/>
      <c r="CIK40" s="38"/>
      <c r="CIL40" s="39"/>
      <c r="CIM40" s="38"/>
      <c r="CIN40" s="38"/>
      <c r="CIO40" s="38"/>
      <c r="CIP40" s="40"/>
      <c r="CIQ40" s="41"/>
      <c r="CIR40" s="40"/>
      <c r="CIS40" s="38"/>
      <c r="CIT40" s="42"/>
      <c r="CIU40" s="42"/>
      <c r="CIV40" s="42"/>
      <c r="CIW40" s="38"/>
      <c r="CIX40" s="38"/>
      <c r="CIY40" s="38"/>
      <c r="CIZ40" s="39"/>
      <c r="CJA40" s="38"/>
      <c r="CJB40" s="38"/>
      <c r="CJC40" s="38"/>
      <c r="CJD40" s="40"/>
      <c r="CJE40" s="41"/>
      <c r="CJF40" s="40"/>
      <c r="CJG40" s="38"/>
      <c r="CJH40" s="42"/>
      <c r="CJI40" s="42"/>
      <c r="CJJ40" s="42"/>
      <c r="CJK40" s="38"/>
      <c r="CJL40" s="38"/>
      <c r="CJM40" s="38"/>
      <c r="CJN40" s="39"/>
      <c r="CJO40" s="38"/>
      <c r="CJP40" s="38"/>
      <c r="CJQ40" s="38"/>
      <c r="CJR40" s="40"/>
      <c r="CJS40" s="41"/>
      <c r="CJT40" s="40"/>
      <c r="CJU40" s="38"/>
      <c r="CJV40" s="42"/>
      <c r="CJW40" s="42"/>
      <c r="CJX40" s="42"/>
      <c r="CJY40" s="38"/>
      <c r="CJZ40" s="38"/>
      <c r="CKA40" s="38"/>
      <c r="CKB40" s="39"/>
      <c r="CKC40" s="38"/>
      <c r="CKD40" s="38"/>
      <c r="CKE40" s="38"/>
      <c r="CKF40" s="40"/>
      <c r="CKG40" s="41"/>
      <c r="CKH40" s="40"/>
      <c r="CKI40" s="38"/>
      <c r="CKJ40" s="42"/>
      <c r="CKK40" s="42"/>
      <c r="CKL40" s="42"/>
      <c r="CKM40" s="38"/>
      <c r="CKN40" s="38"/>
      <c r="CKO40" s="38"/>
      <c r="CKP40" s="39"/>
      <c r="CKQ40" s="38"/>
      <c r="CKR40" s="38"/>
      <c r="CKS40" s="38"/>
      <c r="CKT40" s="40"/>
      <c r="CKU40" s="41"/>
      <c r="CKV40" s="40"/>
      <c r="CKW40" s="38"/>
      <c r="CKX40" s="42"/>
      <c r="CKY40" s="42"/>
      <c r="CKZ40" s="42"/>
      <c r="CLA40" s="38"/>
      <c r="CLB40" s="38"/>
      <c r="CLC40" s="38"/>
      <c r="CLD40" s="39"/>
      <c r="CLE40" s="38"/>
      <c r="CLF40" s="38"/>
      <c r="CLG40" s="38"/>
      <c r="CLH40" s="40"/>
      <c r="CLI40" s="41"/>
      <c r="CLJ40" s="40"/>
      <c r="CLK40" s="38"/>
      <c r="CLL40" s="42"/>
      <c r="CLM40" s="42"/>
      <c r="CLN40" s="42"/>
      <c r="CLO40" s="38"/>
      <c r="CLP40" s="38"/>
      <c r="CLQ40" s="38"/>
      <c r="CLR40" s="39"/>
      <c r="CLS40" s="38"/>
      <c r="CLT40" s="38"/>
      <c r="CLU40" s="38"/>
      <c r="CLV40" s="40"/>
      <c r="CLW40" s="41"/>
      <c r="CLX40" s="40"/>
      <c r="CLY40" s="38"/>
      <c r="CLZ40" s="42"/>
      <c r="CMA40" s="42"/>
      <c r="CMB40" s="42"/>
      <c r="CMC40" s="38"/>
      <c r="CMD40" s="38"/>
      <c r="CME40" s="38"/>
      <c r="CMF40" s="39"/>
      <c r="CMG40" s="38"/>
      <c r="CMH40" s="38"/>
      <c r="CMI40" s="38"/>
      <c r="CMJ40" s="40"/>
      <c r="CMK40" s="41"/>
      <c r="CML40" s="40"/>
      <c r="CMM40" s="38"/>
      <c r="CMN40" s="42"/>
      <c r="CMO40" s="42"/>
      <c r="CMP40" s="42"/>
      <c r="CMQ40" s="38"/>
      <c r="CMR40" s="38"/>
      <c r="CMS40" s="38"/>
      <c r="CMT40" s="39"/>
      <c r="CMU40" s="38"/>
      <c r="CMV40" s="38"/>
      <c r="CMW40" s="38"/>
      <c r="CMX40" s="40"/>
      <c r="CMY40" s="41"/>
      <c r="CMZ40" s="40"/>
      <c r="CNA40" s="38"/>
      <c r="CNB40" s="42"/>
      <c r="CNC40" s="42"/>
      <c r="CND40" s="42"/>
      <c r="CNE40" s="38"/>
      <c r="CNF40" s="38"/>
      <c r="CNG40" s="38"/>
      <c r="CNH40" s="39"/>
      <c r="CNI40" s="38"/>
      <c r="CNJ40" s="38"/>
      <c r="CNK40" s="38"/>
      <c r="CNL40" s="40"/>
      <c r="CNM40" s="41"/>
      <c r="CNN40" s="40"/>
      <c r="CNO40" s="38"/>
      <c r="CNP40" s="42"/>
      <c r="CNQ40" s="42"/>
      <c r="CNR40" s="42"/>
      <c r="CNS40" s="38"/>
      <c r="CNT40" s="38"/>
      <c r="CNU40" s="38"/>
      <c r="CNV40" s="39"/>
      <c r="CNW40" s="38"/>
      <c r="CNX40" s="38"/>
      <c r="CNY40" s="38"/>
      <c r="CNZ40" s="40"/>
      <c r="COA40" s="41"/>
      <c r="COB40" s="40"/>
      <c r="COC40" s="38"/>
      <c r="COD40" s="42"/>
      <c r="COE40" s="42"/>
      <c r="COF40" s="42"/>
      <c r="COG40" s="38"/>
      <c r="COH40" s="38"/>
      <c r="COI40" s="38"/>
      <c r="COJ40" s="39"/>
      <c r="COK40" s="38"/>
      <c r="COL40" s="38"/>
      <c r="COM40" s="38"/>
      <c r="CON40" s="40"/>
      <c r="COO40" s="41"/>
      <c r="COP40" s="40"/>
      <c r="COQ40" s="38"/>
      <c r="COR40" s="42"/>
      <c r="COS40" s="42"/>
      <c r="COT40" s="42"/>
      <c r="COU40" s="38"/>
      <c r="COV40" s="38"/>
      <c r="COW40" s="38"/>
      <c r="COX40" s="39"/>
      <c r="COY40" s="38"/>
      <c r="COZ40" s="38"/>
      <c r="CPA40" s="38"/>
      <c r="CPB40" s="40"/>
      <c r="CPC40" s="41"/>
      <c r="CPD40" s="40"/>
      <c r="CPE40" s="38"/>
      <c r="CPF40" s="42"/>
      <c r="CPG40" s="42"/>
      <c r="CPH40" s="42"/>
      <c r="CPI40" s="38"/>
      <c r="CPJ40" s="38"/>
      <c r="CPK40" s="38"/>
      <c r="CPL40" s="39"/>
      <c r="CPM40" s="38"/>
      <c r="CPN40" s="38"/>
      <c r="CPO40" s="38"/>
      <c r="CPP40" s="40"/>
      <c r="CPQ40" s="41"/>
      <c r="CPR40" s="40"/>
      <c r="CPS40" s="38"/>
      <c r="CPT40" s="42"/>
      <c r="CPU40" s="42"/>
      <c r="CPV40" s="42"/>
      <c r="CPW40" s="38"/>
      <c r="CPX40" s="38"/>
      <c r="CPY40" s="38"/>
      <c r="CPZ40" s="39"/>
      <c r="CQA40" s="38"/>
      <c r="CQB40" s="38"/>
      <c r="CQC40" s="38"/>
      <c r="CQD40" s="40"/>
      <c r="CQE40" s="41"/>
      <c r="CQF40" s="40"/>
      <c r="CQG40" s="38"/>
      <c r="CQH40" s="42"/>
      <c r="CQI40" s="42"/>
      <c r="CQJ40" s="42"/>
      <c r="CQK40" s="38"/>
      <c r="CQL40" s="38"/>
      <c r="CQM40" s="38"/>
      <c r="CQN40" s="39"/>
      <c r="CQO40" s="38"/>
      <c r="CQP40" s="38"/>
      <c r="CQQ40" s="38"/>
      <c r="CQR40" s="40"/>
      <c r="CQS40" s="41"/>
      <c r="CQT40" s="40"/>
      <c r="CQU40" s="38"/>
      <c r="CQV40" s="42"/>
      <c r="CQW40" s="42"/>
      <c r="CQX40" s="42"/>
      <c r="CQY40" s="38"/>
      <c r="CQZ40" s="38"/>
      <c r="CRA40" s="38"/>
      <c r="CRB40" s="39"/>
      <c r="CRC40" s="38"/>
      <c r="CRD40" s="38"/>
      <c r="CRE40" s="38"/>
      <c r="CRF40" s="40"/>
      <c r="CRG40" s="41"/>
      <c r="CRH40" s="40"/>
      <c r="CRI40" s="38"/>
      <c r="CRJ40" s="42"/>
      <c r="CRK40" s="42"/>
      <c r="CRL40" s="42"/>
      <c r="CRM40" s="38"/>
      <c r="CRN40" s="38"/>
      <c r="CRO40" s="38"/>
      <c r="CRP40" s="39"/>
      <c r="CRQ40" s="38"/>
      <c r="CRR40" s="38"/>
      <c r="CRS40" s="38"/>
      <c r="CRT40" s="40"/>
      <c r="CRU40" s="41"/>
      <c r="CRV40" s="40"/>
      <c r="CRW40" s="38"/>
      <c r="CRX40" s="42"/>
      <c r="CRY40" s="42"/>
      <c r="CRZ40" s="42"/>
      <c r="CSA40" s="38"/>
      <c r="CSB40" s="38"/>
      <c r="CSC40" s="38"/>
      <c r="CSD40" s="39"/>
      <c r="CSE40" s="38"/>
      <c r="CSF40" s="38"/>
      <c r="CSG40" s="38"/>
      <c r="CSH40" s="40"/>
      <c r="CSI40" s="41"/>
      <c r="CSJ40" s="40"/>
      <c r="CSK40" s="38"/>
      <c r="CSL40" s="42"/>
      <c r="CSM40" s="42"/>
      <c r="CSN40" s="42"/>
      <c r="CSO40" s="38"/>
      <c r="CSP40" s="38"/>
      <c r="CSQ40" s="38"/>
      <c r="CSR40" s="39"/>
      <c r="CSS40" s="38"/>
      <c r="CST40" s="38"/>
      <c r="CSU40" s="38"/>
      <c r="CSV40" s="40"/>
      <c r="CSW40" s="41"/>
      <c r="CSX40" s="40"/>
      <c r="CSY40" s="38"/>
      <c r="CSZ40" s="42"/>
      <c r="CTA40" s="42"/>
      <c r="CTB40" s="42"/>
      <c r="CTC40" s="38"/>
      <c r="CTD40" s="38"/>
      <c r="CTE40" s="38"/>
      <c r="CTF40" s="39"/>
      <c r="CTG40" s="38"/>
      <c r="CTH40" s="38"/>
      <c r="CTI40" s="38"/>
      <c r="CTJ40" s="40"/>
      <c r="CTK40" s="41"/>
      <c r="CTL40" s="40"/>
      <c r="CTM40" s="38"/>
      <c r="CTN40" s="42"/>
      <c r="CTO40" s="42"/>
      <c r="CTP40" s="42"/>
      <c r="CTQ40" s="38"/>
      <c r="CTR40" s="38"/>
      <c r="CTS40" s="38"/>
      <c r="CTT40" s="39"/>
      <c r="CTU40" s="38"/>
      <c r="CTV40" s="38"/>
      <c r="CTW40" s="38"/>
      <c r="CTX40" s="40"/>
      <c r="CTY40" s="41"/>
      <c r="CTZ40" s="40"/>
      <c r="CUA40" s="38"/>
      <c r="CUB40" s="42"/>
      <c r="CUC40" s="42"/>
      <c r="CUD40" s="42"/>
      <c r="CUE40" s="38"/>
      <c r="CUF40" s="38"/>
      <c r="CUG40" s="38"/>
      <c r="CUH40" s="39"/>
      <c r="CUI40" s="38"/>
      <c r="CUJ40" s="38"/>
      <c r="CUK40" s="38"/>
      <c r="CUL40" s="40"/>
      <c r="CUM40" s="41"/>
      <c r="CUN40" s="40"/>
      <c r="CUO40" s="38"/>
      <c r="CUP40" s="42"/>
      <c r="CUQ40" s="42"/>
      <c r="CUR40" s="42"/>
      <c r="CUS40" s="38"/>
      <c r="CUT40" s="38"/>
      <c r="CUU40" s="38"/>
      <c r="CUV40" s="39"/>
      <c r="CUW40" s="38"/>
      <c r="CUX40" s="38"/>
      <c r="CUY40" s="38"/>
      <c r="CUZ40" s="40"/>
      <c r="CVA40" s="41"/>
      <c r="CVB40" s="40"/>
      <c r="CVC40" s="38"/>
      <c r="CVD40" s="42"/>
      <c r="CVE40" s="42"/>
      <c r="CVF40" s="42"/>
      <c r="CVG40" s="38"/>
      <c r="CVH40" s="38"/>
      <c r="CVI40" s="38"/>
      <c r="CVJ40" s="39"/>
      <c r="CVK40" s="38"/>
      <c r="CVL40" s="38"/>
      <c r="CVM40" s="38"/>
      <c r="CVN40" s="40"/>
      <c r="CVO40" s="41"/>
      <c r="CVP40" s="40"/>
      <c r="CVQ40" s="38"/>
      <c r="CVR40" s="42"/>
      <c r="CVS40" s="42"/>
      <c r="CVT40" s="42"/>
      <c r="CVU40" s="38"/>
      <c r="CVV40" s="38"/>
      <c r="CVW40" s="38"/>
      <c r="CVX40" s="39"/>
      <c r="CVY40" s="38"/>
      <c r="CVZ40" s="38"/>
      <c r="CWA40" s="38"/>
      <c r="CWB40" s="40"/>
      <c r="CWC40" s="41"/>
      <c r="CWD40" s="40"/>
      <c r="CWE40" s="38"/>
      <c r="CWF40" s="42"/>
      <c r="CWG40" s="42"/>
      <c r="CWH40" s="42"/>
      <c r="CWI40" s="38"/>
      <c r="CWJ40" s="38"/>
      <c r="CWK40" s="38"/>
      <c r="CWL40" s="39"/>
      <c r="CWM40" s="38"/>
      <c r="CWN40" s="38"/>
      <c r="CWO40" s="38"/>
      <c r="CWP40" s="40"/>
      <c r="CWQ40" s="41"/>
      <c r="CWR40" s="40"/>
      <c r="CWS40" s="38"/>
      <c r="CWT40" s="42"/>
      <c r="CWU40" s="42"/>
      <c r="CWV40" s="42"/>
      <c r="CWW40" s="38"/>
      <c r="CWX40" s="38"/>
      <c r="CWY40" s="38"/>
      <c r="CWZ40" s="39"/>
      <c r="CXA40" s="38"/>
      <c r="CXB40" s="38"/>
      <c r="CXC40" s="38"/>
      <c r="CXD40" s="40"/>
      <c r="CXE40" s="41"/>
      <c r="CXF40" s="40"/>
      <c r="CXG40" s="38"/>
      <c r="CXH40" s="42"/>
      <c r="CXI40" s="42"/>
      <c r="CXJ40" s="42"/>
      <c r="CXK40" s="38"/>
      <c r="CXL40" s="38"/>
      <c r="CXM40" s="38"/>
      <c r="CXN40" s="39"/>
      <c r="CXO40" s="38"/>
      <c r="CXP40" s="38"/>
      <c r="CXQ40" s="38"/>
      <c r="CXR40" s="40"/>
      <c r="CXS40" s="41"/>
      <c r="CXT40" s="40"/>
      <c r="CXU40" s="38"/>
      <c r="CXV40" s="42"/>
      <c r="CXW40" s="42"/>
      <c r="CXX40" s="42"/>
      <c r="CXY40" s="38"/>
      <c r="CXZ40" s="38"/>
      <c r="CYA40" s="38"/>
      <c r="CYB40" s="39"/>
      <c r="CYC40" s="38"/>
      <c r="CYD40" s="38"/>
      <c r="CYE40" s="38"/>
      <c r="CYF40" s="40"/>
      <c r="CYG40" s="41"/>
      <c r="CYH40" s="40"/>
      <c r="CYI40" s="38"/>
      <c r="CYJ40" s="42"/>
      <c r="CYK40" s="42"/>
      <c r="CYL40" s="42"/>
      <c r="CYM40" s="38"/>
      <c r="CYN40" s="38"/>
      <c r="CYO40" s="38"/>
      <c r="CYP40" s="39"/>
      <c r="CYQ40" s="38"/>
      <c r="CYR40" s="38"/>
      <c r="CYS40" s="38"/>
      <c r="CYT40" s="40"/>
      <c r="CYU40" s="41"/>
      <c r="CYV40" s="40"/>
      <c r="CYW40" s="38"/>
      <c r="CYX40" s="42"/>
      <c r="CYY40" s="42"/>
      <c r="CYZ40" s="42"/>
      <c r="CZA40" s="38"/>
      <c r="CZB40" s="38"/>
      <c r="CZC40" s="38"/>
      <c r="CZD40" s="39"/>
      <c r="CZE40" s="38"/>
      <c r="CZF40" s="38"/>
      <c r="CZG40" s="38"/>
      <c r="CZH40" s="40"/>
      <c r="CZI40" s="41"/>
      <c r="CZJ40" s="40"/>
      <c r="CZK40" s="38"/>
      <c r="CZL40" s="42"/>
      <c r="CZM40" s="42"/>
      <c r="CZN40" s="42"/>
      <c r="CZO40" s="38"/>
      <c r="CZP40" s="38"/>
      <c r="CZQ40" s="38"/>
      <c r="CZR40" s="39"/>
      <c r="CZS40" s="38"/>
      <c r="CZT40" s="38"/>
      <c r="CZU40" s="38"/>
      <c r="CZV40" s="40"/>
      <c r="CZW40" s="41"/>
      <c r="CZX40" s="40"/>
      <c r="CZY40" s="38"/>
      <c r="CZZ40" s="42"/>
      <c r="DAA40" s="42"/>
      <c r="DAB40" s="42"/>
      <c r="DAC40" s="38"/>
      <c r="DAD40" s="38"/>
      <c r="DAE40" s="38"/>
      <c r="DAF40" s="39"/>
      <c r="DAG40" s="38"/>
      <c r="DAH40" s="38"/>
      <c r="DAI40" s="38"/>
      <c r="DAJ40" s="40"/>
      <c r="DAK40" s="41"/>
      <c r="DAL40" s="40"/>
      <c r="DAM40" s="38"/>
      <c r="DAN40" s="42"/>
      <c r="DAO40" s="42"/>
      <c r="DAP40" s="42"/>
      <c r="DAQ40" s="38"/>
      <c r="DAR40" s="38"/>
      <c r="DAS40" s="38"/>
      <c r="DAT40" s="39"/>
      <c r="DAU40" s="38"/>
      <c r="DAV40" s="38"/>
      <c r="DAW40" s="38"/>
      <c r="DAX40" s="40"/>
      <c r="DAY40" s="41"/>
      <c r="DAZ40" s="40"/>
      <c r="DBA40" s="38"/>
      <c r="DBB40" s="42"/>
      <c r="DBC40" s="42"/>
      <c r="DBD40" s="42"/>
      <c r="DBE40" s="38"/>
      <c r="DBF40" s="38"/>
      <c r="DBG40" s="38"/>
      <c r="DBH40" s="39"/>
      <c r="DBI40" s="38"/>
      <c r="DBJ40" s="38"/>
      <c r="DBK40" s="38"/>
      <c r="DBL40" s="40"/>
      <c r="DBM40" s="41"/>
      <c r="DBN40" s="40"/>
      <c r="DBO40" s="38"/>
      <c r="DBP40" s="42"/>
      <c r="DBQ40" s="42"/>
      <c r="DBR40" s="42"/>
      <c r="DBS40" s="38"/>
      <c r="DBT40" s="38"/>
      <c r="DBU40" s="38"/>
      <c r="DBV40" s="39"/>
      <c r="DBW40" s="38"/>
      <c r="DBX40" s="38"/>
      <c r="DBY40" s="38"/>
      <c r="DBZ40" s="40"/>
      <c r="DCA40" s="41"/>
      <c r="DCB40" s="40"/>
      <c r="DCC40" s="38"/>
      <c r="DCD40" s="42"/>
      <c r="DCE40" s="42"/>
      <c r="DCF40" s="42"/>
      <c r="DCG40" s="38"/>
      <c r="DCH40" s="38"/>
      <c r="DCI40" s="38"/>
      <c r="DCJ40" s="39"/>
      <c r="DCK40" s="38"/>
      <c r="DCL40" s="38"/>
      <c r="DCM40" s="38"/>
      <c r="DCN40" s="40"/>
      <c r="DCO40" s="41"/>
      <c r="DCP40" s="40"/>
      <c r="DCQ40" s="38"/>
      <c r="DCR40" s="42"/>
      <c r="DCS40" s="42"/>
      <c r="DCT40" s="42"/>
      <c r="DCU40" s="38"/>
      <c r="DCV40" s="38"/>
      <c r="DCW40" s="38"/>
      <c r="DCX40" s="39"/>
      <c r="DCY40" s="38"/>
      <c r="DCZ40" s="38"/>
      <c r="DDA40" s="38"/>
      <c r="DDB40" s="40"/>
      <c r="DDC40" s="41"/>
      <c r="DDD40" s="40"/>
      <c r="DDE40" s="38"/>
      <c r="DDF40" s="42"/>
      <c r="DDG40" s="42"/>
      <c r="DDH40" s="42"/>
      <c r="DDI40" s="38"/>
      <c r="DDJ40" s="38"/>
      <c r="DDK40" s="38"/>
      <c r="DDL40" s="39"/>
      <c r="DDM40" s="38"/>
      <c r="DDN40" s="38"/>
      <c r="DDO40" s="38"/>
      <c r="DDP40" s="40"/>
      <c r="DDQ40" s="41"/>
      <c r="DDR40" s="40"/>
      <c r="DDS40" s="38"/>
      <c r="DDT40" s="42"/>
      <c r="DDU40" s="42"/>
      <c r="DDV40" s="42"/>
      <c r="DDW40" s="38"/>
      <c r="DDX40" s="38"/>
      <c r="DDY40" s="38"/>
      <c r="DDZ40" s="39"/>
      <c r="DEA40" s="38"/>
      <c r="DEB40" s="38"/>
      <c r="DEC40" s="38"/>
      <c r="DED40" s="40"/>
      <c r="DEE40" s="41"/>
      <c r="DEF40" s="40"/>
      <c r="DEG40" s="38"/>
      <c r="DEH40" s="42"/>
      <c r="DEI40" s="42"/>
      <c r="DEJ40" s="42"/>
      <c r="DEK40" s="38"/>
      <c r="DEL40" s="38"/>
      <c r="DEM40" s="38"/>
      <c r="DEN40" s="39"/>
      <c r="DEO40" s="38"/>
      <c r="DEP40" s="38"/>
      <c r="DEQ40" s="38"/>
      <c r="DER40" s="40"/>
      <c r="DES40" s="41"/>
      <c r="DET40" s="40"/>
      <c r="DEU40" s="38"/>
      <c r="DEV40" s="42"/>
      <c r="DEW40" s="42"/>
      <c r="DEX40" s="42"/>
      <c r="DEY40" s="38"/>
      <c r="DEZ40" s="38"/>
      <c r="DFA40" s="38"/>
      <c r="DFB40" s="39"/>
      <c r="DFC40" s="38"/>
      <c r="DFD40" s="38"/>
      <c r="DFE40" s="38"/>
      <c r="DFF40" s="40"/>
      <c r="DFG40" s="41"/>
      <c r="DFH40" s="40"/>
      <c r="DFI40" s="38"/>
      <c r="DFJ40" s="42"/>
      <c r="DFK40" s="42"/>
      <c r="DFL40" s="42"/>
      <c r="DFM40" s="38"/>
      <c r="DFN40" s="38"/>
      <c r="DFO40" s="38"/>
      <c r="DFP40" s="39"/>
      <c r="DFQ40" s="38"/>
      <c r="DFR40" s="38"/>
      <c r="DFS40" s="38"/>
      <c r="DFT40" s="40"/>
      <c r="DFU40" s="41"/>
      <c r="DFV40" s="40"/>
      <c r="DFW40" s="38"/>
      <c r="DFX40" s="42"/>
      <c r="DFY40" s="42"/>
      <c r="DFZ40" s="42"/>
      <c r="DGA40" s="38"/>
      <c r="DGB40" s="38"/>
      <c r="DGC40" s="38"/>
      <c r="DGD40" s="39"/>
      <c r="DGE40" s="38"/>
      <c r="DGF40" s="38"/>
      <c r="DGG40" s="38"/>
      <c r="DGH40" s="40"/>
      <c r="DGI40" s="41"/>
      <c r="DGJ40" s="40"/>
      <c r="DGK40" s="38"/>
      <c r="DGL40" s="42"/>
      <c r="DGM40" s="42"/>
      <c r="DGN40" s="42"/>
      <c r="DGO40" s="38"/>
      <c r="DGP40" s="38"/>
      <c r="DGQ40" s="38"/>
      <c r="DGR40" s="39"/>
      <c r="DGS40" s="38"/>
      <c r="DGT40" s="38"/>
      <c r="DGU40" s="38"/>
      <c r="DGV40" s="40"/>
      <c r="DGW40" s="41"/>
      <c r="DGX40" s="40"/>
      <c r="DGY40" s="38"/>
      <c r="DGZ40" s="42"/>
      <c r="DHA40" s="42"/>
      <c r="DHB40" s="42"/>
      <c r="DHC40" s="38"/>
      <c r="DHD40" s="38"/>
      <c r="DHE40" s="38"/>
      <c r="DHF40" s="39"/>
      <c r="DHG40" s="38"/>
      <c r="DHH40" s="38"/>
      <c r="DHI40" s="38"/>
      <c r="DHJ40" s="40"/>
      <c r="DHK40" s="41"/>
      <c r="DHL40" s="40"/>
      <c r="DHM40" s="38"/>
      <c r="DHN40" s="42"/>
      <c r="DHO40" s="42"/>
      <c r="DHP40" s="42"/>
      <c r="DHQ40" s="38"/>
      <c r="DHR40" s="38"/>
      <c r="DHS40" s="38"/>
      <c r="DHT40" s="39"/>
      <c r="DHU40" s="38"/>
      <c r="DHV40" s="38"/>
      <c r="DHW40" s="38"/>
      <c r="DHX40" s="40"/>
      <c r="DHY40" s="41"/>
      <c r="DHZ40" s="40"/>
      <c r="DIA40" s="38"/>
      <c r="DIB40" s="42"/>
      <c r="DIC40" s="42"/>
      <c r="DID40" s="42"/>
      <c r="DIE40" s="38"/>
      <c r="DIF40" s="38"/>
      <c r="DIG40" s="38"/>
      <c r="DIH40" s="39"/>
      <c r="DII40" s="38"/>
      <c r="DIJ40" s="38"/>
      <c r="DIK40" s="38"/>
      <c r="DIL40" s="40"/>
      <c r="DIM40" s="41"/>
      <c r="DIN40" s="40"/>
      <c r="DIO40" s="38"/>
      <c r="DIP40" s="42"/>
      <c r="DIQ40" s="42"/>
      <c r="DIR40" s="42"/>
      <c r="DIS40" s="38"/>
      <c r="DIT40" s="38"/>
      <c r="DIU40" s="38"/>
      <c r="DIV40" s="39"/>
      <c r="DIW40" s="38"/>
      <c r="DIX40" s="38"/>
      <c r="DIY40" s="38"/>
      <c r="DIZ40" s="40"/>
      <c r="DJA40" s="41"/>
      <c r="DJB40" s="40"/>
      <c r="DJC40" s="38"/>
      <c r="DJD40" s="42"/>
      <c r="DJE40" s="42"/>
      <c r="DJF40" s="42"/>
      <c r="DJG40" s="38"/>
      <c r="DJH40" s="38"/>
      <c r="DJI40" s="38"/>
      <c r="DJJ40" s="39"/>
      <c r="DJK40" s="38"/>
      <c r="DJL40" s="38"/>
      <c r="DJM40" s="38"/>
      <c r="DJN40" s="40"/>
      <c r="DJO40" s="41"/>
      <c r="DJP40" s="40"/>
      <c r="DJQ40" s="38"/>
      <c r="DJR40" s="42"/>
      <c r="DJS40" s="42"/>
      <c r="DJT40" s="42"/>
      <c r="DJU40" s="38"/>
      <c r="DJV40" s="38"/>
      <c r="DJW40" s="38"/>
      <c r="DJX40" s="39"/>
      <c r="DJY40" s="38"/>
      <c r="DJZ40" s="38"/>
      <c r="DKA40" s="38"/>
      <c r="DKB40" s="40"/>
      <c r="DKC40" s="41"/>
      <c r="DKD40" s="40"/>
      <c r="DKE40" s="38"/>
      <c r="DKF40" s="42"/>
      <c r="DKG40" s="42"/>
      <c r="DKH40" s="42"/>
      <c r="DKI40" s="38"/>
      <c r="DKJ40" s="38"/>
      <c r="DKK40" s="38"/>
      <c r="DKL40" s="39"/>
      <c r="DKM40" s="38"/>
      <c r="DKN40" s="38"/>
      <c r="DKO40" s="38"/>
      <c r="DKP40" s="40"/>
      <c r="DKQ40" s="41"/>
      <c r="DKR40" s="40"/>
      <c r="DKS40" s="38"/>
      <c r="DKT40" s="42"/>
      <c r="DKU40" s="42"/>
      <c r="DKV40" s="42"/>
      <c r="DKW40" s="38"/>
      <c r="DKX40" s="38"/>
      <c r="DKY40" s="38"/>
      <c r="DKZ40" s="39"/>
      <c r="DLA40" s="38"/>
      <c r="DLB40" s="38"/>
      <c r="DLC40" s="38"/>
      <c r="DLD40" s="40"/>
      <c r="DLE40" s="41"/>
      <c r="DLF40" s="40"/>
      <c r="DLG40" s="38"/>
      <c r="DLH40" s="42"/>
      <c r="DLI40" s="42"/>
      <c r="DLJ40" s="42"/>
      <c r="DLK40" s="38"/>
      <c r="DLL40" s="38"/>
      <c r="DLM40" s="38"/>
      <c r="DLN40" s="39"/>
      <c r="DLO40" s="38"/>
      <c r="DLP40" s="38"/>
      <c r="DLQ40" s="38"/>
      <c r="DLR40" s="40"/>
      <c r="DLS40" s="41"/>
      <c r="DLT40" s="40"/>
      <c r="DLU40" s="38"/>
      <c r="DLV40" s="42"/>
      <c r="DLW40" s="42"/>
      <c r="DLX40" s="42"/>
      <c r="DLY40" s="38"/>
      <c r="DLZ40" s="38"/>
      <c r="DMA40" s="38"/>
      <c r="DMB40" s="39"/>
      <c r="DMC40" s="38"/>
      <c r="DMD40" s="38"/>
      <c r="DME40" s="38"/>
      <c r="DMF40" s="40"/>
      <c r="DMG40" s="41"/>
      <c r="DMH40" s="40"/>
      <c r="DMI40" s="38"/>
      <c r="DMJ40" s="42"/>
      <c r="DMK40" s="42"/>
      <c r="DML40" s="42"/>
      <c r="DMM40" s="38"/>
      <c r="DMN40" s="38"/>
      <c r="DMO40" s="38"/>
      <c r="DMP40" s="39"/>
      <c r="DMQ40" s="38"/>
      <c r="DMR40" s="38"/>
      <c r="DMS40" s="38"/>
      <c r="DMT40" s="40"/>
      <c r="DMU40" s="41"/>
      <c r="DMV40" s="40"/>
      <c r="DMW40" s="38"/>
      <c r="DMX40" s="42"/>
      <c r="DMY40" s="42"/>
      <c r="DMZ40" s="42"/>
      <c r="DNA40" s="38"/>
      <c r="DNB40" s="38"/>
      <c r="DNC40" s="38"/>
      <c r="DND40" s="39"/>
      <c r="DNE40" s="38"/>
      <c r="DNF40" s="38"/>
      <c r="DNG40" s="38"/>
      <c r="DNH40" s="40"/>
      <c r="DNI40" s="41"/>
      <c r="DNJ40" s="40"/>
      <c r="DNK40" s="38"/>
      <c r="DNL40" s="42"/>
      <c r="DNM40" s="42"/>
      <c r="DNN40" s="42"/>
      <c r="DNO40" s="38"/>
      <c r="DNP40" s="38"/>
      <c r="DNQ40" s="38"/>
      <c r="DNR40" s="39"/>
      <c r="DNS40" s="38"/>
      <c r="DNT40" s="38"/>
      <c r="DNU40" s="38"/>
      <c r="DNV40" s="40"/>
      <c r="DNW40" s="41"/>
      <c r="DNX40" s="40"/>
      <c r="DNY40" s="38"/>
      <c r="DNZ40" s="42"/>
      <c r="DOA40" s="42"/>
      <c r="DOB40" s="42"/>
      <c r="DOC40" s="38"/>
      <c r="DOD40" s="38"/>
      <c r="DOE40" s="38"/>
      <c r="DOF40" s="39"/>
      <c r="DOG40" s="38"/>
      <c r="DOH40" s="38"/>
      <c r="DOI40" s="38"/>
      <c r="DOJ40" s="40"/>
      <c r="DOK40" s="41"/>
      <c r="DOL40" s="40"/>
      <c r="DOM40" s="38"/>
      <c r="DON40" s="42"/>
      <c r="DOO40" s="42"/>
      <c r="DOP40" s="42"/>
      <c r="DOQ40" s="38"/>
      <c r="DOR40" s="38"/>
      <c r="DOS40" s="38"/>
      <c r="DOT40" s="39"/>
      <c r="DOU40" s="38"/>
      <c r="DOV40" s="38"/>
      <c r="DOW40" s="38"/>
      <c r="DOX40" s="40"/>
      <c r="DOY40" s="41"/>
      <c r="DOZ40" s="40"/>
      <c r="DPA40" s="38"/>
      <c r="DPB40" s="42"/>
      <c r="DPC40" s="42"/>
      <c r="DPD40" s="42"/>
      <c r="DPE40" s="38"/>
      <c r="DPF40" s="38"/>
      <c r="DPG40" s="38"/>
      <c r="DPH40" s="39"/>
      <c r="DPI40" s="38"/>
      <c r="DPJ40" s="38"/>
      <c r="DPK40" s="38"/>
      <c r="DPL40" s="40"/>
      <c r="DPM40" s="41"/>
      <c r="DPN40" s="40"/>
      <c r="DPO40" s="38"/>
      <c r="DPP40" s="42"/>
      <c r="DPQ40" s="42"/>
      <c r="DPR40" s="42"/>
      <c r="DPS40" s="38"/>
      <c r="DPT40" s="38"/>
      <c r="DPU40" s="38"/>
      <c r="DPV40" s="39"/>
      <c r="DPW40" s="38"/>
      <c r="DPX40" s="38"/>
      <c r="DPY40" s="38"/>
      <c r="DPZ40" s="40"/>
      <c r="DQA40" s="41"/>
      <c r="DQB40" s="40"/>
      <c r="DQC40" s="38"/>
      <c r="DQD40" s="42"/>
      <c r="DQE40" s="42"/>
      <c r="DQF40" s="42"/>
      <c r="DQG40" s="38"/>
      <c r="DQH40" s="38"/>
      <c r="DQI40" s="38"/>
      <c r="DQJ40" s="39"/>
      <c r="DQK40" s="38"/>
      <c r="DQL40" s="38"/>
      <c r="DQM40" s="38"/>
      <c r="DQN40" s="40"/>
      <c r="DQO40" s="41"/>
      <c r="DQP40" s="40"/>
      <c r="DQQ40" s="38"/>
      <c r="DQR40" s="42"/>
      <c r="DQS40" s="42"/>
      <c r="DQT40" s="42"/>
      <c r="DQU40" s="38"/>
      <c r="DQV40" s="38"/>
      <c r="DQW40" s="38"/>
      <c r="DQX40" s="39"/>
      <c r="DQY40" s="38"/>
      <c r="DQZ40" s="38"/>
      <c r="DRA40" s="38"/>
      <c r="DRB40" s="40"/>
      <c r="DRC40" s="41"/>
      <c r="DRD40" s="40"/>
      <c r="DRE40" s="38"/>
      <c r="DRF40" s="42"/>
      <c r="DRG40" s="42"/>
      <c r="DRH40" s="42"/>
      <c r="DRI40" s="38"/>
      <c r="DRJ40" s="38"/>
      <c r="DRK40" s="38"/>
      <c r="DRL40" s="39"/>
      <c r="DRM40" s="38"/>
      <c r="DRN40" s="38"/>
      <c r="DRO40" s="38"/>
      <c r="DRP40" s="40"/>
      <c r="DRQ40" s="41"/>
      <c r="DRR40" s="40"/>
      <c r="DRS40" s="38"/>
      <c r="DRT40" s="42"/>
      <c r="DRU40" s="42"/>
      <c r="DRV40" s="42"/>
      <c r="DRW40" s="38"/>
      <c r="DRX40" s="38"/>
      <c r="DRY40" s="38"/>
      <c r="DRZ40" s="39"/>
      <c r="DSA40" s="38"/>
      <c r="DSB40" s="38"/>
      <c r="DSC40" s="38"/>
      <c r="DSD40" s="40"/>
      <c r="DSE40" s="41"/>
      <c r="DSF40" s="40"/>
      <c r="DSG40" s="38"/>
      <c r="DSH40" s="42"/>
      <c r="DSI40" s="42"/>
      <c r="DSJ40" s="42"/>
      <c r="DSK40" s="38"/>
      <c r="DSL40" s="38"/>
      <c r="DSM40" s="38"/>
      <c r="DSN40" s="39"/>
      <c r="DSO40" s="38"/>
      <c r="DSP40" s="38"/>
      <c r="DSQ40" s="38"/>
      <c r="DSR40" s="40"/>
      <c r="DSS40" s="41"/>
      <c r="DST40" s="40"/>
      <c r="DSU40" s="38"/>
      <c r="DSV40" s="42"/>
      <c r="DSW40" s="42"/>
      <c r="DSX40" s="42"/>
      <c r="DSY40" s="38"/>
      <c r="DSZ40" s="38"/>
      <c r="DTA40" s="38"/>
      <c r="DTB40" s="39"/>
      <c r="DTC40" s="38"/>
      <c r="DTD40" s="38"/>
      <c r="DTE40" s="38"/>
      <c r="DTF40" s="40"/>
      <c r="DTG40" s="41"/>
      <c r="DTH40" s="40"/>
      <c r="DTI40" s="38"/>
      <c r="DTJ40" s="42"/>
      <c r="DTK40" s="42"/>
      <c r="DTL40" s="42"/>
      <c r="DTM40" s="38"/>
      <c r="DTN40" s="38"/>
      <c r="DTO40" s="38"/>
      <c r="DTP40" s="39"/>
      <c r="DTQ40" s="38"/>
      <c r="DTR40" s="38"/>
      <c r="DTS40" s="38"/>
      <c r="DTT40" s="40"/>
      <c r="DTU40" s="41"/>
      <c r="DTV40" s="40"/>
      <c r="DTW40" s="38"/>
      <c r="DTX40" s="42"/>
      <c r="DTY40" s="42"/>
      <c r="DTZ40" s="42"/>
      <c r="DUA40" s="38"/>
      <c r="DUB40" s="38"/>
      <c r="DUC40" s="38"/>
      <c r="DUD40" s="39"/>
      <c r="DUE40" s="38"/>
      <c r="DUF40" s="38"/>
      <c r="DUG40" s="38"/>
      <c r="DUH40" s="40"/>
      <c r="DUI40" s="41"/>
      <c r="DUJ40" s="40"/>
      <c r="DUK40" s="38"/>
      <c r="DUL40" s="42"/>
      <c r="DUM40" s="42"/>
      <c r="DUN40" s="42"/>
      <c r="DUO40" s="38"/>
      <c r="DUP40" s="38"/>
      <c r="DUQ40" s="38"/>
      <c r="DUR40" s="39"/>
      <c r="DUS40" s="38"/>
      <c r="DUT40" s="38"/>
      <c r="DUU40" s="38"/>
      <c r="DUV40" s="40"/>
      <c r="DUW40" s="41"/>
      <c r="DUX40" s="40"/>
      <c r="DUY40" s="38"/>
      <c r="DUZ40" s="42"/>
      <c r="DVA40" s="42"/>
      <c r="DVB40" s="42"/>
      <c r="DVC40" s="38"/>
      <c r="DVD40" s="38"/>
      <c r="DVE40" s="38"/>
      <c r="DVF40" s="39"/>
      <c r="DVG40" s="38"/>
      <c r="DVH40" s="38"/>
      <c r="DVI40" s="38"/>
      <c r="DVJ40" s="40"/>
      <c r="DVK40" s="41"/>
      <c r="DVL40" s="40"/>
      <c r="DVM40" s="38"/>
      <c r="DVN40" s="42"/>
      <c r="DVO40" s="42"/>
      <c r="DVP40" s="42"/>
      <c r="DVQ40" s="38"/>
      <c r="DVR40" s="38"/>
      <c r="DVS40" s="38"/>
      <c r="DVT40" s="39"/>
      <c r="DVU40" s="38"/>
      <c r="DVV40" s="38"/>
      <c r="DVW40" s="38"/>
      <c r="DVX40" s="40"/>
      <c r="DVY40" s="41"/>
      <c r="DVZ40" s="40"/>
      <c r="DWA40" s="38"/>
      <c r="DWB40" s="42"/>
      <c r="DWC40" s="42"/>
      <c r="DWD40" s="42"/>
      <c r="DWE40" s="38"/>
      <c r="DWF40" s="38"/>
      <c r="DWG40" s="38"/>
      <c r="DWH40" s="39"/>
      <c r="DWI40" s="38"/>
      <c r="DWJ40" s="38"/>
      <c r="DWK40" s="38"/>
      <c r="DWL40" s="40"/>
      <c r="DWM40" s="41"/>
      <c r="DWN40" s="40"/>
      <c r="DWO40" s="38"/>
      <c r="DWP40" s="42"/>
      <c r="DWQ40" s="42"/>
      <c r="DWR40" s="42"/>
      <c r="DWS40" s="38"/>
      <c r="DWT40" s="38"/>
      <c r="DWU40" s="38"/>
      <c r="DWV40" s="39"/>
      <c r="DWW40" s="38"/>
      <c r="DWX40" s="38"/>
      <c r="DWY40" s="38"/>
      <c r="DWZ40" s="40"/>
      <c r="DXA40" s="41"/>
      <c r="DXB40" s="40"/>
      <c r="DXC40" s="38"/>
      <c r="DXD40" s="42"/>
      <c r="DXE40" s="42"/>
      <c r="DXF40" s="42"/>
      <c r="DXG40" s="38"/>
      <c r="DXH40" s="38"/>
      <c r="DXI40" s="38"/>
      <c r="DXJ40" s="39"/>
      <c r="DXK40" s="38"/>
      <c r="DXL40" s="38"/>
      <c r="DXM40" s="38"/>
      <c r="DXN40" s="40"/>
      <c r="DXO40" s="41"/>
      <c r="DXP40" s="40"/>
      <c r="DXQ40" s="38"/>
      <c r="DXR40" s="42"/>
      <c r="DXS40" s="42"/>
      <c r="DXT40" s="42"/>
      <c r="DXU40" s="38"/>
      <c r="DXV40" s="38"/>
      <c r="DXW40" s="38"/>
      <c r="DXX40" s="39"/>
      <c r="DXY40" s="38"/>
      <c r="DXZ40" s="38"/>
      <c r="DYA40" s="38"/>
      <c r="DYB40" s="40"/>
      <c r="DYC40" s="41"/>
      <c r="DYD40" s="40"/>
      <c r="DYE40" s="38"/>
      <c r="DYF40" s="42"/>
      <c r="DYG40" s="42"/>
      <c r="DYH40" s="42"/>
      <c r="DYI40" s="38"/>
      <c r="DYJ40" s="38"/>
      <c r="DYK40" s="38"/>
      <c r="DYL40" s="39"/>
      <c r="DYM40" s="38"/>
      <c r="DYN40" s="38"/>
      <c r="DYO40" s="38"/>
      <c r="DYP40" s="40"/>
      <c r="DYQ40" s="41"/>
      <c r="DYR40" s="40"/>
      <c r="DYS40" s="38"/>
      <c r="DYT40" s="42"/>
      <c r="DYU40" s="42"/>
      <c r="DYV40" s="42"/>
      <c r="DYW40" s="38"/>
      <c r="DYX40" s="38"/>
      <c r="DYY40" s="38"/>
      <c r="DYZ40" s="39"/>
      <c r="DZA40" s="38"/>
      <c r="DZB40" s="38"/>
      <c r="DZC40" s="38"/>
      <c r="DZD40" s="40"/>
      <c r="DZE40" s="41"/>
      <c r="DZF40" s="40"/>
      <c r="DZG40" s="38"/>
      <c r="DZH40" s="42"/>
      <c r="DZI40" s="42"/>
      <c r="DZJ40" s="42"/>
      <c r="DZK40" s="38"/>
      <c r="DZL40" s="38"/>
      <c r="DZM40" s="38"/>
      <c r="DZN40" s="39"/>
      <c r="DZO40" s="38"/>
      <c r="DZP40" s="38"/>
      <c r="DZQ40" s="38"/>
      <c r="DZR40" s="40"/>
      <c r="DZS40" s="41"/>
      <c r="DZT40" s="40"/>
      <c r="DZU40" s="38"/>
      <c r="DZV40" s="42"/>
      <c r="DZW40" s="42"/>
      <c r="DZX40" s="42"/>
      <c r="DZY40" s="38"/>
      <c r="DZZ40" s="38"/>
      <c r="EAA40" s="38"/>
      <c r="EAB40" s="39"/>
      <c r="EAC40" s="38"/>
      <c r="EAD40" s="38"/>
      <c r="EAE40" s="38"/>
      <c r="EAF40" s="40"/>
      <c r="EAG40" s="41"/>
      <c r="EAH40" s="40"/>
      <c r="EAI40" s="38"/>
      <c r="EAJ40" s="42"/>
      <c r="EAK40" s="42"/>
      <c r="EAL40" s="42"/>
      <c r="EAM40" s="38"/>
      <c r="EAN40" s="38"/>
      <c r="EAO40" s="38"/>
      <c r="EAP40" s="39"/>
      <c r="EAQ40" s="38"/>
      <c r="EAR40" s="38"/>
      <c r="EAS40" s="38"/>
      <c r="EAT40" s="40"/>
      <c r="EAU40" s="41"/>
      <c r="EAV40" s="40"/>
      <c r="EAW40" s="38"/>
      <c r="EAX40" s="42"/>
      <c r="EAY40" s="42"/>
      <c r="EAZ40" s="42"/>
      <c r="EBA40" s="38"/>
      <c r="EBB40" s="38"/>
      <c r="EBC40" s="38"/>
      <c r="EBD40" s="39"/>
      <c r="EBE40" s="38"/>
      <c r="EBF40" s="38"/>
      <c r="EBG40" s="38"/>
      <c r="EBH40" s="40"/>
      <c r="EBI40" s="41"/>
      <c r="EBJ40" s="40"/>
      <c r="EBK40" s="38"/>
      <c r="EBL40" s="42"/>
      <c r="EBM40" s="42"/>
      <c r="EBN40" s="42"/>
      <c r="EBO40" s="38"/>
      <c r="EBP40" s="38"/>
      <c r="EBQ40" s="38"/>
      <c r="EBR40" s="39"/>
      <c r="EBS40" s="38"/>
      <c r="EBT40" s="38"/>
      <c r="EBU40" s="38"/>
      <c r="EBV40" s="40"/>
      <c r="EBW40" s="41"/>
      <c r="EBX40" s="40"/>
      <c r="EBY40" s="38"/>
      <c r="EBZ40" s="42"/>
      <c r="ECA40" s="42"/>
      <c r="ECB40" s="42"/>
      <c r="ECC40" s="38"/>
      <c r="ECD40" s="38"/>
      <c r="ECE40" s="38"/>
      <c r="ECF40" s="39"/>
      <c r="ECG40" s="38"/>
      <c r="ECH40" s="38"/>
      <c r="ECI40" s="38"/>
      <c r="ECJ40" s="40"/>
      <c r="ECK40" s="41"/>
      <c r="ECL40" s="40"/>
      <c r="ECM40" s="38"/>
      <c r="ECN40" s="42"/>
      <c r="ECO40" s="42"/>
      <c r="ECP40" s="42"/>
      <c r="ECQ40" s="38"/>
      <c r="ECR40" s="38"/>
      <c r="ECS40" s="38"/>
      <c r="ECT40" s="39"/>
      <c r="ECU40" s="38"/>
      <c r="ECV40" s="38"/>
      <c r="ECW40" s="38"/>
      <c r="ECX40" s="40"/>
      <c r="ECY40" s="41"/>
      <c r="ECZ40" s="40"/>
      <c r="EDA40" s="38"/>
      <c r="EDB40" s="42"/>
      <c r="EDC40" s="42"/>
      <c r="EDD40" s="42"/>
      <c r="EDE40" s="38"/>
      <c r="EDF40" s="38"/>
      <c r="EDG40" s="38"/>
      <c r="EDH40" s="39"/>
      <c r="EDI40" s="38"/>
      <c r="EDJ40" s="38"/>
      <c r="EDK40" s="38"/>
      <c r="EDL40" s="40"/>
      <c r="EDM40" s="41"/>
      <c r="EDN40" s="40"/>
      <c r="EDO40" s="38"/>
      <c r="EDP40" s="42"/>
      <c r="EDQ40" s="42"/>
      <c r="EDR40" s="42"/>
      <c r="EDS40" s="38"/>
      <c r="EDT40" s="38"/>
      <c r="EDU40" s="38"/>
      <c r="EDV40" s="39"/>
      <c r="EDW40" s="38"/>
      <c r="EDX40" s="38"/>
      <c r="EDY40" s="38"/>
      <c r="EDZ40" s="40"/>
      <c r="EEA40" s="41"/>
      <c r="EEB40" s="40"/>
      <c r="EEC40" s="38"/>
      <c r="EED40" s="42"/>
      <c r="EEE40" s="42"/>
      <c r="EEF40" s="42"/>
      <c r="EEG40" s="38"/>
      <c r="EEH40" s="38"/>
      <c r="EEI40" s="38"/>
      <c r="EEJ40" s="39"/>
      <c r="EEK40" s="38"/>
      <c r="EEL40" s="38"/>
      <c r="EEM40" s="38"/>
      <c r="EEN40" s="40"/>
      <c r="EEO40" s="41"/>
      <c r="EEP40" s="40"/>
      <c r="EEQ40" s="38"/>
      <c r="EER40" s="42"/>
      <c r="EES40" s="42"/>
      <c r="EET40" s="42"/>
      <c r="EEU40" s="38"/>
      <c r="EEV40" s="38"/>
      <c r="EEW40" s="38"/>
      <c r="EEX40" s="39"/>
      <c r="EEY40" s="38"/>
      <c r="EEZ40" s="38"/>
      <c r="EFA40" s="38"/>
      <c r="EFB40" s="40"/>
      <c r="EFC40" s="41"/>
      <c r="EFD40" s="40"/>
      <c r="EFE40" s="38"/>
      <c r="EFF40" s="42"/>
      <c r="EFG40" s="42"/>
      <c r="EFH40" s="42"/>
      <c r="EFI40" s="38"/>
      <c r="EFJ40" s="38"/>
      <c r="EFK40" s="38"/>
      <c r="EFL40" s="39"/>
      <c r="EFM40" s="38"/>
      <c r="EFN40" s="38"/>
      <c r="EFO40" s="38"/>
      <c r="EFP40" s="40"/>
      <c r="EFQ40" s="41"/>
      <c r="EFR40" s="40"/>
      <c r="EFS40" s="38"/>
      <c r="EFT40" s="42"/>
      <c r="EFU40" s="42"/>
      <c r="EFV40" s="42"/>
      <c r="EFW40" s="38"/>
      <c r="EFX40" s="38"/>
      <c r="EFY40" s="38"/>
      <c r="EFZ40" s="39"/>
      <c r="EGA40" s="38"/>
      <c r="EGB40" s="38"/>
      <c r="EGC40" s="38"/>
      <c r="EGD40" s="40"/>
      <c r="EGE40" s="41"/>
      <c r="EGF40" s="40"/>
      <c r="EGG40" s="38"/>
      <c r="EGH40" s="42"/>
      <c r="EGI40" s="42"/>
      <c r="EGJ40" s="42"/>
      <c r="EGK40" s="38"/>
      <c r="EGL40" s="38"/>
      <c r="EGM40" s="38"/>
      <c r="EGN40" s="39"/>
      <c r="EGO40" s="38"/>
      <c r="EGP40" s="38"/>
      <c r="EGQ40" s="38"/>
      <c r="EGR40" s="40"/>
      <c r="EGS40" s="41"/>
      <c r="EGT40" s="40"/>
      <c r="EGU40" s="38"/>
      <c r="EGV40" s="42"/>
      <c r="EGW40" s="42"/>
      <c r="EGX40" s="42"/>
      <c r="EGY40" s="38"/>
      <c r="EGZ40" s="38"/>
      <c r="EHA40" s="38"/>
      <c r="EHB40" s="39"/>
      <c r="EHC40" s="38"/>
      <c r="EHD40" s="38"/>
      <c r="EHE40" s="38"/>
      <c r="EHF40" s="40"/>
      <c r="EHG40" s="41"/>
      <c r="EHH40" s="40"/>
      <c r="EHI40" s="38"/>
      <c r="EHJ40" s="42"/>
      <c r="EHK40" s="42"/>
      <c r="EHL40" s="42"/>
      <c r="EHM40" s="38"/>
      <c r="EHN40" s="38"/>
      <c r="EHO40" s="38"/>
      <c r="EHP40" s="39"/>
      <c r="EHQ40" s="38"/>
      <c r="EHR40" s="38"/>
      <c r="EHS40" s="38"/>
      <c r="EHT40" s="40"/>
      <c r="EHU40" s="41"/>
      <c r="EHV40" s="40"/>
      <c r="EHW40" s="38"/>
      <c r="EHX40" s="42"/>
      <c r="EHY40" s="42"/>
      <c r="EHZ40" s="42"/>
      <c r="EIA40" s="38"/>
      <c r="EIB40" s="38"/>
      <c r="EIC40" s="38"/>
      <c r="EID40" s="39"/>
      <c r="EIE40" s="38"/>
      <c r="EIF40" s="38"/>
      <c r="EIG40" s="38"/>
      <c r="EIH40" s="40"/>
      <c r="EII40" s="41"/>
      <c r="EIJ40" s="40"/>
      <c r="EIK40" s="38"/>
      <c r="EIL40" s="42"/>
      <c r="EIM40" s="42"/>
      <c r="EIN40" s="42"/>
      <c r="EIO40" s="38"/>
      <c r="EIP40" s="38"/>
      <c r="EIQ40" s="38"/>
      <c r="EIR40" s="39"/>
      <c r="EIS40" s="38"/>
      <c r="EIT40" s="38"/>
      <c r="EIU40" s="38"/>
      <c r="EIV40" s="40"/>
      <c r="EIW40" s="41"/>
      <c r="EIX40" s="40"/>
      <c r="EIY40" s="38"/>
      <c r="EIZ40" s="42"/>
      <c r="EJA40" s="42"/>
      <c r="EJB40" s="42"/>
      <c r="EJC40" s="38"/>
      <c r="EJD40" s="38"/>
      <c r="EJE40" s="38"/>
      <c r="EJF40" s="39"/>
      <c r="EJG40" s="38"/>
      <c r="EJH40" s="38"/>
      <c r="EJI40" s="38"/>
      <c r="EJJ40" s="40"/>
      <c r="EJK40" s="41"/>
      <c r="EJL40" s="40"/>
      <c r="EJM40" s="38"/>
      <c r="EJN40" s="42"/>
      <c r="EJO40" s="42"/>
      <c r="EJP40" s="42"/>
      <c r="EJQ40" s="38"/>
      <c r="EJR40" s="38"/>
      <c r="EJS40" s="38"/>
      <c r="EJT40" s="39"/>
      <c r="EJU40" s="38"/>
      <c r="EJV40" s="38"/>
      <c r="EJW40" s="38"/>
      <c r="EJX40" s="40"/>
      <c r="EJY40" s="41"/>
      <c r="EJZ40" s="40"/>
      <c r="EKA40" s="38"/>
      <c r="EKB40" s="42"/>
      <c r="EKC40" s="42"/>
      <c r="EKD40" s="42"/>
      <c r="EKE40" s="38"/>
      <c r="EKF40" s="38"/>
      <c r="EKG40" s="38"/>
      <c r="EKH40" s="39"/>
      <c r="EKI40" s="38"/>
      <c r="EKJ40" s="38"/>
      <c r="EKK40" s="38"/>
      <c r="EKL40" s="40"/>
      <c r="EKM40" s="41"/>
      <c r="EKN40" s="40"/>
      <c r="EKO40" s="38"/>
      <c r="EKP40" s="42"/>
      <c r="EKQ40" s="42"/>
      <c r="EKR40" s="42"/>
      <c r="EKS40" s="38"/>
      <c r="EKT40" s="38"/>
      <c r="EKU40" s="38"/>
      <c r="EKV40" s="39"/>
      <c r="EKW40" s="38"/>
      <c r="EKX40" s="38"/>
      <c r="EKY40" s="38"/>
      <c r="EKZ40" s="40"/>
      <c r="ELA40" s="41"/>
      <c r="ELB40" s="40"/>
      <c r="ELC40" s="38"/>
      <c r="ELD40" s="42"/>
      <c r="ELE40" s="42"/>
      <c r="ELF40" s="42"/>
      <c r="ELG40" s="38"/>
      <c r="ELH40" s="38"/>
      <c r="ELI40" s="38"/>
      <c r="ELJ40" s="39"/>
      <c r="ELK40" s="38"/>
      <c r="ELL40" s="38"/>
      <c r="ELM40" s="38"/>
      <c r="ELN40" s="40"/>
      <c r="ELO40" s="41"/>
      <c r="ELP40" s="40"/>
      <c r="ELQ40" s="38"/>
      <c r="ELR40" s="42"/>
      <c r="ELS40" s="42"/>
      <c r="ELT40" s="42"/>
      <c r="ELU40" s="38"/>
      <c r="ELV40" s="38"/>
      <c r="ELW40" s="38"/>
      <c r="ELX40" s="39"/>
      <c r="ELY40" s="38"/>
      <c r="ELZ40" s="38"/>
      <c r="EMA40" s="38"/>
      <c r="EMB40" s="40"/>
      <c r="EMC40" s="41"/>
      <c r="EMD40" s="40"/>
      <c r="EME40" s="38"/>
      <c r="EMF40" s="42"/>
      <c r="EMG40" s="42"/>
      <c r="EMH40" s="42"/>
      <c r="EMI40" s="38"/>
      <c r="EMJ40" s="38"/>
      <c r="EMK40" s="38"/>
      <c r="EML40" s="39"/>
      <c r="EMM40" s="38"/>
      <c r="EMN40" s="38"/>
      <c r="EMO40" s="38"/>
      <c r="EMP40" s="40"/>
      <c r="EMQ40" s="41"/>
      <c r="EMR40" s="40"/>
      <c r="EMS40" s="38"/>
      <c r="EMT40" s="42"/>
      <c r="EMU40" s="42"/>
      <c r="EMV40" s="42"/>
      <c r="EMW40" s="38"/>
      <c r="EMX40" s="38"/>
      <c r="EMY40" s="38"/>
      <c r="EMZ40" s="39"/>
      <c r="ENA40" s="38"/>
      <c r="ENB40" s="38"/>
      <c r="ENC40" s="38"/>
      <c r="END40" s="40"/>
      <c r="ENE40" s="41"/>
      <c r="ENF40" s="40"/>
      <c r="ENG40" s="38"/>
      <c r="ENH40" s="42"/>
      <c r="ENI40" s="42"/>
      <c r="ENJ40" s="42"/>
      <c r="ENK40" s="38"/>
      <c r="ENL40" s="38"/>
      <c r="ENM40" s="38"/>
      <c r="ENN40" s="39"/>
      <c r="ENO40" s="38"/>
      <c r="ENP40" s="38"/>
      <c r="ENQ40" s="38"/>
      <c r="ENR40" s="40"/>
      <c r="ENS40" s="41"/>
      <c r="ENT40" s="40"/>
      <c r="ENU40" s="38"/>
      <c r="ENV40" s="42"/>
      <c r="ENW40" s="42"/>
      <c r="ENX40" s="42"/>
      <c r="ENY40" s="38"/>
      <c r="ENZ40" s="38"/>
      <c r="EOA40" s="38"/>
      <c r="EOB40" s="39"/>
      <c r="EOC40" s="38"/>
      <c r="EOD40" s="38"/>
      <c r="EOE40" s="38"/>
      <c r="EOF40" s="40"/>
      <c r="EOG40" s="41"/>
      <c r="EOH40" s="40"/>
      <c r="EOI40" s="38"/>
      <c r="EOJ40" s="42"/>
      <c r="EOK40" s="42"/>
      <c r="EOL40" s="42"/>
      <c r="EOM40" s="38"/>
      <c r="EON40" s="38"/>
      <c r="EOO40" s="38"/>
      <c r="EOP40" s="39"/>
      <c r="EOQ40" s="38"/>
      <c r="EOR40" s="38"/>
      <c r="EOS40" s="38"/>
      <c r="EOT40" s="40"/>
      <c r="EOU40" s="41"/>
      <c r="EOV40" s="40"/>
      <c r="EOW40" s="38"/>
      <c r="EOX40" s="42"/>
      <c r="EOY40" s="42"/>
      <c r="EOZ40" s="42"/>
      <c r="EPA40" s="38"/>
      <c r="EPB40" s="38"/>
      <c r="EPC40" s="38"/>
      <c r="EPD40" s="39"/>
      <c r="EPE40" s="38"/>
      <c r="EPF40" s="38"/>
      <c r="EPG40" s="38"/>
      <c r="EPH40" s="40"/>
      <c r="EPI40" s="41"/>
      <c r="EPJ40" s="40"/>
      <c r="EPK40" s="38"/>
      <c r="EPL40" s="42"/>
      <c r="EPM40" s="42"/>
      <c r="EPN40" s="42"/>
      <c r="EPO40" s="38"/>
      <c r="EPP40" s="38"/>
      <c r="EPQ40" s="38"/>
      <c r="EPR40" s="39"/>
      <c r="EPS40" s="38"/>
      <c r="EPT40" s="38"/>
      <c r="EPU40" s="38"/>
      <c r="EPV40" s="40"/>
      <c r="EPW40" s="41"/>
      <c r="EPX40" s="40"/>
      <c r="EPY40" s="38"/>
      <c r="EPZ40" s="42"/>
      <c r="EQA40" s="42"/>
      <c r="EQB40" s="42"/>
      <c r="EQC40" s="38"/>
      <c r="EQD40" s="38"/>
      <c r="EQE40" s="38"/>
      <c r="EQF40" s="39"/>
      <c r="EQG40" s="38"/>
      <c r="EQH40" s="38"/>
      <c r="EQI40" s="38"/>
      <c r="EQJ40" s="40"/>
      <c r="EQK40" s="41"/>
      <c r="EQL40" s="40"/>
      <c r="EQM40" s="38"/>
      <c r="EQN40" s="42"/>
      <c r="EQO40" s="42"/>
      <c r="EQP40" s="42"/>
      <c r="EQQ40" s="38"/>
      <c r="EQR40" s="38"/>
      <c r="EQS40" s="38"/>
      <c r="EQT40" s="39"/>
      <c r="EQU40" s="38"/>
      <c r="EQV40" s="38"/>
      <c r="EQW40" s="38"/>
      <c r="EQX40" s="40"/>
      <c r="EQY40" s="41"/>
      <c r="EQZ40" s="40"/>
      <c r="ERA40" s="38"/>
      <c r="ERB40" s="42"/>
      <c r="ERC40" s="42"/>
      <c r="ERD40" s="42"/>
      <c r="ERE40" s="38"/>
      <c r="ERF40" s="38"/>
      <c r="ERG40" s="38"/>
      <c r="ERH40" s="39"/>
      <c r="ERI40" s="38"/>
      <c r="ERJ40" s="38"/>
      <c r="ERK40" s="38"/>
      <c r="ERL40" s="40"/>
      <c r="ERM40" s="41"/>
      <c r="ERN40" s="40"/>
      <c r="ERO40" s="38"/>
      <c r="ERP40" s="42"/>
      <c r="ERQ40" s="42"/>
      <c r="ERR40" s="42"/>
      <c r="ERS40" s="38"/>
      <c r="ERT40" s="38"/>
      <c r="ERU40" s="38"/>
      <c r="ERV40" s="39"/>
      <c r="ERW40" s="38"/>
      <c r="ERX40" s="38"/>
      <c r="ERY40" s="38"/>
      <c r="ERZ40" s="40"/>
      <c r="ESA40" s="41"/>
      <c r="ESB40" s="40"/>
      <c r="ESC40" s="38"/>
      <c r="ESD40" s="42"/>
      <c r="ESE40" s="42"/>
      <c r="ESF40" s="42"/>
      <c r="ESG40" s="38"/>
      <c r="ESH40" s="38"/>
      <c r="ESI40" s="38"/>
      <c r="ESJ40" s="39"/>
      <c r="ESK40" s="38"/>
      <c r="ESL40" s="38"/>
      <c r="ESM40" s="38"/>
      <c r="ESN40" s="40"/>
      <c r="ESO40" s="41"/>
      <c r="ESP40" s="40"/>
      <c r="ESQ40" s="38"/>
      <c r="ESR40" s="42"/>
      <c r="ESS40" s="42"/>
      <c r="EST40" s="42"/>
      <c r="ESU40" s="38"/>
      <c r="ESV40" s="38"/>
      <c r="ESW40" s="38"/>
      <c r="ESX40" s="39"/>
      <c r="ESY40" s="38"/>
      <c r="ESZ40" s="38"/>
      <c r="ETA40" s="38"/>
      <c r="ETB40" s="40"/>
      <c r="ETC40" s="41"/>
      <c r="ETD40" s="40"/>
      <c r="ETE40" s="38"/>
      <c r="ETF40" s="42"/>
      <c r="ETG40" s="42"/>
      <c r="ETH40" s="42"/>
      <c r="ETI40" s="38"/>
      <c r="ETJ40" s="38"/>
      <c r="ETK40" s="38"/>
      <c r="ETL40" s="39"/>
      <c r="ETM40" s="38"/>
      <c r="ETN40" s="38"/>
      <c r="ETO40" s="38"/>
      <c r="ETP40" s="40"/>
      <c r="ETQ40" s="41"/>
      <c r="ETR40" s="40"/>
      <c r="ETS40" s="38"/>
      <c r="ETT40" s="42"/>
      <c r="ETU40" s="42"/>
      <c r="ETV40" s="42"/>
      <c r="ETW40" s="38"/>
      <c r="ETX40" s="38"/>
      <c r="ETY40" s="38"/>
      <c r="ETZ40" s="39"/>
      <c r="EUA40" s="38"/>
      <c r="EUB40" s="38"/>
      <c r="EUC40" s="38"/>
      <c r="EUD40" s="40"/>
      <c r="EUE40" s="41"/>
      <c r="EUF40" s="40"/>
      <c r="EUG40" s="38"/>
      <c r="EUH40" s="42"/>
      <c r="EUI40" s="42"/>
      <c r="EUJ40" s="42"/>
      <c r="EUK40" s="38"/>
      <c r="EUL40" s="38"/>
      <c r="EUM40" s="38"/>
      <c r="EUN40" s="39"/>
      <c r="EUO40" s="38"/>
      <c r="EUP40" s="38"/>
      <c r="EUQ40" s="38"/>
      <c r="EUR40" s="40"/>
      <c r="EUS40" s="41"/>
      <c r="EUT40" s="40"/>
      <c r="EUU40" s="38"/>
      <c r="EUV40" s="42"/>
      <c r="EUW40" s="42"/>
      <c r="EUX40" s="42"/>
      <c r="EUY40" s="38"/>
      <c r="EUZ40" s="38"/>
      <c r="EVA40" s="38"/>
      <c r="EVB40" s="39"/>
      <c r="EVC40" s="38"/>
      <c r="EVD40" s="38"/>
      <c r="EVE40" s="38"/>
      <c r="EVF40" s="40"/>
      <c r="EVG40" s="41"/>
      <c r="EVH40" s="40"/>
      <c r="EVI40" s="38"/>
      <c r="EVJ40" s="42"/>
      <c r="EVK40" s="42"/>
      <c r="EVL40" s="42"/>
      <c r="EVM40" s="38"/>
      <c r="EVN40" s="38"/>
      <c r="EVO40" s="38"/>
      <c r="EVP40" s="39"/>
      <c r="EVQ40" s="38"/>
      <c r="EVR40" s="38"/>
      <c r="EVS40" s="38"/>
      <c r="EVT40" s="40"/>
      <c r="EVU40" s="41"/>
      <c r="EVV40" s="40"/>
      <c r="EVW40" s="38"/>
      <c r="EVX40" s="42"/>
      <c r="EVY40" s="42"/>
      <c r="EVZ40" s="42"/>
      <c r="EWA40" s="38"/>
      <c r="EWB40" s="38"/>
      <c r="EWC40" s="38"/>
      <c r="EWD40" s="39"/>
      <c r="EWE40" s="38"/>
      <c r="EWF40" s="38"/>
      <c r="EWG40" s="38"/>
      <c r="EWH40" s="40"/>
      <c r="EWI40" s="41"/>
      <c r="EWJ40" s="40"/>
      <c r="EWK40" s="38"/>
      <c r="EWL40" s="42"/>
      <c r="EWM40" s="42"/>
      <c r="EWN40" s="42"/>
      <c r="EWO40" s="38"/>
      <c r="EWP40" s="38"/>
      <c r="EWQ40" s="38"/>
      <c r="EWR40" s="39"/>
      <c r="EWS40" s="38"/>
      <c r="EWT40" s="38"/>
      <c r="EWU40" s="38"/>
      <c r="EWV40" s="40"/>
      <c r="EWW40" s="41"/>
      <c r="EWX40" s="40"/>
      <c r="EWY40" s="38"/>
      <c r="EWZ40" s="42"/>
      <c r="EXA40" s="42"/>
      <c r="EXB40" s="42"/>
      <c r="EXC40" s="38"/>
      <c r="EXD40" s="38"/>
      <c r="EXE40" s="38"/>
      <c r="EXF40" s="39"/>
      <c r="EXG40" s="38"/>
      <c r="EXH40" s="38"/>
      <c r="EXI40" s="38"/>
      <c r="EXJ40" s="40"/>
      <c r="EXK40" s="41"/>
      <c r="EXL40" s="40"/>
      <c r="EXM40" s="38"/>
      <c r="EXN40" s="42"/>
      <c r="EXO40" s="42"/>
      <c r="EXP40" s="42"/>
      <c r="EXQ40" s="38"/>
      <c r="EXR40" s="38"/>
      <c r="EXS40" s="38"/>
      <c r="EXT40" s="39"/>
      <c r="EXU40" s="38"/>
      <c r="EXV40" s="38"/>
      <c r="EXW40" s="38"/>
      <c r="EXX40" s="40"/>
      <c r="EXY40" s="41"/>
      <c r="EXZ40" s="40"/>
      <c r="EYA40" s="38"/>
      <c r="EYB40" s="42"/>
      <c r="EYC40" s="42"/>
      <c r="EYD40" s="42"/>
      <c r="EYE40" s="38"/>
      <c r="EYF40" s="38"/>
      <c r="EYG40" s="38"/>
      <c r="EYH40" s="39"/>
      <c r="EYI40" s="38"/>
      <c r="EYJ40" s="38"/>
      <c r="EYK40" s="38"/>
      <c r="EYL40" s="40"/>
      <c r="EYM40" s="41"/>
      <c r="EYN40" s="40"/>
      <c r="EYO40" s="38"/>
      <c r="EYP40" s="42"/>
      <c r="EYQ40" s="42"/>
      <c r="EYR40" s="42"/>
      <c r="EYS40" s="38"/>
      <c r="EYT40" s="38"/>
      <c r="EYU40" s="38"/>
      <c r="EYV40" s="39"/>
      <c r="EYW40" s="38"/>
      <c r="EYX40" s="38"/>
      <c r="EYY40" s="38"/>
      <c r="EYZ40" s="40"/>
      <c r="EZA40" s="41"/>
      <c r="EZB40" s="40"/>
      <c r="EZC40" s="38"/>
      <c r="EZD40" s="42"/>
      <c r="EZE40" s="42"/>
      <c r="EZF40" s="42"/>
      <c r="EZG40" s="38"/>
      <c r="EZH40" s="38"/>
      <c r="EZI40" s="38"/>
      <c r="EZJ40" s="39"/>
      <c r="EZK40" s="38"/>
      <c r="EZL40" s="38"/>
      <c r="EZM40" s="38"/>
      <c r="EZN40" s="40"/>
      <c r="EZO40" s="41"/>
      <c r="EZP40" s="40"/>
      <c r="EZQ40" s="38"/>
      <c r="EZR40" s="42"/>
      <c r="EZS40" s="42"/>
      <c r="EZT40" s="42"/>
      <c r="EZU40" s="38"/>
      <c r="EZV40" s="38"/>
      <c r="EZW40" s="38"/>
      <c r="EZX40" s="39"/>
      <c r="EZY40" s="38"/>
      <c r="EZZ40" s="38"/>
      <c r="FAA40" s="38"/>
      <c r="FAB40" s="40"/>
      <c r="FAC40" s="41"/>
      <c r="FAD40" s="40"/>
      <c r="FAE40" s="38"/>
      <c r="FAF40" s="42"/>
      <c r="FAG40" s="42"/>
      <c r="FAH40" s="42"/>
      <c r="FAI40" s="38"/>
      <c r="FAJ40" s="38"/>
      <c r="FAK40" s="38"/>
      <c r="FAL40" s="39"/>
      <c r="FAM40" s="38"/>
      <c r="FAN40" s="38"/>
      <c r="FAO40" s="38"/>
      <c r="FAP40" s="40"/>
      <c r="FAQ40" s="41"/>
      <c r="FAR40" s="40"/>
      <c r="FAS40" s="38"/>
      <c r="FAT40" s="42"/>
      <c r="FAU40" s="42"/>
      <c r="FAV40" s="42"/>
      <c r="FAW40" s="38"/>
      <c r="FAX40" s="38"/>
      <c r="FAY40" s="38"/>
      <c r="FAZ40" s="39"/>
      <c r="FBA40" s="38"/>
      <c r="FBB40" s="38"/>
      <c r="FBC40" s="38"/>
      <c r="FBD40" s="40"/>
      <c r="FBE40" s="41"/>
      <c r="FBF40" s="40"/>
      <c r="FBG40" s="38"/>
      <c r="FBH40" s="42"/>
      <c r="FBI40" s="42"/>
      <c r="FBJ40" s="42"/>
      <c r="FBK40" s="38"/>
      <c r="FBL40" s="38"/>
      <c r="FBM40" s="38"/>
      <c r="FBN40" s="39"/>
      <c r="FBO40" s="38"/>
      <c r="FBP40" s="38"/>
      <c r="FBQ40" s="38"/>
      <c r="FBR40" s="40"/>
      <c r="FBS40" s="41"/>
      <c r="FBT40" s="40"/>
      <c r="FBU40" s="38"/>
      <c r="FBV40" s="42"/>
      <c r="FBW40" s="42"/>
      <c r="FBX40" s="42"/>
      <c r="FBY40" s="38"/>
      <c r="FBZ40" s="38"/>
      <c r="FCA40" s="38"/>
      <c r="FCB40" s="39"/>
      <c r="FCC40" s="38"/>
      <c r="FCD40" s="38"/>
      <c r="FCE40" s="38"/>
      <c r="FCF40" s="40"/>
      <c r="FCG40" s="41"/>
      <c r="FCH40" s="40"/>
      <c r="FCI40" s="38"/>
      <c r="FCJ40" s="42"/>
      <c r="FCK40" s="42"/>
      <c r="FCL40" s="42"/>
      <c r="FCM40" s="38"/>
      <c r="FCN40" s="38"/>
      <c r="FCO40" s="38"/>
      <c r="FCP40" s="39"/>
      <c r="FCQ40" s="38"/>
      <c r="FCR40" s="38"/>
      <c r="FCS40" s="38"/>
      <c r="FCT40" s="40"/>
      <c r="FCU40" s="41"/>
      <c r="FCV40" s="40"/>
      <c r="FCW40" s="38"/>
      <c r="FCX40" s="42"/>
      <c r="FCY40" s="42"/>
      <c r="FCZ40" s="42"/>
      <c r="FDA40" s="38"/>
      <c r="FDB40" s="38"/>
      <c r="FDC40" s="38"/>
      <c r="FDD40" s="39"/>
      <c r="FDE40" s="38"/>
      <c r="FDF40" s="38"/>
      <c r="FDG40" s="38"/>
      <c r="FDH40" s="40"/>
      <c r="FDI40" s="41"/>
      <c r="FDJ40" s="40"/>
      <c r="FDK40" s="38"/>
      <c r="FDL40" s="42"/>
      <c r="FDM40" s="42"/>
      <c r="FDN40" s="42"/>
      <c r="FDO40" s="38"/>
      <c r="FDP40" s="38"/>
      <c r="FDQ40" s="38"/>
      <c r="FDR40" s="39"/>
      <c r="FDS40" s="38"/>
      <c r="FDT40" s="38"/>
      <c r="FDU40" s="38"/>
      <c r="FDV40" s="40"/>
      <c r="FDW40" s="41"/>
      <c r="FDX40" s="40"/>
      <c r="FDY40" s="38"/>
      <c r="FDZ40" s="42"/>
      <c r="FEA40" s="42"/>
      <c r="FEB40" s="42"/>
      <c r="FEC40" s="38"/>
      <c r="FED40" s="38"/>
      <c r="FEE40" s="38"/>
      <c r="FEF40" s="39"/>
      <c r="FEG40" s="38"/>
      <c r="FEH40" s="38"/>
      <c r="FEI40" s="38"/>
      <c r="FEJ40" s="40"/>
      <c r="FEK40" s="41"/>
      <c r="FEL40" s="40"/>
      <c r="FEM40" s="38"/>
      <c r="FEN40" s="42"/>
      <c r="FEO40" s="42"/>
      <c r="FEP40" s="42"/>
      <c r="FEQ40" s="38"/>
      <c r="FER40" s="38"/>
      <c r="FES40" s="38"/>
      <c r="FET40" s="39"/>
      <c r="FEU40" s="38"/>
      <c r="FEV40" s="38"/>
      <c r="FEW40" s="38"/>
      <c r="FEX40" s="40"/>
      <c r="FEY40" s="41"/>
      <c r="FEZ40" s="40"/>
      <c r="FFA40" s="38"/>
      <c r="FFB40" s="42"/>
      <c r="FFC40" s="42"/>
      <c r="FFD40" s="42"/>
      <c r="FFE40" s="38"/>
      <c r="FFF40" s="38"/>
      <c r="FFG40" s="38"/>
      <c r="FFH40" s="39"/>
      <c r="FFI40" s="38"/>
      <c r="FFJ40" s="38"/>
      <c r="FFK40" s="38"/>
      <c r="FFL40" s="40"/>
      <c r="FFM40" s="41"/>
      <c r="FFN40" s="40"/>
      <c r="FFO40" s="38"/>
      <c r="FFP40" s="42"/>
      <c r="FFQ40" s="42"/>
      <c r="FFR40" s="42"/>
      <c r="FFS40" s="38"/>
      <c r="FFT40" s="38"/>
      <c r="FFU40" s="38"/>
      <c r="FFV40" s="39"/>
      <c r="FFW40" s="38"/>
      <c r="FFX40" s="38"/>
      <c r="FFY40" s="38"/>
      <c r="FFZ40" s="40"/>
      <c r="FGA40" s="41"/>
      <c r="FGB40" s="40"/>
      <c r="FGC40" s="38"/>
      <c r="FGD40" s="42"/>
      <c r="FGE40" s="42"/>
      <c r="FGF40" s="42"/>
      <c r="FGG40" s="38"/>
      <c r="FGH40" s="38"/>
      <c r="FGI40" s="38"/>
      <c r="FGJ40" s="39"/>
      <c r="FGK40" s="38"/>
      <c r="FGL40" s="38"/>
      <c r="FGM40" s="38"/>
      <c r="FGN40" s="40"/>
      <c r="FGO40" s="41"/>
      <c r="FGP40" s="40"/>
      <c r="FGQ40" s="38"/>
      <c r="FGR40" s="42"/>
      <c r="FGS40" s="42"/>
      <c r="FGT40" s="42"/>
      <c r="FGU40" s="38"/>
      <c r="FGV40" s="38"/>
      <c r="FGW40" s="38"/>
      <c r="FGX40" s="39"/>
      <c r="FGY40" s="38"/>
      <c r="FGZ40" s="38"/>
      <c r="FHA40" s="38"/>
      <c r="FHB40" s="40"/>
      <c r="FHC40" s="41"/>
      <c r="FHD40" s="40"/>
      <c r="FHE40" s="38"/>
      <c r="FHF40" s="42"/>
      <c r="FHG40" s="42"/>
      <c r="FHH40" s="42"/>
      <c r="FHI40" s="38"/>
      <c r="FHJ40" s="38"/>
      <c r="FHK40" s="38"/>
      <c r="FHL40" s="39"/>
      <c r="FHM40" s="38"/>
      <c r="FHN40" s="38"/>
      <c r="FHO40" s="38"/>
      <c r="FHP40" s="40"/>
      <c r="FHQ40" s="41"/>
      <c r="FHR40" s="40"/>
      <c r="FHS40" s="38"/>
      <c r="FHT40" s="42"/>
      <c r="FHU40" s="42"/>
      <c r="FHV40" s="42"/>
      <c r="FHW40" s="38"/>
      <c r="FHX40" s="38"/>
      <c r="FHY40" s="38"/>
      <c r="FHZ40" s="39"/>
      <c r="FIA40" s="38"/>
      <c r="FIB40" s="38"/>
      <c r="FIC40" s="38"/>
      <c r="FID40" s="40"/>
      <c r="FIE40" s="41"/>
      <c r="FIF40" s="40"/>
      <c r="FIG40" s="38"/>
      <c r="FIH40" s="42"/>
      <c r="FII40" s="42"/>
      <c r="FIJ40" s="42"/>
      <c r="FIK40" s="38"/>
      <c r="FIL40" s="38"/>
      <c r="FIM40" s="38"/>
      <c r="FIN40" s="39"/>
      <c r="FIO40" s="38"/>
      <c r="FIP40" s="38"/>
      <c r="FIQ40" s="38"/>
      <c r="FIR40" s="40"/>
      <c r="FIS40" s="41"/>
      <c r="FIT40" s="40"/>
      <c r="FIU40" s="38"/>
      <c r="FIV40" s="42"/>
      <c r="FIW40" s="42"/>
      <c r="FIX40" s="42"/>
      <c r="FIY40" s="38"/>
      <c r="FIZ40" s="38"/>
      <c r="FJA40" s="38"/>
      <c r="FJB40" s="39"/>
      <c r="FJC40" s="38"/>
      <c r="FJD40" s="38"/>
      <c r="FJE40" s="38"/>
      <c r="FJF40" s="40"/>
      <c r="FJG40" s="41"/>
      <c r="FJH40" s="40"/>
      <c r="FJI40" s="38"/>
      <c r="FJJ40" s="42"/>
      <c r="FJK40" s="42"/>
      <c r="FJL40" s="42"/>
      <c r="FJM40" s="38"/>
      <c r="FJN40" s="38"/>
      <c r="FJO40" s="38"/>
      <c r="FJP40" s="39"/>
      <c r="FJQ40" s="38"/>
      <c r="FJR40" s="38"/>
      <c r="FJS40" s="38"/>
      <c r="FJT40" s="40"/>
      <c r="FJU40" s="41"/>
      <c r="FJV40" s="40"/>
      <c r="FJW40" s="38"/>
      <c r="FJX40" s="42"/>
      <c r="FJY40" s="42"/>
      <c r="FJZ40" s="42"/>
      <c r="FKA40" s="38"/>
      <c r="FKB40" s="38"/>
      <c r="FKC40" s="38"/>
      <c r="FKD40" s="39"/>
      <c r="FKE40" s="38"/>
      <c r="FKF40" s="38"/>
      <c r="FKG40" s="38"/>
      <c r="FKH40" s="40"/>
      <c r="FKI40" s="41"/>
      <c r="FKJ40" s="40"/>
      <c r="FKK40" s="38"/>
      <c r="FKL40" s="42"/>
      <c r="FKM40" s="42"/>
      <c r="FKN40" s="42"/>
      <c r="FKO40" s="38"/>
      <c r="FKP40" s="38"/>
      <c r="FKQ40" s="38"/>
      <c r="FKR40" s="39"/>
      <c r="FKS40" s="38"/>
      <c r="FKT40" s="38"/>
      <c r="FKU40" s="38"/>
      <c r="FKV40" s="40"/>
      <c r="FKW40" s="41"/>
      <c r="FKX40" s="40"/>
      <c r="FKY40" s="38"/>
      <c r="FKZ40" s="42"/>
      <c r="FLA40" s="42"/>
      <c r="FLB40" s="42"/>
      <c r="FLC40" s="38"/>
      <c r="FLD40" s="38"/>
      <c r="FLE40" s="38"/>
      <c r="FLF40" s="39"/>
      <c r="FLG40" s="38"/>
      <c r="FLH40" s="38"/>
      <c r="FLI40" s="38"/>
      <c r="FLJ40" s="40"/>
      <c r="FLK40" s="41"/>
      <c r="FLL40" s="40"/>
      <c r="FLM40" s="38"/>
      <c r="FLN40" s="42"/>
      <c r="FLO40" s="42"/>
      <c r="FLP40" s="42"/>
      <c r="FLQ40" s="38"/>
      <c r="FLR40" s="38"/>
      <c r="FLS40" s="38"/>
      <c r="FLT40" s="39"/>
      <c r="FLU40" s="38"/>
      <c r="FLV40" s="38"/>
      <c r="FLW40" s="38"/>
      <c r="FLX40" s="40"/>
      <c r="FLY40" s="41"/>
      <c r="FLZ40" s="40"/>
      <c r="FMA40" s="38"/>
      <c r="FMB40" s="42"/>
      <c r="FMC40" s="42"/>
      <c r="FMD40" s="42"/>
      <c r="FME40" s="38"/>
      <c r="FMF40" s="38"/>
      <c r="FMG40" s="38"/>
      <c r="FMH40" s="39"/>
      <c r="FMI40" s="38"/>
      <c r="FMJ40" s="38"/>
      <c r="FMK40" s="38"/>
      <c r="FML40" s="40"/>
      <c r="FMM40" s="41"/>
      <c r="FMN40" s="40"/>
      <c r="FMO40" s="38"/>
      <c r="FMP40" s="42"/>
      <c r="FMQ40" s="42"/>
      <c r="FMR40" s="42"/>
      <c r="FMS40" s="38"/>
      <c r="FMT40" s="38"/>
      <c r="FMU40" s="38"/>
      <c r="FMV40" s="39"/>
      <c r="FMW40" s="38"/>
      <c r="FMX40" s="38"/>
      <c r="FMY40" s="38"/>
      <c r="FMZ40" s="40"/>
      <c r="FNA40" s="41"/>
      <c r="FNB40" s="40"/>
      <c r="FNC40" s="38"/>
      <c r="FND40" s="42"/>
      <c r="FNE40" s="42"/>
      <c r="FNF40" s="42"/>
      <c r="FNG40" s="38"/>
      <c r="FNH40" s="38"/>
      <c r="FNI40" s="38"/>
      <c r="FNJ40" s="39"/>
      <c r="FNK40" s="38"/>
      <c r="FNL40" s="38"/>
      <c r="FNM40" s="38"/>
      <c r="FNN40" s="40"/>
      <c r="FNO40" s="41"/>
      <c r="FNP40" s="40"/>
      <c r="FNQ40" s="38"/>
      <c r="FNR40" s="42"/>
      <c r="FNS40" s="42"/>
      <c r="FNT40" s="42"/>
      <c r="FNU40" s="38"/>
      <c r="FNV40" s="38"/>
      <c r="FNW40" s="38"/>
      <c r="FNX40" s="39"/>
      <c r="FNY40" s="38"/>
      <c r="FNZ40" s="38"/>
      <c r="FOA40" s="38"/>
      <c r="FOB40" s="40"/>
      <c r="FOC40" s="41"/>
      <c r="FOD40" s="40"/>
      <c r="FOE40" s="38"/>
      <c r="FOF40" s="42"/>
      <c r="FOG40" s="42"/>
      <c r="FOH40" s="42"/>
      <c r="FOI40" s="38"/>
      <c r="FOJ40" s="38"/>
      <c r="FOK40" s="38"/>
      <c r="FOL40" s="39"/>
      <c r="FOM40" s="38"/>
      <c r="FON40" s="38"/>
      <c r="FOO40" s="38"/>
      <c r="FOP40" s="40"/>
      <c r="FOQ40" s="41"/>
      <c r="FOR40" s="40"/>
      <c r="FOS40" s="38"/>
      <c r="FOT40" s="42"/>
      <c r="FOU40" s="42"/>
      <c r="FOV40" s="42"/>
      <c r="FOW40" s="38"/>
      <c r="FOX40" s="38"/>
      <c r="FOY40" s="38"/>
      <c r="FOZ40" s="39"/>
      <c r="FPA40" s="38"/>
      <c r="FPB40" s="38"/>
      <c r="FPC40" s="38"/>
      <c r="FPD40" s="40"/>
      <c r="FPE40" s="41"/>
      <c r="FPF40" s="40"/>
      <c r="FPG40" s="38"/>
      <c r="FPH40" s="42"/>
      <c r="FPI40" s="42"/>
      <c r="FPJ40" s="42"/>
      <c r="FPK40" s="38"/>
      <c r="FPL40" s="38"/>
      <c r="FPM40" s="38"/>
      <c r="FPN40" s="39"/>
      <c r="FPO40" s="38"/>
      <c r="FPP40" s="38"/>
      <c r="FPQ40" s="38"/>
      <c r="FPR40" s="40"/>
      <c r="FPS40" s="41"/>
      <c r="FPT40" s="40"/>
      <c r="FPU40" s="38"/>
      <c r="FPV40" s="42"/>
      <c r="FPW40" s="42"/>
      <c r="FPX40" s="42"/>
      <c r="FPY40" s="38"/>
      <c r="FPZ40" s="38"/>
      <c r="FQA40" s="38"/>
      <c r="FQB40" s="39"/>
      <c r="FQC40" s="38"/>
      <c r="FQD40" s="38"/>
      <c r="FQE40" s="38"/>
      <c r="FQF40" s="40"/>
      <c r="FQG40" s="41"/>
      <c r="FQH40" s="40"/>
      <c r="FQI40" s="38"/>
      <c r="FQJ40" s="42"/>
      <c r="FQK40" s="42"/>
      <c r="FQL40" s="42"/>
      <c r="FQM40" s="38"/>
      <c r="FQN40" s="38"/>
      <c r="FQO40" s="38"/>
      <c r="FQP40" s="39"/>
      <c r="FQQ40" s="38"/>
      <c r="FQR40" s="38"/>
      <c r="FQS40" s="38"/>
      <c r="FQT40" s="40"/>
      <c r="FQU40" s="41"/>
      <c r="FQV40" s="40"/>
      <c r="FQW40" s="38"/>
      <c r="FQX40" s="42"/>
      <c r="FQY40" s="42"/>
      <c r="FQZ40" s="42"/>
      <c r="FRA40" s="38"/>
      <c r="FRB40" s="38"/>
      <c r="FRC40" s="38"/>
      <c r="FRD40" s="39"/>
      <c r="FRE40" s="38"/>
      <c r="FRF40" s="38"/>
      <c r="FRG40" s="38"/>
      <c r="FRH40" s="40"/>
      <c r="FRI40" s="41"/>
      <c r="FRJ40" s="40"/>
      <c r="FRK40" s="38"/>
      <c r="FRL40" s="42"/>
      <c r="FRM40" s="42"/>
      <c r="FRN40" s="42"/>
      <c r="FRO40" s="38"/>
      <c r="FRP40" s="38"/>
      <c r="FRQ40" s="38"/>
      <c r="FRR40" s="39"/>
      <c r="FRS40" s="38"/>
      <c r="FRT40" s="38"/>
      <c r="FRU40" s="38"/>
      <c r="FRV40" s="40"/>
      <c r="FRW40" s="41"/>
      <c r="FRX40" s="40"/>
      <c r="FRY40" s="38"/>
      <c r="FRZ40" s="42"/>
      <c r="FSA40" s="42"/>
      <c r="FSB40" s="42"/>
      <c r="FSC40" s="38"/>
      <c r="FSD40" s="38"/>
      <c r="FSE40" s="38"/>
      <c r="FSF40" s="39"/>
      <c r="FSG40" s="38"/>
      <c r="FSH40" s="38"/>
      <c r="FSI40" s="38"/>
      <c r="FSJ40" s="40"/>
      <c r="FSK40" s="41"/>
      <c r="FSL40" s="40"/>
      <c r="FSM40" s="38"/>
      <c r="FSN40" s="42"/>
      <c r="FSO40" s="42"/>
      <c r="FSP40" s="42"/>
      <c r="FSQ40" s="38"/>
      <c r="FSR40" s="38"/>
      <c r="FSS40" s="38"/>
      <c r="FST40" s="39"/>
      <c r="FSU40" s="38"/>
      <c r="FSV40" s="38"/>
      <c r="FSW40" s="38"/>
      <c r="FSX40" s="40"/>
      <c r="FSY40" s="41"/>
      <c r="FSZ40" s="40"/>
      <c r="FTA40" s="38"/>
      <c r="FTB40" s="42"/>
      <c r="FTC40" s="42"/>
      <c r="FTD40" s="42"/>
      <c r="FTE40" s="38"/>
      <c r="FTF40" s="38"/>
      <c r="FTG40" s="38"/>
      <c r="FTH40" s="39"/>
      <c r="FTI40" s="38"/>
      <c r="FTJ40" s="38"/>
      <c r="FTK40" s="38"/>
      <c r="FTL40" s="40"/>
      <c r="FTM40" s="41"/>
      <c r="FTN40" s="40"/>
      <c r="FTO40" s="38"/>
      <c r="FTP40" s="42"/>
      <c r="FTQ40" s="42"/>
      <c r="FTR40" s="42"/>
      <c r="FTS40" s="38"/>
      <c r="FTT40" s="38"/>
      <c r="FTU40" s="38"/>
      <c r="FTV40" s="39"/>
      <c r="FTW40" s="38"/>
      <c r="FTX40" s="38"/>
      <c r="FTY40" s="38"/>
      <c r="FTZ40" s="40"/>
      <c r="FUA40" s="41"/>
      <c r="FUB40" s="40"/>
      <c r="FUC40" s="38"/>
      <c r="FUD40" s="42"/>
      <c r="FUE40" s="42"/>
      <c r="FUF40" s="42"/>
      <c r="FUG40" s="38"/>
      <c r="FUH40" s="38"/>
      <c r="FUI40" s="38"/>
      <c r="FUJ40" s="39"/>
      <c r="FUK40" s="38"/>
      <c r="FUL40" s="38"/>
      <c r="FUM40" s="38"/>
      <c r="FUN40" s="40"/>
      <c r="FUO40" s="41"/>
      <c r="FUP40" s="40"/>
      <c r="FUQ40" s="38"/>
      <c r="FUR40" s="42"/>
      <c r="FUS40" s="42"/>
      <c r="FUT40" s="42"/>
      <c r="FUU40" s="38"/>
      <c r="FUV40" s="38"/>
      <c r="FUW40" s="38"/>
      <c r="FUX40" s="39"/>
      <c r="FUY40" s="38"/>
      <c r="FUZ40" s="38"/>
      <c r="FVA40" s="38"/>
      <c r="FVB40" s="40"/>
      <c r="FVC40" s="41"/>
      <c r="FVD40" s="40"/>
      <c r="FVE40" s="38"/>
      <c r="FVF40" s="42"/>
      <c r="FVG40" s="42"/>
      <c r="FVH40" s="42"/>
      <c r="FVI40" s="38"/>
      <c r="FVJ40" s="38"/>
      <c r="FVK40" s="38"/>
      <c r="FVL40" s="39"/>
      <c r="FVM40" s="38"/>
      <c r="FVN40" s="38"/>
      <c r="FVO40" s="38"/>
      <c r="FVP40" s="40"/>
      <c r="FVQ40" s="41"/>
      <c r="FVR40" s="40"/>
      <c r="FVS40" s="38"/>
      <c r="FVT40" s="42"/>
      <c r="FVU40" s="42"/>
      <c r="FVV40" s="42"/>
      <c r="FVW40" s="38"/>
      <c r="FVX40" s="38"/>
      <c r="FVY40" s="38"/>
      <c r="FVZ40" s="39"/>
      <c r="FWA40" s="38"/>
      <c r="FWB40" s="38"/>
      <c r="FWC40" s="38"/>
      <c r="FWD40" s="40"/>
      <c r="FWE40" s="41"/>
      <c r="FWF40" s="40"/>
      <c r="FWG40" s="38"/>
      <c r="FWH40" s="42"/>
      <c r="FWI40" s="42"/>
      <c r="FWJ40" s="42"/>
      <c r="FWK40" s="38"/>
      <c r="FWL40" s="38"/>
      <c r="FWM40" s="38"/>
      <c r="FWN40" s="39"/>
      <c r="FWO40" s="38"/>
      <c r="FWP40" s="38"/>
      <c r="FWQ40" s="38"/>
      <c r="FWR40" s="40"/>
      <c r="FWS40" s="41"/>
      <c r="FWT40" s="40"/>
      <c r="FWU40" s="38"/>
      <c r="FWV40" s="42"/>
      <c r="FWW40" s="42"/>
      <c r="FWX40" s="42"/>
      <c r="FWY40" s="38"/>
      <c r="FWZ40" s="38"/>
      <c r="FXA40" s="38"/>
      <c r="FXB40" s="39"/>
      <c r="FXC40" s="38"/>
      <c r="FXD40" s="38"/>
      <c r="FXE40" s="38"/>
      <c r="FXF40" s="40"/>
      <c r="FXG40" s="41"/>
      <c r="FXH40" s="40"/>
      <c r="FXI40" s="38"/>
      <c r="FXJ40" s="42"/>
      <c r="FXK40" s="42"/>
      <c r="FXL40" s="42"/>
      <c r="FXM40" s="38"/>
      <c r="FXN40" s="38"/>
      <c r="FXO40" s="38"/>
      <c r="FXP40" s="39"/>
      <c r="FXQ40" s="38"/>
      <c r="FXR40" s="38"/>
      <c r="FXS40" s="38"/>
      <c r="FXT40" s="40"/>
      <c r="FXU40" s="41"/>
      <c r="FXV40" s="40"/>
      <c r="FXW40" s="38"/>
      <c r="FXX40" s="42"/>
      <c r="FXY40" s="42"/>
      <c r="FXZ40" s="42"/>
      <c r="FYA40" s="38"/>
      <c r="FYB40" s="38"/>
      <c r="FYC40" s="38"/>
      <c r="FYD40" s="39"/>
      <c r="FYE40" s="38"/>
      <c r="FYF40" s="38"/>
      <c r="FYG40" s="38"/>
      <c r="FYH40" s="40"/>
      <c r="FYI40" s="41"/>
      <c r="FYJ40" s="40"/>
      <c r="FYK40" s="38"/>
      <c r="FYL40" s="42"/>
      <c r="FYM40" s="42"/>
      <c r="FYN40" s="42"/>
      <c r="FYO40" s="38"/>
      <c r="FYP40" s="38"/>
      <c r="FYQ40" s="38"/>
      <c r="FYR40" s="39"/>
      <c r="FYS40" s="38"/>
      <c r="FYT40" s="38"/>
      <c r="FYU40" s="38"/>
      <c r="FYV40" s="40"/>
      <c r="FYW40" s="41"/>
      <c r="FYX40" s="40"/>
      <c r="FYY40" s="38"/>
      <c r="FYZ40" s="42"/>
      <c r="FZA40" s="42"/>
      <c r="FZB40" s="42"/>
      <c r="FZC40" s="38"/>
      <c r="FZD40" s="38"/>
      <c r="FZE40" s="38"/>
      <c r="FZF40" s="39"/>
      <c r="FZG40" s="38"/>
      <c r="FZH40" s="38"/>
      <c r="FZI40" s="38"/>
      <c r="FZJ40" s="40"/>
      <c r="FZK40" s="41"/>
      <c r="FZL40" s="40"/>
      <c r="FZM40" s="38"/>
      <c r="FZN40" s="42"/>
      <c r="FZO40" s="42"/>
      <c r="FZP40" s="42"/>
      <c r="FZQ40" s="38"/>
      <c r="FZR40" s="38"/>
      <c r="FZS40" s="38"/>
      <c r="FZT40" s="39"/>
      <c r="FZU40" s="38"/>
      <c r="FZV40" s="38"/>
      <c r="FZW40" s="38"/>
      <c r="FZX40" s="40"/>
      <c r="FZY40" s="41"/>
      <c r="FZZ40" s="40"/>
      <c r="GAA40" s="38"/>
      <c r="GAB40" s="42"/>
      <c r="GAC40" s="42"/>
      <c r="GAD40" s="42"/>
      <c r="GAE40" s="38"/>
      <c r="GAF40" s="38"/>
      <c r="GAG40" s="38"/>
      <c r="GAH40" s="39"/>
      <c r="GAI40" s="38"/>
      <c r="GAJ40" s="38"/>
      <c r="GAK40" s="38"/>
      <c r="GAL40" s="40"/>
      <c r="GAM40" s="41"/>
      <c r="GAN40" s="40"/>
      <c r="GAO40" s="38"/>
      <c r="GAP40" s="42"/>
      <c r="GAQ40" s="42"/>
      <c r="GAR40" s="42"/>
      <c r="GAS40" s="38"/>
      <c r="GAT40" s="38"/>
      <c r="GAU40" s="38"/>
      <c r="GAV40" s="39"/>
      <c r="GAW40" s="38"/>
      <c r="GAX40" s="38"/>
      <c r="GAY40" s="38"/>
      <c r="GAZ40" s="40"/>
      <c r="GBA40" s="41"/>
      <c r="GBB40" s="40"/>
      <c r="GBC40" s="38"/>
      <c r="GBD40" s="42"/>
      <c r="GBE40" s="42"/>
      <c r="GBF40" s="42"/>
      <c r="GBG40" s="38"/>
      <c r="GBH40" s="38"/>
      <c r="GBI40" s="38"/>
      <c r="GBJ40" s="39"/>
      <c r="GBK40" s="38"/>
      <c r="GBL40" s="38"/>
      <c r="GBM40" s="38"/>
      <c r="GBN40" s="40"/>
      <c r="GBO40" s="41"/>
      <c r="GBP40" s="40"/>
      <c r="GBQ40" s="38"/>
      <c r="GBR40" s="42"/>
      <c r="GBS40" s="42"/>
      <c r="GBT40" s="42"/>
      <c r="GBU40" s="38"/>
      <c r="GBV40" s="38"/>
      <c r="GBW40" s="38"/>
      <c r="GBX40" s="39"/>
      <c r="GBY40" s="38"/>
      <c r="GBZ40" s="38"/>
      <c r="GCA40" s="38"/>
      <c r="GCB40" s="40"/>
      <c r="GCC40" s="41"/>
      <c r="GCD40" s="40"/>
      <c r="GCE40" s="38"/>
      <c r="GCF40" s="42"/>
      <c r="GCG40" s="42"/>
      <c r="GCH40" s="42"/>
      <c r="GCI40" s="38"/>
      <c r="GCJ40" s="38"/>
      <c r="GCK40" s="38"/>
      <c r="GCL40" s="39"/>
      <c r="GCM40" s="38"/>
      <c r="GCN40" s="38"/>
      <c r="GCO40" s="38"/>
      <c r="GCP40" s="40"/>
      <c r="GCQ40" s="41"/>
      <c r="GCR40" s="40"/>
      <c r="GCS40" s="38"/>
      <c r="GCT40" s="42"/>
      <c r="GCU40" s="42"/>
      <c r="GCV40" s="42"/>
      <c r="GCW40" s="38"/>
      <c r="GCX40" s="38"/>
      <c r="GCY40" s="38"/>
      <c r="GCZ40" s="39"/>
      <c r="GDA40" s="38"/>
      <c r="GDB40" s="38"/>
      <c r="GDC40" s="38"/>
      <c r="GDD40" s="40"/>
      <c r="GDE40" s="41"/>
      <c r="GDF40" s="40"/>
      <c r="GDG40" s="38"/>
      <c r="GDH40" s="42"/>
      <c r="GDI40" s="42"/>
      <c r="GDJ40" s="42"/>
      <c r="GDK40" s="38"/>
      <c r="GDL40" s="38"/>
      <c r="GDM40" s="38"/>
      <c r="GDN40" s="39"/>
      <c r="GDO40" s="38"/>
      <c r="GDP40" s="38"/>
      <c r="GDQ40" s="38"/>
      <c r="GDR40" s="40"/>
      <c r="GDS40" s="41"/>
      <c r="GDT40" s="40"/>
      <c r="GDU40" s="38"/>
      <c r="GDV40" s="42"/>
      <c r="GDW40" s="42"/>
      <c r="GDX40" s="42"/>
      <c r="GDY40" s="38"/>
      <c r="GDZ40" s="38"/>
      <c r="GEA40" s="38"/>
      <c r="GEB40" s="39"/>
      <c r="GEC40" s="38"/>
      <c r="GED40" s="38"/>
      <c r="GEE40" s="38"/>
      <c r="GEF40" s="40"/>
      <c r="GEG40" s="41"/>
      <c r="GEH40" s="40"/>
      <c r="GEI40" s="38"/>
      <c r="GEJ40" s="42"/>
      <c r="GEK40" s="42"/>
      <c r="GEL40" s="42"/>
      <c r="GEM40" s="38"/>
      <c r="GEN40" s="38"/>
      <c r="GEO40" s="38"/>
      <c r="GEP40" s="39"/>
      <c r="GEQ40" s="38"/>
      <c r="GER40" s="38"/>
      <c r="GES40" s="38"/>
      <c r="GET40" s="40"/>
      <c r="GEU40" s="41"/>
      <c r="GEV40" s="40"/>
      <c r="GEW40" s="38"/>
      <c r="GEX40" s="42"/>
      <c r="GEY40" s="42"/>
      <c r="GEZ40" s="42"/>
      <c r="GFA40" s="38"/>
      <c r="GFB40" s="38"/>
      <c r="GFC40" s="38"/>
      <c r="GFD40" s="39"/>
      <c r="GFE40" s="38"/>
      <c r="GFF40" s="38"/>
      <c r="GFG40" s="38"/>
      <c r="GFH40" s="40"/>
      <c r="GFI40" s="41"/>
      <c r="GFJ40" s="40"/>
      <c r="GFK40" s="38"/>
      <c r="GFL40" s="42"/>
      <c r="GFM40" s="42"/>
      <c r="GFN40" s="42"/>
      <c r="GFO40" s="38"/>
      <c r="GFP40" s="38"/>
      <c r="GFQ40" s="38"/>
      <c r="GFR40" s="39"/>
      <c r="GFS40" s="38"/>
      <c r="GFT40" s="38"/>
      <c r="GFU40" s="38"/>
      <c r="GFV40" s="40"/>
      <c r="GFW40" s="41"/>
      <c r="GFX40" s="40"/>
      <c r="GFY40" s="38"/>
      <c r="GFZ40" s="42"/>
      <c r="GGA40" s="42"/>
      <c r="GGB40" s="42"/>
      <c r="GGC40" s="38"/>
      <c r="GGD40" s="38"/>
      <c r="GGE40" s="38"/>
      <c r="GGF40" s="39"/>
      <c r="GGG40" s="38"/>
      <c r="GGH40" s="38"/>
      <c r="GGI40" s="38"/>
      <c r="GGJ40" s="40"/>
      <c r="GGK40" s="41"/>
      <c r="GGL40" s="40"/>
      <c r="GGM40" s="38"/>
      <c r="GGN40" s="42"/>
      <c r="GGO40" s="42"/>
      <c r="GGP40" s="42"/>
      <c r="GGQ40" s="38"/>
      <c r="GGR40" s="38"/>
      <c r="GGS40" s="38"/>
      <c r="GGT40" s="39"/>
      <c r="GGU40" s="38"/>
      <c r="GGV40" s="38"/>
      <c r="GGW40" s="38"/>
      <c r="GGX40" s="40"/>
      <c r="GGY40" s="41"/>
      <c r="GGZ40" s="40"/>
      <c r="GHA40" s="38"/>
      <c r="GHB40" s="42"/>
      <c r="GHC40" s="42"/>
      <c r="GHD40" s="42"/>
      <c r="GHE40" s="38"/>
      <c r="GHF40" s="38"/>
      <c r="GHG40" s="38"/>
      <c r="GHH40" s="39"/>
      <c r="GHI40" s="38"/>
      <c r="GHJ40" s="38"/>
      <c r="GHK40" s="38"/>
      <c r="GHL40" s="40"/>
      <c r="GHM40" s="41"/>
      <c r="GHN40" s="40"/>
      <c r="GHO40" s="38"/>
      <c r="GHP40" s="42"/>
      <c r="GHQ40" s="42"/>
      <c r="GHR40" s="42"/>
      <c r="GHS40" s="38"/>
      <c r="GHT40" s="38"/>
      <c r="GHU40" s="38"/>
      <c r="GHV40" s="39"/>
      <c r="GHW40" s="38"/>
      <c r="GHX40" s="38"/>
      <c r="GHY40" s="38"/>
      <c r="GHZ40" s="40"/>
      <c r="GIA40" s="41"/>
      <c r="GIB40" s="40"/>
      <c r="GIC40" s="38"/>
      <c r="GID40" s="42"/>
      <c r="GIE40" s="42"/>
      <c r="GIF40" s="42"/>
      <c r="GIG40" s="38"/>
      <c r="GIH40" s="38"/>
      <c r="GII40" s="38"/>
      <c r="GIJ40" s="39"/>
      <c r="GIK40" s="38"/>
      <c r="GIL40" s="38"/>
      <c r="GIM40" s="38"/>
      <c r="GIN40" s="40"/>
      <c r="GIO40" s="41"/>
      <c r="GIP40" s="40"/>
      <c r="GIQ40" s="38"/>
      <c r="GIR40" s="42"/>
      <c r="GIS40" s="42"/>
      <c r="GIT40" s="42"/>
      <c r="GIU40" s="38"/>
      <c r="GIV40" s="38"/>
      <c r="GIW40" s="38"/>
      <c r="GIX40" s="39"/>
      <c r="GIY40" s="38"/>
      <c r="GIZ40" s="38"/>
      <c r="GJA40" s="38"/>
      <c r="GJB40" s="40"/>
      <c r="GJC40" s="41"/>
      <c r="GJD40" s="40"/>
      <c r="GJE40" s="38"/>
      <c r="GJF40" s="42"/>
      <c r="GJG40" s="42"/>
      <c r="GJH40" s="42"/>
      <c r="GJI40" s="38"/>
      <c r="GJJ40" s="38"/>
      <c r="GJK40" s="38"/>
      <c r="GJL40" s="39"/>
      <c r="GJM40" s="38"/>
      <c r="GJN40" s="38"/>
      <c r="GJO40" s="38"/>
      <c r="GJP40" s="40"/>
      <c r="GJQ40" s="41"/>
      <c r="GJR40" s="40"/>
      <c r="GJS40" s="38"/>
      <c r="GJT40" s="42"/>
      <c r="GJU40" s="42"/>
      <c r="GJV40" s="42"/>
      <c r="GJW40" s="38"/>
      <c r="GJX40" s="38"/>
      <c r="GJY40" s="38"/>
      <c r="GJZ40" s="39"/>
      <c r="GKA40" s="38"/>
      <c r="GKB40" s="38"/>
      <c r="GKC40" s="38"/>
      <c r="GKD40" s="40"/>
      <c r="GKE40" s="41"/>
      <c r="GKF40" s="40"/>
      <c r="GKG40" s="38"/>
      <c r="GKH40" s="42"/>
      <c r="GKI40" s="42"/>
      <c r="GKJ40" s="42"/>
      <c r="GKK40" s="38"/>
      <c r="GKL40" s="38"/>
      <c r="GKM40" s="38"/>
      <c r="GKN40" s="39"/>
      <c r="GKO40" s="38"/>
      <c r="GKP40" s="38"/>
      <c r="GKQ40" s="38"/>
      <c r="GKR40" s="40"/>
      <c r="GKS40" s="41"/>
      <c r="GKT40" s="40"/>
      <c r="GKU40" s="38"/>
      <c r="GKV40" s="42"/>
      <c r="GKW40" s="42"/>
      <c r="GKX40" s="42"/>
      <c r="GKY40" s="38"/>
      <c r="GKZ40" s="38"/>
      <c r="GLA40" s="38"/>
      <c r="GLB40" s="39"/>
      <c r="GLC40" s="38"/>
      <c r="GLD40" s="38"/>
      <c r="GLE40" s="38"/>
      <c r="GLF40" s="40"/>
      <c r="GLG40" s="41"/>
      <c r="GLH40" s="40"/>
      <c r="GLI40" s="38"/>
      <c r="GLJ40" s="42"/>
      <c r="GLK40" s="42"/>
      <c r="GLL40" s="42"/>
      <c r="GLM40" s="38"/>
      <c r="GLN40" s="38"/>
      <c r="GLO40" s="38"/>
      <c r="GLP40" s="39"/>
      <c r="GLQ40" s="38"/>
      <c r="GLR40" s="38"/>
      <c r="GLS40" s="38"/>
      <c r="GLT40" s="40"/>
      <c r="GLU40" s="41"/>
      <c r="GLV40" s="40"/>
      <c r="GLW40" s="38"/>
      <c r="GLX40" s="42"/>
      <c r="GLY40" s="42"/>
      <c r="GLZ40" s="42"/>
      <c r="GMA40" s="38"/>
      <c r="GMB40" s="38"/>
      <c r="GMC40" s="38"/>
      <c r="GMD40" s="39"/>
      <c r="GME40" s="38"/>
      <c r="GMF40" s="38"/>
      <c r="GMG40" s="38"/>
      <c r="GMH40" s="40"/>
      <c r="GMI40" s="41"/>
      <c r="GMJ40" s="40"/>
      <c r="GMK40" s="38"/>
      <c r="GML40" s="42"/>
      <c r="GMM40" s="42"/>
      <c r="GMN40" s="42"/>
      <c r="GMO40" s="38"/>
      <c r="GMP40" s="38"/>
      <c r="GMQ40" s="38"/>
      <c r="GMR40" s="39"/>
      <c r="GMS40" s="38"/>
      <c r="GMT40" s="38"/>
      <c r="GMU40" s="38"/>
      <c r="GMV40" s="40"/>
      <c r="GMW40" s="41"/>
      <c r="GMX40" s="40"/>
      <c r="GMY40" s="38"/>
      <c r="GMZ40" s="42"/>
      <c r="GNA40" s="42"/>
      <c r="GNB40" s="42"/>
      <c r="GNC40" s="38"/>
      <c r="GND40" s="38"/>
      <c r="GNE40" s="38"/>
      <c r="GNF40" s="39"/>
      <c r="GNG40" s="38"/>
      <c r="GNH40" s="38"/>
      <c r="GNI40" s="38"/>
      <c r="GNJ40" s="40"/>
      <c r="GNK40" s="41"/>
      <c r="GNL40" s="40"/>
      <c r="GNM40" s="38"/>
      <c r="GNN40" s="42"/>
      <c r="GNO40" s="42"/>
      <c r="GNP40" s="42"/>
      <c r="GNQ40" s="38"/>
      <c r="GNR40" s="38"/>
      <c r="GNS40" s="38"/>
      <c r="GNT40" s="39"/>
      <c r="GNU40" s="38"/>
      <c r="GNV40" s="38"/>
      <c r="GNW40" s="38"/>
      <c r="GNX40" s="40"/>
      <c r="GNY40" s="41"/>
      <c r="GNZ40" s="40"/>
      <c r="GOA40" s="38"/>
      <c r="GOB40" s="42"/>
      <c r="GOC40" s="42"/>
      <c r="GOD40" s="42"/>
      <c r="GOE40" s="38"/>
      <c r="GOF40" s="38"/>
      <c r="GOG40" s="38"/>
      <c r="GOH40" s="39"/>
      <c r="GOI40" s="38"/>
      <c r="GOJ40" s="38"/>
      <c r="GOK40" s="38"/>
      <c r="GOL40" s="40"/>
      <c r="GOM40" s="41"/>
      <c r="GON40" s="40"/>
      <c r="GOO40" s="38"/>
      <c r="GOP40" s="42"/>
      <c r="GOQ40" s="42"/>
      <c r="GOR40" s="42"/>
      <c r="GOS40" s="38"/>
      <c r="GOT40" s="38"/>
      <c r="GOU40" s="38"/>
      <c r="GOV40" s="39"/>
      <c r="GOW40" s="38"/>
      <c r="GOX40" s="38"/>
      <c r="GOY40" s="38"/>
      <c r="GOZ40" s="40"/>
      <c r="GPA40" s="41"/>
      <c r="GPB40" s="40"/>
      <c r="GPC40" s="38"/>
      <c r="GPD40" s="42"/>
      <c r="GPE40" s="42"/>
      <c r="GPF40" s="42"/>
      <c r="GPG40" s="38"/>
      <c r="GPH40" s="38"/>
      <c r="GPI40" s="38"/>
      <c r="GPJ40" s="39"/>
      <c r="GPK40" s="38"/>
      <c r="GPL40" s="38"/>
      <c r="GPM40" s="38"/>
      <c r="GPN40" s="40"/>
      <c r="GPO40" s="41"/>
      <c r="GPP40" s="40"/>
      <c r="GPQ40" s="38"/>
      <c r="GPR40" s="42"/>
      <c r="GPS40" s="42"/>
      <c r="GPT40" s="42"/>
      <c r="GPU40" s="38"/>
      <c r="GPV40" s="38"/>
      <c r="GPW40" s="38"/>
      <c r="GPX40" s="39"/>
      <c r="GPY40" s="38"/>
      <c r="GPZ40" s="38"/>
      <c r="GQA40" s="38"/>
      <c r="GQB40" s="40"/>
      <c r="GQC40" s="41"/>
      <c r="GQD40" s="40"/>
      <c r="GQE40" s="38"/>
      <c r="GQF40" s="42"/>
      <c r="GQG40" s="42"/>
      <c r="GQH40" s="42"/>
      <c r="GQI40" s="38"/>
      <c r="GQJ40" s="38"/>
      <c r="GQK40" s="38"/>
      <c r="GQL40" s="39"/>
      <c r="GQM40" s="38"/>
      <c r="GQN40" s="38"/>
      <c r="GQO40" s="38"/>
      <c r="GQP40" s="40"/>
      <c r="GQQ40" s="41"/>
      <c r="GQR40" s="40"/>
      <c r="GQS40" s="38"/>
      <c r="GQT40" s="42"/>
      <c r="GQU40" s="42"/>
      <c r="GQV40" s="42"/>
      <c r="GQW40" s="38"/>
      <c r="GQX40" s="38"/>
      <c r="GQY40" s="38"/>
      <c r="GQZ40" s="39"/>
      <c r="GRA40" s="38"/>
      <c r="GRB40" s="38"/>
      <c r="GRC40" s="38"/>
      <c r="GRD40" s="40"/>
      <c r="GRE40" s="41"/>
      <c r="GRF40" s="40"/>
      <c r="GRG40" s="38"/>
      <c r="GRH40" s="42"/>
      <c r="GRI40" s="42"/>
      <c r="GRJ40" s="42"/>
      <c r="GRK40" s="38"/>
      <c r="GRL40" s="38"/>
      <c r="GRM40" s="38"/>
      <c r="GRN40" s="39"/>
      <c r="GRO40" s="38"/>
      <c r="GRP40" s="38"/>
      <c r="GRQ40" s="38"/>
      <c r="GRR40" s="40"/>
      <c r="GRS40" s="41"/>
      <c r="GRT40" s="40"/>
      <c r="GRU40" s="38"/>
      <c r="GRV40" s="42"/>
      <c r="GRW40" s="42"/>
      <c r="GRX40" s="42"/>
      <c r="GRY40" s="38"/>
      <c r="GRZ40" s="38"/>
      <c r="GSA40" s="38"/>
      <c r="GSB40" s="39"/>
      <c r="GSC40" s="38"/>
      <c r="GSD40" s="38"/>
      <c r="GSE40" s="38"/>
      <c r="GSF40" s="40"/>
      <c r="GSG40" s="41"/>
      <c r="GSH40" s="40"/>
      <c r="GSI40" s="38"/>
      <c r="GSJ40" s="42"/>
      <c r="GSK40" s="42"/>
      <c r="GSL40" s="42"/>
      <c r="GSM40" s="38"/>
      <c r="GSN40" s="38"/>
      <c r="GSO40" s="38"/>
      <c r="GSP40" s="39"/>
      <c r="GSQ40" s="38"/>
      <c r="GSR40" s="38"/>
      <c r="GSS40" s="38"/>
      <c r="GST40" s="40"/>
      <c r="GSU40" s="41"/>
      <c r="GSV40" s="40"/>
      <c r="GSW40" s="38"/>
      <c r="GSX40" s="42"/>
      <c r="GSY40" s="42"/>
      <c r="GSZ40" s="42"/>
      <c r="GTA40" s="38"/>
      <c r="GTB40" s="38"/>
      <c r="GTC40" s="38"/>
      <c r="GTD40" s="39"/>
      <c r="GTE40" s="38"/>
      <c r="GTF40" s="38"/>
      <c r="GTG40" s="38"/>
      <c r="GTH40" s="40"/>
      <c r="GTI40" s="41"/>
      <c r="GTJ40" s="40"/>
      <c r="GTK40" s="38"/>
      <c r="GTL40" s="42"/>
      <c r="GTM40" s="42"/>
      <c r="GTN40" s="42"/>
      <c r="GTO40" s="38"/>
      <c r="GTP40" s="38"/>
      <c r="GTQ40" s="38"/>
      <c r="GTR40" s="39"/>
      <c r="GTS40" s="38"/>
      <c r="GTT40" s="38"/>
      <c r="GTU40" s="38"/>
      <c r="GTV40" s="40"/>
      <c r="GTW40" s="41"/>
      <c r="GTX40" s="40"/>
      <c r="GTY40" s="38"/>
      <c r="GTZ40" s="42"/>
      <c r="GUA40" s="42"/>
      <c r="GUB40" s="42"/>
      <c r="GUC40" s="38"/>
      <c r="GUD40" s="38"/>
      <c r="GUE40" s="38"/>
      <c r="GUF40" s="39"/>
      <c r="GUG40" s="38"/>
      <c r="GUH40" s="38"/>
      <c r="GUI40" s="38"/>
      <c r="GUJ40" s="40"/>
      <c r="GUK40" s="41"/>
      <c r="GUL40" s="40"/>
      <c r="GUM40" s="38"/>
      <c r="GUN40" s="42"/>
      <c r="GUO40" s="42"/>
      <c r="GUP40" s="42"/>
      <c r="GUQ40" s="38"/>
      <c r="GUR40" s="38"/>
      <c r="GUS40" s="38"/>
      <c r="GUT40" s="39"/>
      <c r="GUU40" s="38"/>
      <c r="GUV40" s="38"/>
      <c r="GUW40" s="38"/>
      <c r="GUX40" s="40"/>
      <c r="GUY40" s="41"/>
      <c r="GUZ40" s="40"/>
      <c r="GVA40" s="38"/>
      <c r="GVB40" s="42"/>
      <c r="GVC40" s="42"/>
      <c r="GVD40" s="42"/>
      <c r="GVE40" s="38"/>
      <c r="GVF40" s="38"/>
      <c r="GVG40" s="38"/>
      <c r="GVH40" s="39"/>
      <c r="GVI40" s="38"/>
      <c r="GVJ40" s="38"/>
      <c r="GVK40" s="38"/>
      <c r="GVL40" s="40"/>
      <c r="GVM40" s="41"/>
      <c r="GVN40" s="40"/>
      <c r="GVO40" s="38"/>
      <c r="GVP40" s="42"/>
      <c r="GVQ40" s="42"/>
      <c r="GVR40" s="42"/>
      <c r="GVS40" s="38"/>
      <c r="GVT40" s="38"/>
      <c r="GVU40" s="38"/>
      <c r="GVV40" s="39"/>
      <c r="GVW40" s="38"/>
      <c r="GVX40" s="38"/>
      <c r="GVY40" s="38"/>
      <c r="GVZ40" s="40"/>
      <c r="GWA40" s="41"/>
      <c r="GWB40" s="40"/>
      <c r="GWC40" s="38"/>
      <c r="GWD40" s="42"/>
      <c r="GWE40" s="42"/>
      <c r="GWF40" s="42"/>
      <c r="GWG40" s="38"/>
      <c r="GWH40" s="38"/>
      <c r="GWI40" s="38"/>
      <c r="GWJ40" s="39"/>
      <c r="GWK40" s="38"/>
      <c r="GWL40" s="38"/>
      <c r="GWM40" s="38"/>
      <c r="GWN40" s="40"/>
      <c r="GWO40" s="41"/>
      <c r="GWP40" s="40"/>
      <c r="GWQ40" s="38"/>
      <c r="GWR40" s="42"/>
      <c r="GWS40" s="42"/>
      <c r="GWT40" s="42"/>
      <c r="GWU40" s="38"/>
      <c r="GWV40" s="38"/>
      <c r="GWW40" s="38"/>
      <c r="GWX40" s="39"/>
      <c r="GWY40" s="38"/>
      <c r="GWZ40" s="38"/>
      <c r="GXA40" s="38"/>
      <c r="GXB40" s="40"/>
      <c r="GXC40" s="41"/>
      <c r="GXD40" s="40"/>
      <c r="GXE40" s="38"/>
      <c r="GXF40" s="42"/>
      <c r="GXG40" s="42"/>
      <c r="GXH40" s="42"/>
      <c r="GXI40" s="38"/>
      <c r="GXJ40" s="38"/>
      <c r="GXK40" s="38"/>
      <c r="GXL40" s="39"/>
      <c r="GXM40" s="38"/>
      <c r="GXN40" s="38"/>
      <c r="GXO40" s="38"/>
      <c r="GXP40" s="40"/>
      <c r="GXQ40" s="41"/>
      <c r="GXR40" s="40"/>
      <c r="GXS40" s="38"/>
      <c r="GXT40" s="42"/>
      <c r="GXU40" s="42"/>
      <c r="GXV40" s="42"/>
      <c r="GXW40" s="38"/>
      <c r="GXX40" s="38"/>
      <c r="GXY40" s="38"/>
      <c r="GXZ40" s="39"/>
      <c r="GYA40" s="38"/>
      <c r="GYB40" s="38"/>
      <c r="GYC40" s="38"/>
      <c r="GYD40" s="40"/>
      <c r="GYE40" s="41"/>
      <c r="GYF40" s="40"/>
      <c r="GYG40" s="38"/>
      <c r="GYH40" s="42"/>
      <c r="GYI40" s="42"/>
      <c r="GYJ40" s="42"/>
      <c r="GYK40" s="38"/>
      <c r="GYL40" s="38"/>
      <c r="GYM40" s="38"/>
      <c r="GYN40" s="39"/>
      <c r="GYO40" s="38"/>
      <c r="GYP40" s="38"/>
      <c r="GYQ40" s="38"/>
      <c r="GYR40" s="40"/>
      <c r="GYS40" s="41"/>
      <c r="GYT40" s="40"/>
      <c r="GYU40" s="38"/>
      <c r="GYV40" s="42"/>
      <c r="GYW40" s="42"/>
      <c r="GYX40" s="42"/>
      <c r="GYY40" s="38"/>
      <c r="GYZ40" s="38"/>
      <c r="GZA40" s="38"/>
      <c r="GZB40" s="39"/>
      <c r="GZC40" s="38"/>
      <c r="GZD40" s="38"/>
      <c r="GZE40" s="38"/>
      <c r="GZF40" s="40"/>
      <c r="GZG40" s="41"/>
      <c r="GZH40" s="40"/>
      <c r="GZI40" s="38"/>
      <c r="GZJ40" s="42"/>
      <c r="GZK40" s="42"/>
      <c r="GZL40" s="42"/>
      <c r="GZM40" s="38"/>
      <c r="GZN40" s="38"/>
      <c r="GZO40" s="38"/>
      <c r="GZP40" s="39"/>
      <c r="GZQ40" s="38"/>
      <c r="GZR40" s="38"/>
      <c r="GZS40" s="38"/>
      <c r="GZT40" s="40"/>
      <c r="GZU40" s="41"/>
      <c r="GZV40" s="40"/>
      <c r="GZW40" s="38"/>
      <c r="GZX40" s="42"/>
      <c r="GZY40" s="42"/>
      <c r="GZZ40" s="42"/>
      <c r="HAA40" s="38"/>
      <c r="HAB40" s="38"/>
      <c r="HAC40" s="38"/>
      <c r="HAD40" s="39"/>
      <c r="HAE40" s="38"/>
      <c r="HAF40" s="38"/>
      <c r="HAG40" s="38"/>
      <c r="HAH40" s="40"/>
      <c r="HAI40" s="41"/>
      <c r="HAJ40" s="40"/>
      <c r="HAK40" s="38"/>
      <c r="HAL40" s="42"/>
      <c r="HAM40" s="42"/>
      <c r="HAN40" s="42"/>
      <c r="HAO40" s="38"/>
      <c r="HAP40" s="38"/>
      <c r="HAQ40" s="38"/>
      <c r="HAR40" s="39"/>
      <c r="HAS40" s="38"/>
      <c r="HAT40" s="38"/>
      <c r="HAU40" s="38"/>
      <c r="HAV40" s="40"/>
      <c r="HAW40" s="41"/>
      <c r="HAX40" s="40"/>
      <c r="HAY40" s="38"/>
      <c r="HAZ40" s="42"/>
      <c r="HBA40" s="42"/>
      <c r="HBB40" s="42"/>
      <c r="HBC40" s="38"/>
      <c r="HBD40" s="38"/>
      <c r="HBE40" s="38"/>
      <c r="HBF40" s="39"/>
      <c r="HBG40" s="38"/>
      <c r="HBH40" s="38"/>
      <c r="HBI40" s="38"/>
      <c r="HBJ40" s="40"/>
      <c r="HBK40" s="41"/>
      <c r="HBL40" s="40"/>
      <c r="HBM40" s="38"/>
      <c r="HBN40" s="42"/>
      <c r="HBO40" s="42"/>
      <c r="HBP40" s="42"/>
      <c r="HBQ40" s="38"/>
      <c r="HBR40" s="38"/>
      <c r="HBS40" s="38"/>
      <c r="HBT40" s="39"/>
      <c r="HBU40" s="38"/>
      <c r="HBV40" s="38"/>
      <c r="HBW40" s="38"/>
      <c r="HBX40" s="40"/>
      <c r="HBY40" s="41"/>
      <c r="HBZ40" s="40"/>
      <c r="HCA40" s="38"/>
      <c r="HCB40" s="42"/>
      <c r="HCC40" s="42"/>
      <c r="HCD40" s="42"/>
      <c r="HCE40" s="38"/>
      <c r="HCF40" s="38"/>
      <c r="HCG40" s="38"/>
      <c r="HCH40" s="39"/>
      <c r="HCI40" s="38"/>
      <c r="HCJ40" s="38"/>
      <c r="HCK40" s="38"/>
      <c r="HCL40" s="40"/>
      <c r="HCM40" s="41"/>
      <c r="HCN40" s="40"/>
      <c r="HCO40" s="38"/>
      <c r="HCP40" s="42"/>
      <c r="HCQ40" s="42"/>
      <c r="HCR40" s="42"/>
      <c r="HCS40" s="38"/>
      <c r="HCT40" s="38"/>
      <c r="HCU40" s="38"/>
      <c r="HCV40" s="39"/>
      <c r="HCW40" s="38"/>
      <c r="HCX40" s="38"/>
      <c r="HCY40" s="38"/>
      <c r="HCZ40" s="40"/>
      <c r="HDA40" s="41"/>
      <c r="HDB40" s="40"/>
      <c r="HDC40" s="38"/>
      <c r="HDD40" s="42"/>
      <c r="HDE40" s="42"/>
      <c r="HDF40" s="42"/>
      <c r="HDG40" s="38"/>
      <c r="HDH40" s="38"/>
      <c r="HDI40" s="38"/>
      <c r="HDJ40" s="39"/>
      <c r="HDK40" s="38"/>
      <c r="HDL40" s="38"/>
      <c r="HDM40" s="38"/>
      <c r="HDN40" s="40"/>
      <c r="HDO40" s="41"/>
      <c r="HDP40" s="40"/>
      <c r="HDQ40" s="38"/>
      <c r="HDR40" s="42"/>
      <c r="HDS40" s="42"/>
      <c r="HDT40" s="42"/>
      <c r="HDU40" s="38"/>
      <c r="HDV40" s="38"/>
      <c r="HDW40" s="38"/>
      <c r="HDX40" s="39"/>
      <c r="HDY40" s="38"/>
      <c r="HDZ40" s="38"/>
      <c r="HEA40" s="38"/>
      <c r="HEB40" s="40"/>
      <c r="HEC40" s="41"/>
      <c r="HED40" s="40"/>
      <c r="HEE40" s="38"/>
      <c r="HEF40" s="42"/>
      <c r="HEG40" s="42"/>
      <c r="HEH40" s="42"/>
      <c r="HEI40" s="38"/>
      <c r="HEJ40" s="38"/>
      <c r="HEK40" s="38"/>
      <c r="HEL40" s="39"/>
      <c r="HEM40" s="38"/>
      <c r="HEN40" s="38"/>
      <c r="HEO40" s="38"/>
      <c r="HEP40" s="40"/>
      <c r="HEQ40" s="41"/>
      <c r="HER40" s="40"/>
      <c r="HES40" s="38"/>
      <c r="HET40" s="42"/>
      <c r="HEU40" s="42"/>
      <c r="HEV40" s="42"/>
      <c r="HEW40" s="38"/>
      <c r="HEX40" s="38"/>
      <c r="HEY40" s="38"/>
      <c r="HEZ40" s="39"/>
      <c r="HFA40" s="38"/>
      <c r="HFB40" s="38"/>
      <c r="HFC40" s="38"/>
      <c r="HFD40" s="40"/>
      <c r="HFE40" s="41"/>
      <c r="HFF40" s="40"/>
      <c r="HFG40" s="38"/>
      <c r="HFH40" s="42"/>
      <c r="HFI40" s="42"/>
      <c r="HFJ40" s="42"/>
      <c r="HFK40" s="38"/>
      <c r="HFL40" s="38"/>
      <c r="HFM40" s="38"/>
      <c r="HFN40" s="39"/>
      <c r="HFO40" s="38"/>
      <c r="HFP40" s="38"/>
      <c r="HFQ40" s="38"/>
      <c r="HFR40" s="40"/>
      <c r="HFS40" s="41"/>
      <c r="HFT40" s="40"/>
      <c r="HFU40" s="38"/>
      <c r="HFV40" s="42"/>
      <c r="HFW40" s="42"/>
      <c r="HFX40" s="42"/>
      <c r="HFY40" s="38"/>
      <c r="HFZ40" s="38"/>
      <c r="HGA40" s="38"/>
      <c r="HGB40" s="39"/>
      <c r="HGC40" s="38"/>
      <c r="HGD40" s="38"/>
      <c r="HGE40" s="38"/>
      <c r="HGF40" s="40"/>
      <c r="HGG40" s="41"/>
      <c r="HGH40" s="40"/>
      <c r="HGI40" s="38"/>
      <c r="HGJ40" s="42"/>
      <c r="HGK40" s="42"/>
      <c r="HGL40" s="42"/>
      <c r="HGM40" s="38"/>
      <c r="HGN40" s="38"/>
      <c r="HGO40" s="38"/>
      <c r="HGP40" s="39"/>
      <c r="HGQ40" s="38"/>
      <c r="HGR40" s="38"/>
      <c r="HGS40" s="38"/>
      <c r="HGT40" s="40"/>
      <c r="HGU40" s="41"/>
      <c r="HGV40" s="40"/>
      <c r="HGW40" s="38"/>
      <c r="HGX40" s="42"/>
      <c r="HGY40" s="42"/>
      <c r="HGZ40" s="42"/>
      <c r="HHA40" s="38"/>
      <c r="HHB40" s="38"/>
      <c r="HHC40" s="38"/>
      <c r="HHD40" s="39"/>
      <c r="HHE40" s="38"/>
      <c r="HHF40" s="38"/>
      <c r="HHG40" s="38"/>
      <c r="HHH40" s="40"/>
      <c r="HHI40" s="41"/>
      <c r="HHJ40" s="40"/>
      <c r="HHK40" s="38"/>
      <c r="HHL40" s="42"/>
      <c r="HHM40" s="42"/>
      <c r="HHN40" s="42"/>
      <c r="HHO40" s="38"/>
      <c r="HHP40" s="38"/>
      <c r="HHQ40" s="38"/>
      <c r="HHR40" s="39"/>
      <c r="HHS40" s="38"/>
      <c r="HHT40" s="38"/>
      <c r="HHU40" s="38"/>
      <c r="HHV40" s="40"/>
      <c r="HHW40" s="41"/>
      <c r="HHX40" s="40"/>
      <c r="HHY40" s="38"/>
      <c r="HHZ40" s="42"/>
      <c r="HIA40" s="42"/>
      <c r="HIB40" s="42"/>
      <c r="HIC40" s="38"/>
      <c r="HID40" s="38"/>
      <c r="HIE40" s="38"/>
      <c r="HIF40" s="39"/>
      <c r="HIG40" s="38"/>
      <c r="HIH40" s="38"/>
      <c r="HII40" s="38"/>
      <c r="HIJ40" s="40"/>
      <c r="HIK40" s="41"/>
      <c r="HIL40" s="40"/>
      <c r="HIM40" s="38"/>
      <c r="HIN40" s="42"/>
      <c r="HIO40" s="42"/>
      <c r="HIP40" s="42"/>
      <c r="HIQ40" s="38"/>
      <c r="HIR40" s="38"/>
      <c r="HIS40" s="38"/>
      <c r="HIT40" s="39"/>
      <c r="HIU40" s="38"/>
      <c r="HIV40" s="38"/>
      <c r="HIW40" s="38"/>
      <c r="HIX40" s="40"/>
      <c r="HIY40" s="41"/>
      <c r="HIZ40" s="40"/>
      <c r="HJA40" s="38"/>
      <c r="HJB40" s="42"/>
      <c r="HJC40" s="42"/>
      <c r="HJD40" s="42"/>
      <c r="HJE40" s="38"/>
      <c r="HJF40" s="38"/>
      <c r="HJG40" s="38"/>
      <c r="HJH40" s="39"/>
      <c r="HJI40" s="38"/>
      <c r="HJJ40" s="38"/>
      <c r="HJK40" s="38"/>
      <c r="HJL40" s="40"/>
      <c r="HJM40" s="41"/>
      <c r="HJN40" s="40"/>
      <c r="HJO40" s="38"/>
      <c r="HJP40" s="42"/>
      <c r="HJQ40" s="42"/>
      <c r="HJR40" s="42"/>
      <c r="HJS40" s="38"/>
      <c r="HJT40" s="38"/>
      <c r="HJU40" s="38"/>
      <c r="HJV40" s="39"/>
      <c r="HJW40" s="38"/>
      <c r="HJX40" s="38"/>
      <c r="HJY40" s="38"/>
      <c r="HJZ40" s="40"/>
      <c r="HKA40" s="41"/>
      <c r="HKB40" s="40"/>
      <c r="HKC40" s="38"/>
      <c r="HKD40" s="42"/>
      <c r="HKE40" s="42"/>
      <c r="HKF40" s="42"/>
      <c r="HKG40" s="38"/>
      <c r="HKH40" s="38"/>
      <c r="HKI40" s="38"/>
      <c r="HKJ40" s="39"/>
      <c r="HKK40" s="38"/>
      <c r="HKL40" s="38"/>
      <c r="HKM40" s="38"/>
      <c r="HKN40" s="40"/>
      <c r="HKO40" s="41"/>
      <c r="HKP40" s="40"/>
      <c r="HKQ40" s="38"/>
      <c r="HKR40" s="42"/>
      <c r="HKS40" s="42"/>
      <c r="HKT40" s="42"/>
      <c r="HKU40" s="38"/>
      <c r="HKV40" s="38"/>
      <c r="HKW40" s="38"/>
      <c r="HKX40" s="39"/>
      <c r="HKY40" s="38"/>
      <c r="HKZ40" s="38"/>
      <c r="HLA40" s="38"/>
      <c r="HLB40" s="40"/>
      <c r="HLC40" s="41"/>
      <c r="HLD40" s="40"/>
      <c r="HLE40" s="38"/>
      <c r="HLF40" s="42"/>
      <c r="HLG40" s="42"/>
      <c r="HLH40" s="42"/>
      <c r="HLI40" s="38"/>
      <c r="HLJ40" s="38"/>
      <c r="HLK40" s="38"/>
      <c r="HLL40" s="39"/>
      <c r="HLM40" s="38"/>
      <c r="HLN40" s="38"/>
      <c r="HLO40" s="38"/>
      <c r="HLP40" s="40"/>
      <c r="HLQ40" s="41"/>
      <c r="HLR40" s="40"/>
      <c r="HLS40" s="38"/>
      <c r="HLT40" s="42"/>
      <c r="HLU40" s="42"/>
      <c r="HLV40" s="42"/>
      <c r="HLW40" s="38"/>
      <c r="HLX40" s="38"/>
      <c r="HLY40" s="38"/>
      <c r="HLZ40" s="39"/>
      <c r="HMA40" s="38"/>
      <c r="HMB40" s="38"/>
      <c r="HMC40" s="38"/>
      <c r="HMD40" s="40"/>
      <c r="HME40" s="41"/>
      <c r="HMF40" s="40"/>
      <c r="HMG40" s="38"/>
      <c r="HMH40" s="42"/>
      <c r="HMI40" s="42"/>
      <c r="HMJ40" s="42"/>
      <c r="HMK40" s="38"/>
      <c r="HML40" s="38"/>
      <c r="HMM40" s="38"/>
      <c r="HMN40" s="39"/>
      <c r="HMO40" s="38"/>
      <c r="HMP40" s="38"/>
      <c r="HMQ40" s="38"/>
      <c r="HMR40" s="40"/>
      <c r="HMS40" s="41"/>
      <c r="HMT40" s="40"/>
      <c r="HMU40" s="38"/>
      <c r="HMV40" s="42"/>
      <c r="HMW40" s="42"/>
      <c r="HMX40" s="42"/>
      <c r="HMY40" s="38"/>
      <c r="HMZ40" s="38"/>
      <c r="HNA40" s="38"/>
      <c r="HNB40" s="39"/>
      <c r="HNC40" s="38"/>
      <c r="HND40" s="38"/>
      <c r="HNE40" s="38"/>
      <c r="HNF40" s="40"/>
      <c r="HNG40" s="41"/>
      <c r="HNH40" s="40"/>
      <c r="HNI40" s="38"/>
      <c r="HNJ40" s="42"/>
      <c r="HNK40" s="42"/>
      <c r="HNL40" s="42"/>
      <c r="HNM40" s="38"/>
      <c r="HNN40" s="38"/>
      <c r="HNO40" s="38"/>
      <c r="HNP40" s="39"/>
      <c r="HNQ40" s="38"/>
      <c r="HNR40" s="38"/>
      <c r="HNS40" s="38"/>
      <c r="HNT40" s="40"/>
      <c r="HNU40" s="41"/>
      <c r="HNV40" s="40"/>
      <c r="HNW40" s="38"/>
      <c r="HNX40" s="42"/>
      <c r="HNY40" s="42"/>
      <c r="HNZ40" s="42"/>
      <c r="HOA40" s="38"/>
      <c r="HOB40" s="38"/>
      <c r="HOC40" s="38"/>
      <c r="HOD40" s="39"/>
      <c r="HOE40" s="38"/>
      <c r="HOF40" s="38"/>
      <c r="HOG40" s="38"/>
      <c r="HOH40" s="40"/>
      <c r="HOI40" s="41"/>
      <c r="HOJ40" s="40"/>
      <c r="HOK40" s="38"/>
      <c r="HOL40" s="42"/>
      <c r="HOM40" s="42"/>
      <c r="HON40" s="42"/>
      <c r="HOO40" s="38"/>
      <c r="HOP40" s="38"/>
      <c r="HOQ40" s="38"/>
      <c r="HOR40" s="39"/>
      <c r="HOS40" s="38"/>
      <c r="HOT40" s="38"/>
      <c r="HOU40" s="38"/>
      <c r="HOV40" s="40"/>
      <c r="HOW40" s="41"/>
      <c r="HOX40" s="40"/>
      <c r="HOY40" s="38"/>
      <c r="HOZ40" s="42"/>
      <c r="HPA40" s="42"/>
      <c r="HPB40" s="42"/>
      <c r="HPC40" s="38"/>
      <c r="HPD40" s="38"/>
      <c r="HPE40" s="38"/>
      <c r="HPF40" s="39"/>
      <c r="HPG40" s="38"/>
      <c r="HPH40" s="38"/>
      <c r="HPI40" s="38"/>
      <c r="HPJ40" s="40"/>
      <c r="HPK40" s="41"/>
      <c r="HPL40" s="40"/>
      <c r="HPM40" s="38"/>
      <c r="HPN40" s="42"/>
      <c r="HPO40" s="42"/>
      <c r="HPP40" s="42"/>
      <c r="HPQ40" s="38"/>
      <c r="HPR40" s="38"/>
      <c r="HPS40" s="38"/>
      <c r="HPT40" s="39"/>
      <c r="HPU40" s="38"/>
      <c r="HPV40" s="38"/>
      <c r="HPW40" s="38"/>
      <c r="HPX40" s="40"/>
      <c r="HPY40" s="41"/>
      <c r="HPZ40" s="40"/>
      <c r="HQA40" s="38"/>
      <c r="HQB40" s="42"/>
      <c r="HQC40" s="42"/>
      <c r="HQD40" s="42"/>
      <c r="HQE40" s="38"/>
      <c r="HQF40" s="38"/>
      <c r="HQG40" s="38"/>
      <c r="HQH40" s="39"/>
      <c r="HQI40" s="38"/>
      <c r="HQJ40" s="38"/>
      <c r="HQK40" s="38"/>
      <c r="HQL40" s="40"/>
      <c r="HQM40" s="41"/>
      <c r="HQN40" s="40"/>
      <c r="HQO40" s="38"/>
      <c r="HQP40" s="42"/>
      <c r="HQQ40" s="42"/>
      <c r="HQR40" s="42"/>
      <c r="HQS40" s="38"/>
      <c r="HQT40" s="38"/>
      <c r="HQU40" s="38"/>
      <c r="HQV40" s="39"/>
      <c r="HQW40" s="38"/>
      <c r="HQX40" s="38"/>
      <c r="HQY40" s="38"/>
      <c r="HQZ40" s="40"/>
      <c r="HRA40" s="41"/>
      <c r="HRB40" s="40"/>
      <c r="HRC40" s="38"/>
      <c r="HRD40" s="42"/>
      <c r="HRE40" s="42"/>
      <c r="HRF40" s="42"/>
      <c r="HRG40" s="38"/>
      <c r="HRH40" s="38"/>
      <c r="HRI40" s="38"/>
      <c r="HRJ40" s="39"/>
      <c r="HRK40" s="38"/>
      <c r="HRL40" s="38"/>
      <c r="HRM40" s="38"/>
      <c r="HRN40" s="40"/>
      <c r="HRO40" s="41"/>
      <c r="HRP40" s="40"/>
      <c r="HRQ40" s="38"/>
      <c r="HRR40" s="42"/>
      <c r="HRS40" s="42"/>
      <c r="HRT40" s="42"/>
      <c r="HRU40" s="38"/>
      <c r="HRV40" s="38"/>
      <c r="HRW40" s="38"/>
      <c r="HRX40" s="39"/>
      <c r="HRY40" s="38"/>
      <c r="HRZ40" s="38"/>
      <c r="HSA40" s="38"/>
      <c r="HSB40" s="40"/>
      <c r="HSC40" s="41"/>
      <c r="HSD40" s="40"/>
      <c r="HSE40" s="38"/>
      <c r="HSF40" s="42"/>
      <c r="HSG40" s="42"/>
      <c r="HSH40" s="42"/>
      <c r="HSI40" s="38"/>
      <c r="HSJ40" s="38"/>
      <c r="HSK40" s="38"/>
      <c r="HSL40" s="39"/>
      <c r="HSM40" s="38"/>
      <c r="HSN40" s="38"/>
      <c r="HSO40" s="38"/>
      <c r="HSP40" s="40"/>
      <c r="HSQ40" s="41"/>
      <c r="HSR40" s="40"/>
      <c r="HSS40" s="38"/>
      <c r="HST40" s="42"/>
      <c r="HSU40" s="42"/>
      <c r="HSV40" s="42"/>
      <c r="HSW40" s="38"/>
      <c r="HSX40" s="38"/>
      <c r="HSY40" s="38"/>
      <c r="HSZ40" s="39"/>
      <c r="HTA40" s="38"/>
      <c r="HTB40" s="38"/>
      <c r="HTC40" s="38"/>
      <c r="HTD40" s="40"/>
      <c r="HTE40" s="41"/>
      <c r="HTF40" s="40"/>
      <c r="HTG40" s="38"/>
      <c r="HTH40" s="42"/>
      <c r="HTI40" s="42"/>
      <c r="HTJ40" s="42"/>
      <c r="HTK40" s="38"/>
      <c r="HTL40" s="38"/>
      <c r="HTM40" s="38"/>
      <c r="HTN40" s="39"/>
      <c r="HTO40" s="38"/>
      <c r="HTP40" s="38"/>
      <c r="HTQ40" s="38"/>
      <c r="HTR40" s="40"/>
      <c r="HTS40" s="41"/>
      <c r="HTT40" s="40"/>
      <c r="HTU40" s="38"/>
      <c r="HTV40" s="42"/>
      <c r="HTW40" s="42"/>
      <c r="HTX40" s="42"/>
      <c r="HTY40" s="38"/>
      <c r="HTZ40" s="38"/>
      <c r="HUA40" s="38"/>
      <c r="HUB40" s="39"/>
      <c r="HUC40" s="38"/>
      <c r="HUD40" s="38"/>
      <c r="HUE40" s="38"/>
      <c r="HUF40" s="40"/>
      <c r="HUG40" s="41"/>
      <c r="HUH40" s="40"/>
      <c r="HUI40" s="38"/>
      <c r="HUJ40" s="42"/>
      <c r="HUK40" s="42"/>
      <c r="HUL40" s="42"/>
      <c r="HUM40" s="38"/>
      <c r="HUN40" s="38"/>
      <c r="HUO40" s="38"/>
      <c r="HUP40" s="39"/>
      <c r="HUQ40" s="38"/>
      <c r="HUR40" s="38"/>
      <c r="HUS40" s="38"/>
      <c r="HUT40" s="40"/>
      <c r="HUU40" s="41"/>
      <c r="HUV40" s="40"/>
      <c r="HUW40" s="38"/>
      <c r="HUX40" s="42"/>
      <c r="HUY40" s="42"/>
      <c r="HUZ40" s="42"/>
      <c r="HVA40" s="38"/>
      <c r="HVB40" s="38"/>
      <c r="HVC40" s="38"/>
      <c r="HVD40" s="39"/>
      <c r="HVE40" s="38"/>
      <c r="HVF40" s="38"/>
      <c r="HVG40" s="38"/>
      <c r="HVH40" s="40"/>
      <c r="HVI40" s="41"/>
      <c r="HVJ40" s="40"/>
      <c r="HVK40" s="38"/>
      <c r="HVL40" s="42"/>
      <c r="HVM40" s="42"/>
      <c r="HVN40" s="42"/>
      <c r="HVO40" s="38"/>
      <c r="HVP40" s="38"/>
      <c r="HVQ40" s="38"/>
      <c r="HVR40" s="39"/>
      <c r="HVS40" s="38"/>
      <c r="HVT40" s="38"/>
      <c r="HVU40" s="38"/>
      <c r="HVV40" s="40"/>
      <c r="HVW40" s="41"/>
      <c r="HVX40" s="40"/>
      <c r="HVY40" s="38"/>
      <c r="HVZ40" s="42"/>
      <c r="HWA40" s="42"/>
      <c r="HWB40" s="42"/>
      <c r="HWC40" s="38"/>
      <c r="HWD40" s="38"/>
      <c r="HWE40" s="38"/>
      <c r="HWF40" s="39"/>
      <c r="HWG40" s="38"/>
      <c r="HWH40" s="38"/>
      <c r="HWI40" s="38"/>
      <c r="HWJ40" s="40"/>
      <c r="HWK40" s="41"/>
      <c r="HWL40" s="40"/>
      <c r="HWM40" s="38"/>
      <c r="HWN40" s="42"/>
      <c r="HWO40" s="42"/>
      <c r="HWP40" s="42"/>
      <c r="HWQ40" s="38"/>
      <c r="HWR40" s="38"/>
      <c r="HWS40" s="38"/>
      <c r="HWT40" s="39"/>
      <c r="HWU40" s="38"/>
      <c r="HWV40" s="38"/>
      <c r="HWW40" s="38"/>
      <c r="HWX40" s="40"/>
      <c r="HWY40" s="41"/>
      <c r="HWZ40" s="40"/>
      <c r="HXA40" s="38"/>
      <c r="HXB40" s="42"/>
      <c r="HXC40" s="42"/>
      <c r="HXD40" s="42"/>
      <c r="HXE40" s="38"/>
      <c r="HXF40" s="38"/>
      <c r="HXG40" s="38"/>
      <c r="HXH40" s="39"/>
      <c r="HXI40" s="38"/>
      <c r="HXJ40" s="38"/>
      <c r="HXK40" s="38"/>
      <c r="HXL40" s="40"/>
      <c r="HXM40" s="41"/>
      <c r="HXN40" s="40"/>
      <c r="HXO40" s="38"/>
      <c r="HXP40" s="42"/>
      <c r="HXQ40" s="42"/>
      <c r="HXR40" s="42"/>
      <c r="HXS40" s="38"/>
      <c r="HXT40" s="38"/>
      <c r="HXU40" s="38"/>
      <c r="HXV40" s="39"/>
      <c r="HXW40" s="38"/>
      <c r="HXX40" s="38"/>
      <c r="HXY40" s="38"/>
      <c r="HXZ40" s="40"/>
      <c r="HYA40" s="41"/>
      <c r="HYB40" s="40"/>
      <c r="HYC40" s="38"/>
      <c r="HYD40" s="42"/>
      <c r="HYE40" s="42"/>
      <c r="HYF40" s="42"/>
      <c r="HYG40" s="38"/>
      <c r="HYH40" s="38"/>
      <c r="HYI40" s="38"/>
      <c r="HYJ40" s="39"/>
      <c r="HYK40" s="38"/>
      <c r="HYL40" s="38"/>
      <c r="HYM40" s="38"/>
      <c r="HYN40" s="40"/>
      <c r="HYO40" s="41"/>
      <c r="HYP40" s="40"/>
      <c r="HYQ40" s="38"/>
      <c r="HYR40" s="42"/>
      <c r="HYS40" s="42"/>
      <c r="HYT40" s="42"/>
      <c r="HYU40" s="38"/>
      <c r="HYV40" s="38"/>
      <c r="HYW40" s="38"/>
      <c r="HYX40" s="39"/>
      <c r="HYY40" s="38"/>
      <c r="HYZ40" s="38"/>
      <c r="HZA40" s="38"/>
      <c r="HZB40" s="40"/>
      <c r="HZC40" s="41"/>
      <c r="HZD40" s="40"/>
      <c r="HZE40" s="38"/>
      <c r="HZF40" s="42"/>
      <c r="HZG40" s="42"/>
      <c r="HZH40" s="42"/>
      <c r="HZI40" s="38"/>
      <c r="HZJ40" s="38"/>
      <c r="HZK40" s="38"/>
      <c r="HZL40" s="39"/>
      <c r="HZM40" s="38"/>
      <c r="HZN40" s="38"/>
      <c r="HZO40" s="38"/>
      <c r="HZP40" s="40"/>
      <c r="HZQ40" s="41"/>
      <c r="HZR40" s="40"/>
      <c r="HZS40" s="38"/>
      <c r="HZT40" s="42"/>
      <c r="HZU40" s="42"/>
      <c r="HZV40" s="42"/>
      <c r="HZW40" s="38"/>
      <c r="HZX40" s="38"/>
      <c r="HZY40" s="38"/>
      <c r="HZZ40" s="39"/>
      <c r="IAA40" s="38"/>
      <c r="IAB40" s="38"/>
      <c r="IAC40" s="38"/>
      <c r="IAD40" s="40"/>
      <c r="IAE40" s="41"/>
      <c r="IAF40" s="40"/>
      <c r="IAG40" s="38"/>
      <c r="IAH40" s="42"/>
      <c r="IAI40" s="42"/>
      <c r="IAJ40" s="42"/>
      <c r="IAK40" s="38"/>
      <c r="IAL40" s="38"/>
      <c r="IAM40" s="38"/>
      <c r="IAN40" s="39"/>
      <c r="IAO40" s="38"/>
      <c r="IAP40" s="38"/>
      <c r="IAQ40" s="38"/>
      <c r="IAR40" s="40"/>
      <c r="IAS40" s="41"/>
      <c r="IAT40" s="40"/>
      <c r="IAU40" s="38"/>
      <c r="IAV40" s="42"/>
      <c r="IAW40" s="42"/>
      <c r="IAX40" s="42"/>
      <c r="IAY40" s="38"/>
      <c r="IAZ40" s="38"/>
      <c r="IBA40" s="38"/>
      <c r="IBB40" s="39"/>
      <c r="IBC40" s="38"/>
      <c r="IBD40" s="38"/>
      <c r="IBE40" s="38"/>
      <c r="IBF40" s="40"/>
      <c r="IBG40" s="41"/>
      <c r="IBH40" s="40"/>
      <c r="IBI40" s="38"/>
      <c r="IBJ40" s="42"/>
      <c r="IBK40" s="42"/>
      <c r="IBL40" s="42"/>
      <c r="IBM40" s="38"/>
      <c r="IBN40" s="38"/>
      <c r="IBO40" s="38"/>
      <c r="IBP40" s="39"/>
      <c r="IBQ40" s="38"/>
      <c r="IBR40" s="38"/>
      <c r="IBS40" s="38"/>
      <c r="IBT40" s="40"/>
      <c r="IBU40" s="41"/>
      <c r="IBV40" s="40"/>
      <c r="IBW40" s="38"/>
      <c r="IBX40" s="42"/>
      <c r="IBY40" s="42"/>
      <c r="IBZ40" s="42"/>
      <c r="ICA40" s="38"/>
      <c r="ICB40" s="38"/>
      <c r="ICC40" s="38"/>
      <c r="ICD40" s="39"/>
      <c r="ICE40" s="38"/>
      <c r="ICF40" s="38"/>
      <c r="ICG40" s="38"/>
      <c r="ICH40" s="40"/>
      <c r="ICI40" s="41"/>
      <c r="ICJ40" s="40"/>
      <c r="ICK40" s="38"/>
      <c r="ICL40" s="42"/>
      <c r="ICM40" s="42"/>
      <c r="ICN40" s="42"/>
      <c r="ICO40" s="38"/>
      <c r="ICP40" s="38"/>
      <c r="ICQ40" s="38"/>
      <c r="ICR40" s="39"/>
      <c r="ICS40" s="38"/>
      <c r="ICT40" s="38"/>
      <c r="ICU40" s="38"/>
      <c r="ICV40" s="40"/>
      <c r="ICW40" s="41"/>
      <c r="ICX40" s="40"/>
      <c r="ICY40" s="38"/>
      <c r="ICZ40" s="42"/>
      <c r="IDA40" s="42"/>
      <c r="IDB40" s="42"/>
      <c r="IDC40" s="38"/>
      <c r="IDD40" s="38"/>
      <c r="IDE40" s="38"/>
      <c r="IDF40" s="39"/>
      <c r="IDG40" s="38"/>
      <c r="IDH40" s="38"/>
      <c r="IDI40" s="38"/>
      <c r="IDJ40" s="40"/>
      <c r="IDK40" s="41"/>
      <c r="IDL40" s="40"/>
      <c r="IDM40" s="38"/>
      <c r="IDN40" s="42"/>
      <c r="IDO40" s="42"/>
      <c r="IDP40" s="42"/>
      <c r="IDQ40" s="38"/>
      <c r="IDR40" s="38"/>
      <c r="IDS40" s="38"/>
      <c r="IDT40" s="39"/>
      <c r="IDU40" s="38"/>
      <c r="IDV40" s="38"/>
      <c r="IDW40" s="38"/>
      <c r="IDX40" s="40"/>
      <c r="IDY40" s="41"/>
      <c r="IDZ40" s="40"/>
      <c r="IEA40" s="38"/>
      <c r="IEB40" s="42"/>
      <c r="IEC40" s="42"/>
      <c r="IED40" s="42"/>
      <c r="IEE40" s="38"/>
      <c r="IEF40" s="38"/>
      <c r="IEG40" s="38"/>
      <c r="IEH40" s="39"/>
      <c r="IEI40" s="38"/>
      <c r="IEJ40" s="38"/>
      <c r="IEK40" s="38"/>
      <c r="IEL40" s="40"/>
      <c r="IEM40" s="41"/>
      <c r="IEN40" s="40"/>
      <c r="IEO40" s="38"/>
      <c r="IEP40" s="42"/>
      <c r="IEQ40" s="42"/>
      <c r="IER40" s="42"/>
      <c r="IES40" s="38"/>
      <c r="IET40" s="38"/>
      <c r="IEU40" s="38"/>
      <c r="IEV40" s="39"/>
      <c r="IEW40" s="38"/>
      <c r="IEX40" s="38"/>
      <c r="IEY40" s="38"/>
      <c r="IEZ40" s="40"/>
      <c r="IFA40" s="41"/>
      <c r="IFB40" s="40"/>
      <c r="IFC40" s="38"/>
      <c r="IFD40" s="42"/>
      <c r="IFE40" s="42"/>
      <c r="IFF40" s="42"/>
      <c r="IFG40" s="38"/>
      <c r="IFH40" s="38"/>
      <c r="IFI40" s="38"/>
      <c r="IFJ40" s="39"/>
      <c r="IFK40" s="38"/>
      <c r="IFL40" s="38"/>
      <c r="IFM40" s="38"/>
      <c r="IFN40" s="40"/>
      <c r="IFO40" s="41"/>
      <c r="IFP40" s="40"/>
      <c r="IFQ40" s="38"/>
      <c r="IFR40" s="42"/>
      <c r="IFS40" s="42"/>
      <c r="IFT40" s="42"/>
      <c r="IFU40" s="38"/>
      <c r="IFV40" s="38"/>
      <c r="IFW40" s="38"/>
      <c r="IFX40" s="39"/>
      <c r="IFY40" s="38"/>
      <c r="IFZ40" s="38"/>
      <c r="IGA40" s="38"/>
      <c r="IGB40" s="40"/>
      <c r="IGC40" s="41"/>
      <c r="IGD40" s="40"/>
      <c r="IGE40" s="38"/>
      <c r="IGF40" s="42"/>
      <c r="IGG40" s="42"/>
      <c r="IGH40" s="42"/>
      <c r="IGI40" s="38"/>
      <c r="IGJ40" s="38"/>
      <c r="IGK40" s="38"/>
      <c r="IGL40" s="39"/>
      <c r="IGM40" s="38"/>
      <c r="IGN40" s="38"/>
      <c r="IGO40" s="38"/>
      <c r="IGP40" s="40"/>
      <c r="IGQ40" s="41"/>
      <c r="IGR40" s="40"/>
      <c r="IGS40" s="38"/>
      <c r="IGT40" s="42"/>
      <c r="IGU40" s="42"/>
      <c r="IGV40" s="42"/>
      <c r="IGW40" s="38"/>
      <c r="IGX40" s="38"/>
      <c r="IGY40" s="38"/>
      <c r="IGZ40" s="39"/>
      <c r="IHA40" s="38"/>
      <c r="IHB40" s="38"/>
      <c r="IHC40" s="38"/>
      <c r="IHD40" s="40"/>
      <c r="IHE40" s="41"/>
      <c r="IHF40" s="40"/>
      <c r="IHG40" s="38"/>
      <c r="IHH40" s="42"/>
      <c r="IHI40" s="42"/>
      <c r="IHJ40" s="42"/>
      <c r="IHK40" s="38"/>
      <c r="IHL40" s="38"/>
      <c r="IHM40" s="38"/>
      <c r="IHN40" s="39"/>
      <c r="IHO40" s="38"/>
      <c r="IHP40" s="38"/>
      <c r="IHQ40" s="38"/>
      <c r="IHR40" s="40"/>
      <c r="IHS40" s="41"/>
      <c r="IHT40" s="40"/>
      <c r="IHU40" s="38"/>
      <c r="IHV40" s="42"/>
      <c r="IHW40" s="42"/>
      <c r="IHX40" s="42"/>
      <c r="IHY40" s="38"/>
      <c r="IHZ40" s="38"/>
      <c r="IIA40" s="38"/>
      <c r="IIB40" s="39"/>
      <c r="IIC40" s="38"/>
      <c r="IID40" s="38"/>
      <c r="IIE40" s="38"/>
      <c r="IIF40" s="40"/>
      <c r="IIG40" s="41"/>
      <c r="IIH40" s="40"/>
      <c r="III40" s="38"/>
      <c r="IIJ40" s="42"/>
      <c r="IIK40" s="42"/>
      <c r="IIL40" s="42"/>
      <c r="IIM40" s="38"/>
      <c r="IIN40" s="38"/>
      <c r="IIO40" s="38"/>
      <c r="IIP40" s="39"/>
      <c r="IIQ40" s="38"/>
      <c r="IIR40" s="38"/>
      <c r="IIS40" s="38"/>
      <c r="IIT40" s="40"/>
      <c r="IIU40" s="41"/>
      <c r="IIV40" s="40"/>
      <c r="IIW40" s="38"/>
      <c r="IIX40" s="42"/>
      <c r="IIY40" s="42"/>
      <c r="IIZ40" s="42"/>
      <c r="IJA40" s="38"/>
      <c r="IJB40" s="38"/>
      <c r="IJC40" s="38"/>
      <c r="IJD40" s="39"/>
      <c r="IJE40" s="38"/>
      <c r="IJF40" s="38"/>
      <c r="IJG40" s="38"/>
      <c r="IJH40" s="40"/>
      <c r="IJI40" s="41"/>
      <c r="IJJ40" s="40"/>
      <c r="IJK40" s="38"/>
      <c r="IJL40" s="42"/>
      <c r="IJM40" s="42"/>
      <c r="IJN40" s="42"/>
      <c r="IJO40" s="38"/>
      <c r="IJP40" s="38"/>
      <c r="IJQ40" s="38"/>
      <c r="IJR40" s="39"/>
      <c r="IJS40" s="38"/>
      <c r="IJT40" s="38"/>
      <c r="IJU40" s="38"/>
      <c r="IJV40" s="40"/>
      <c r="IJW40" s="41"/>
      <c r="IJX40" s="40"/>
      <c r="IJY40" s="38"/>
      <c r="IJZ40" s="42"/>
      <c r="IKA40" s="42"/>
      <c r="IKB40" s="42"/>
      <c r="IKC40" s="38"/>
      <c r="IKD40" s="38"/>
      <c r="IKE40" s="38"/>
      <c r="IKF40" s="39"/>
      <c r="IKG40" s="38"/>
      <c r="IKH40" s="38"/>
      <c r="IKI40" s="38"/>
      <c r="IKJ40" s="40"/>
      <c r="IKK40" s="41"/>
      <c r="IKL40" s="40"/>
      <c r="IKM40" s="38"/>
      <c r="IKN40" s="42"/>
      <c r="IKO40" s="42"/>
      <c r="IKP40" s="42"/>
      <c r="IKQ40" s="38"/>
      <c r="IKR40" s="38"/>
      <c r="IKS40" s="38"/>
      <c r="IKT40" s="39"/>
      <c r="IKU40" s="38"/>
      <c r="IKV40" s="38"/>
      <c r="IKW40" s="38"/>
      <c r="IKX40" s="40"/>
      <c r="IKY40" s="41"/>
      <c r="IKZ40" s="40"/>
      <c r="ILA40" s="38"/>
      <c r="ILB40" s="42"/>
      <c r="ILC40" s="42"/>
      <c r="ILD40" s="42"/>
      <c r="ILE40" s="38"/>
      <c r="ILF40" s="38"/>
      <c r="ILG40" s="38"/>
      <c r="ILH40" s="39"/>
      <c r="ILI40" s="38"/>
      <c r="ILJ40" s="38"/>
      <c r="ILK40" s="38"/>
      <c r="ILL40" s="40"/>
      <c r="ILM40" s="41"/>
      <c r="ILN40" s="40"/>
      <c r="ILO40" s="38"/>
      <c r="ILP40" s="42"/>
      <c r="ILQ40" s="42"/>
      <c r="ILR40" s="42"/>
      <c r="ILS40" s="38"/>
      <c r="ILT40" s="38"/>
      <c r="ILU40" s="38"/>
      <c r="ILV40" s="39"/>
      <c r="ILW40" s="38"/>
      <c r="ILX40" s="38"/>
      <c r="ILY40" s="38"/>
      <c r="ILZ40" s="40"/>
      <c r="IMA40" s="41"/>
      <c r="IMB40" s="40"/>
      <c r="IMC40" s="38"/>
      <c r="IMD40" s="42"/>
      <c r="IME40" s="42"/>
      <c r="IMF40" s="42"/>
      <c r="IMG40" s="38"/>
      <c r="IMH40" s="38"/>
      <c r="IMI40" s="38"/>
      <c r="IMJ40" s="39"/>
      <c r="IMK40" s="38"/>
      <c r="IML40" s="38"/>
      <c r="IMM40" s="38"/>
      <c r="IMN40" s="40"/>
      <c r="IMO40" s="41"/>
      <c r="IMP40" s="40"/>
      <c r="IMQ40" s="38"/>
      <c r="IMR40" s="42"/>
      <c r="IMS40" s="42"/>
      <c r="IMT40" s="42"/>
      <c r="IMU40" s="38"/>
      <c r="IMV40" s="38"/>
      <c r="IMW40" s="38"/>
      <c r="IMX40" s="39"/>
      <c r="IMY40" s="38"/>
      <c r="IMZ40" s="38"/>
      <c r="INA40" s="38"/>
      <c r="INB40" s="40"/>
      <c r="INC40" s="41"/>
      <c r="IND40" s="40"/>
      <c r="INE40" s="38"/>
      <c r="INF40" s="42"/>
      <c r="ING40" s="42"/>
      <c r="INH40" s="42"/>
      <c r="INI40" s="38"/>
      <c r="INJ40" s="38"/>
      <c r="INK40" s="38"/>
      <c r="INL40" s="39"/>
      <c r="INM40" s="38"/>
      <c r="INN40" s="38"/>
      <c r="INO40" s="38"/>
      <c r="INP40" s="40"/>
      <c r="INQ40" s="41"/>
      <c r="INR40" s="40"/>
      <c r="INS40" s="38"/>
      <c r="INT40" s="42"/>
      <c r="INU40" s="42"/>
      <c r="INV40" s="42"/>
      <c r="INW40" s="38"/>
      <c r="INX40" s="38"/>
      <c r="INY40" s="38"/>
      <c r="INZ40" s="39"/>
      <c r="IOA40" s="38"/>
      <c r="IOB40" s="38"/>
      <c r="IOC40" s="38"/>
      <c r="IOD40" s="40"/>
      <c r="IOE40" s="41"/>
      <c r="IOF40" s="40"/>
      <c r="IOG40" s="38"/>
      <c r="IOH40" s="42"/>
      <c r="IOI40" s="42"/>
      <c r="IOJ40" s="42"/>
      <c r="IOK40" s="38"/>
      <c r="IOL40" s="38"/>
      <c r="IOM40" s="38"/>
      <c r="ION40" s="39"/>
      <c r="IOO40" s="38"/>
      <c r="IOP40" s="38"/>
      <c r="IOQ40" s="38"/>
      <c r="IOR40" s="40"/>
      <c r="IOS40" s="41"/>
      <c r="IOT40" s="40"/>
      <c r="IOU40" s="38"/>
      <c r="IOV40" s="42"/>
      <c r="IOW40" s="42"/>
      <c r="IOX40" s="42"/>
      <c r="IOY40" s="38"/>
      <c r="IOZ40" s="38"/>
      <c r="IPA40" s="38"/>
      <c r="IPB40" s="39"/>
      <c r="IPC40" s="38"/>
      <c r="IPD40" s="38"/>
      <c r="IPE40" s="38"/>
      <c r="IPF40" s="40"/>
      <c r="IPG40" s="41"/>
      <c r="IPH40" s="40"/>
      <c r="IPI40" s="38"/>
      <c r="IPJ40" s="42"/>
      <c r="IPK40" s="42"/>
      <c r="IPL40" s="42"/>
      <c r="IPM40" s="38"/>
      <c r="IPN40" s="38"/>
      <c r="IPO40" s="38"/>
      <c r="IPP40" s="39"/>
      <c r="IPQ40" s="38"/>
      <c r="IPR40" s="38"/>
      <c r="IPS40" s="38"/>
      <c r="IPT40" s="40"/>
      <c r="IPU40" s="41"/>
      <c r="IPV40" s="40"/>
      <c r="IPW40" s="38"/>
      <c r="IPX40" s="42"/>
      <c r="IPY40" s="42"/>
      <c r="IPZ40" s="42"/>
      <c r="IQA40" s="38"/>
      <c r="IQB40" s="38"/>
      <c r="IQC40" s="38"/>
      <c r="IQD40" s="39"/>
      <c r="IQE40" s="38"/>
      <c r="IQF40" s="38"/>
      <c r="IQG40" s="38"/>
      <c r="IQH40" s="40"/>
      <c r="IQI40" s="41"/>
      <c r="IQJ40" s="40"/>
      <c r="IQK40" s="38"/>
      <c r="IQL40" s="42"/>
      <c r="IQM40" s="42"/>
      <c r="IQN40" s="42"/>
      <c r="IQO40" s="38"/>
      <c r="IQP40" s="38"/>
      <c r="IQQ40" s="38"/>
      <c r="IQR40" s="39"/>
      <c r="IQS40" s="38"/>
      <c r="IQT40" s="38"/>
      <c r="IQU40" s="38"/>
      <c r="IQV40" s="40"/>
      <c r="IQW40" s="41"/>
      <c r="IQX40" s="40"/>
      <c r="IQY40" s="38"/>
      <c r="IQZ40" s="42"/>
      <c r="IRA40" s="42"/>
      <c r="IRB40" s="42"/>
      <c r="IRC40" s="38"/>
      <c r="IRD40" s="38"/>
      <c r="IRE40" s="38"/>
      <c r="IRF40" s="39"/>
      <c r="IRG40" s="38"/>
      <c r="IRH40" s="38"/>
      <c r="IRI40" s="38"/>
      <c r="IRJ40" s="40"/>
      <c r="IRK40" s="41"/>
      <c r="IRL40" s="40"/>
      <c r="IRM40" s="38"/>
      <c r="IRN40" s="42"/>
      <c r="IRO40" s="42"/>
      <c r="IRP40" s="42"/>
      <c r="IRQ40" s="38"/>
      <c r="IRR40" s="38"/>
      <c r="IRS40" s="38"/>
      <c r="IRT40" s="39"/>
      <c r="IRU40" s="38"/>
      <c r="IRV40" s="38"/>
      <c r="IRW40" s="38"/>
      <c r="IRX40" s="40"/>
      <c r="IRY40" s="41"/>
      <c r="IRZ40" s="40"/>
      <c r="ISA40" s="38"/>
      <c r="ISB40" s="42"/>
      <c r="ISC40" s="42"/>
      <c r="ISD40" s="42"/>
      <c r="ISE40" s="38"/>
      <c r="ISF40" s="38"/>
      <c r="ISG40" s="38"/>
      <c r="ISH40" s="39"/>
      <c r="ISI40" s="38"/>
      <c r="ISJ40" s="38"/>
      <c r="ISK40" s="38"/>
      <c r="ISL40" s="40"/>
      <c r="ISM40" s="41"/>
      <c r="ISN40" s="40"/>
      <c r="ISO40" s="38"/>
      <c r="ISP40" s="42"/>
      <c r="ISQ40" s="42"/>
      <c r="ISR40" s="42"/>
      <c r="ISS40" s="38"/>
      <c r="IST40" s="38"/>
      <c r="ISU40" s="38"/>
      <c r="ISV40" s="39"/>
      <c r="ISW40" s="38"/>
      <c r="ISX40" s="38"/>
      <c r="ISY40" s="38"/>
      <c r="ISZ40" s="40"/>
      <c r="ITA40" s="41"/>
      <c r="ITB40" s="40"/>
      <c r="ITC40" s="38"/>
      <c r="ITD40" s="42"/>
      <c r="ITE40" s="42"/>
      <c r="ITF40" s="42"/>
      <c r="ITG40" s="38"/>
      <c r="ITH40" s="38"/>
      <c r="ITI40" s="38"/>
      <c r="ITJ40" s="39"/>
      <c r="ITK40" s="38"/>
      <c r="ITL40" s="38"/>
      <c r="ITM40" s="38"/>
      <c r="ITN40" s="40"/>
      <c r="ITO40" s="41"/>
      <c r="ITP40" s="40"/>
      <c r="ITQ40" s="38"/>
      <c r="ITR40" s="42"/>
      <c r="ITS40" s="42"/>
      <c r="ITT40" s="42"/>
      <c r="ITU40" s="38"/>
      <c r="ITV40" s="38"/>
      <c r="ITW40" s="38"/>
      <c r="ITX40" s="39"/>
      <c r="ITY40" s="38"/>
      <c r="ITZ40" s="38"/>
      <c r="IUA40" s="38"/>
      <c r="IUB40" s="40"/>
      <c r="IUC40" s="41"/>
      <c r="IUD40" s="40"/>
      <c r="IUE40" s="38"/>
      <c r="IUF40" s="42"/>
      <c r="IUG40" s="42"/>
      <c r="IUH40" s="42"/>
      <c r="IUI40" s="38"/>
      <c r="IUJ40" s="38"/>
      <c r="IUK40" s="38"/>
      <c r="IUL40" s="39"/>
      <c r="IUM40" s="38"/>
      <c r="IUN40" s="38"/>
      <c r="IUO40" s="38"/>
      <c r="IUP40" s="40"/>
      <c r="IUQ40" s="41"/>
      <c r="IUR40" s="40"/>
      <c r="IUS40" s="38"/>
      <c r="IUT40" s="42"/>
      <c r="IUU40" s="42"/>
      <c r="IUV40" s="42"/>
      <c r="IUW40" s="38"/>
      <c r="IUX40" s="38"/>
      <c r="IUY40" s="38"/>
      <c r="IUZ40" s="39"/>
      <c r="IVA40" s="38"/>
      <c r="IVB40" s="38"/>
      <c r="IVC40" s="38"/>
      <c r="IVD40" s="40"/>
      <c r="IVE40" s="41"/>
      <c r="IVF40" s="40"/>
      <c r="IVG40" s="38"/>
      <c r="IVH40" s="42"/>
      <c r="IVI40" s="42"/>
      <c r="IVJ40" s="42"/>
      <c r="IVK40" s="38"/>
      <c r="IVL40" s="38"/>
      <c r="IVM40" s="38"/>
      <c r="IVN40" s="39"/>
      <c r="IVO40" s="38"/>
      <c r="IVP40" s="38"/>
      <c r="IVQ40" s="38"/>
      <c r="IVR40" s="40"/>
      <c r="IVS40" s="41"/>
      <c r="IVT40" s="40"/>
      <c r="IVU40" s="38"/>
      <c r="IVV40" s="42"/>
      <c r="IVW40" s="42"/>
      <c r="IVX40" s="42"/>
      <c r="IVY40" s="38"/>
      <c r="IVZ40" s="38"/>
      <c r="IWA40" s="38"/>
      <c r="IWB40" s="39"/>
      <c r="IWC40" s="38"/>
      <c r="IWD40" s="38"/>
      <c r="IWE40" s="38"/>
      <c r="IWF40" s="40"/>
      <c r="IWG40" s="41"/>
      <c r="IWH40" s="40"/>
      <c r="IWI40" s="38"/>
      <c r="IWJ40" s="42"/>
      <c r="IWK40" s="42"/>
      <c r="IWL40" s="42"/>
      <c r="IWM40" s="38"/>
      <c r="IWN40" s="38"/>
      <c r="IWO40" s="38"/>
      <c r="IWP40" s="39"/>
      <c r="IWQ40" s="38"/>
      <c r="IWR40" s="38"/>
      <c r="IWS40" s="38"/>
      <c r="IWT40" s="40"/>
      <c r="IWU40" s="41"/>
      <c r="IWV40" s="40"/>
      <c r="IWW40" s="38"/>
      <c r="IWX40" s="42"/>
      <c r="IWY40" s="42"/>
      <c r="IWZ40" s="42"/>
      <c r="IXA40" s="38"/>
      <c r="IXB40" s="38"/>
      <c r="IXC40" s="38"/>
      <c r="IXD40" s="39"/>
      <c r="IXE40" s="38"/>
      <c r="IXF40" s="38"/>
      <c r="IXG40" s="38"/>
      <c r="IXH40" s="40"/>
      <c r="IXI40" s="41"/>
      <c r="IXJ40" s="40"/>
      <c r="IXK40" s="38"/>
      <c r="IXL40" s="42"/>
      <c r="IXM40" s="42"/>
      <c r="IXN40" s="42"/>
      <c r="IXO40" s="38"/>
      <c r="IXP40" s="38"/>
      <c r="IXQ40" s="38"/>
      <c r="IXR40" s="39"/>
      <c r="IXS40" s="38"/>
      <c r="IXT40" s="38"/>
      <c r="IXU40" s="38"/>
      <c r="IXV40" s="40"/>
      <c r="IXW40" s="41"/>
      <c r="IXX40" s="40"/>
      <c r="IXY40" s="38"/>
      <c r="IXZ40" s="42"/>
      <c r="IYA40" s="42"/>
      <c r="IYB40" s="42"/>
      <c r="IYC40" s="38"/>
      <c r="IYD40" s="38"/>
      <c r="IYE40" s="38"/>
      <c r="IYF40" s="39"/>
      <c r="IYG40" s="38"/>
      <c r="IYH40" s="38"/>
      <c r="IYI40" s="38"/>
      <c r="IYJ40" s="40"/>
      <c r="IYK40" s="41"/>
      <c r="IYL40" s="40"/>
      <c r="IYM40" s="38"/>
      <c r="IYN40" s="42"/>
      <c r="IYO40" s="42"/>
      <c r="IYP40" s="42"/>
      <c r="IYQ40" s="38"/>
      <c r="IYR40" s="38"/>
      <c r="IYS40" s="38"/>
      <c r="IYT40" s="39"/>
      <c r="IYU40" s="38"/>
      <c r="IYV40" s="38"/>
      <c r="IYW40" s="38"/>
      <c r="IYX40" s="40"/>
      <c r="IYY40" s="41"/>
      <c r="IYZ40" s="40"/>
      <c r="IZA40" s="38"/>
      <c r="IZB40" s="42"/>
      <c r="IZC40" s="42"/>
      <c r="IZD40" s="42"/>
      <c r="IZE40" s="38"/>
      <c r="IZF40" s="38"/>
      <c r="IZG40" s="38"/>
      <c r="IZH40" s="39"/>
      <c r="IZI40" s="38"/>
      <c r="IZJ40" s="38"/>
      <c r="IZK40" s="38"/>
      <c r="IZL40" s="40"/>
      <c r="IZM40" s="41"/>
      <c r="IZN40" s="40"/>
      <c r="IZO40" s="38"/>
      <c r="IZP40" s="42"/>
      <c r="IZQ40" s="42"/>
      <c r="IZR40" s="42"/>
      <c r="IZS40" s="38"/>
      <c r="IZT40" s="38"/>
      <c r="IZU40" s="38"/>
      <c r="IZV40" s="39"/>
      <c r="IZW40" s="38"/>
      <c r="IZX40" s="38"/>
      <c r="IZY40" s="38"/>
      <c r="IZZ40" s="40"/>
      <c r="JAA40" s="41"/>
      <c r="JAB40" s="40"/>
      <c r="JAC40" s="38"/>
      <c r="JAD40" s="42"/>
      <c r="JAE40" s="42"/>
      <c r="JAF40" s="42"/>
      <c r="JAG40" s="38"/>
      <c r="JAH40" s="38"/>
      <c r="JAI40" s="38"/>
      <c r="JAJ40" s="39"/>
      <c r="JAK40" s="38"/>
      <c r="JAL40" s="38"/>
      <c r="JAM40" s="38"/>
      <c r="JAN40" s="40"/>
      <c r="JAO40" s="41"/>
      <c r="JAP40" s="40"/>
      <c r="JAQ40" s="38"/>
      <c r="JAR40" s="42"/>
      <c r="JAS40" s="42"/>
      <c r="JAT40" s="42"/>
      <c r="JAU40" s="38"/>
      <c r="JAV40" s="38"/>
      <c r="JAW40" s="38"/>
      <c r="JAX40" s="39"/>
      <c r="JAY40" s="38"/>
      <c r="JAZ40" s="38"/>
      <c r="JBA40" s="38"/>
      <c r="JBB40" s="40"/>
      <c r="JBC40" s="41"/>
      <c r="JBD40" s="40"/>
      <c r="JBE40" s="38"/>
      <c r="JBF40" s="42"/>
      <c r="JBG40" s="42"/>
      <c r="JBH40" s="42"/>
      <c r="JBI40" s="38"/>
      <c r="JBJ40" s="38"/>
      <c r="JBK40" s="38"/>
      <c r="JBL40" s="39"/>
      <c r="JBM40" s="38"/>
      <c r="JBN40" s="38"/>
      <c r="JBO40" s="38"/>
      <c r="JBP40" s="40"/>
      <c r="JBQ40" s="41"/>
      <c r="JBR40" s="40"/>
      <c r="JBS40" s="38"/>
      <c r="JBT40" s="42"/>
      <c r="JBU40" s="42"/>
      <c r="JBV40" s="42"/>
      <c r="JBW40" s="38"/>
      <c r="JBX40" s="38"/>
      <c r="JBY40" s="38"/>
      <c r="JBZ40" s="39"/>
      <c r="JCA40" s="38"/>
      <c r="JCB40" s="38"/>
      <c r="JCC40" s="38"/>
      <c r="JCD40" s="40"/>
      <c r="JCE40" s="41"/>
      <c r="JCF40" s="40"/>
      <c r="JCG40" s="38"/>
      <c r="JCH40" s="42"/>
      <c r="JCI40" s="42"/>
      <c r="JCJ40" s="42"/>
      <c r="JCK40" s="38"/>
      <c r="JCL40" s="38"/>
      <c r="JCM40" s="38"/>
      <c r="JCN40" s="39"/>
      <c r="JCO40" s="38"/>
      <c r="JCP40" s="38"/>
      <c r="JCQ40" s="38"/>
      <c r="JCR40" s="40"/>
      <c r="JCS40" s="41"/>
      <c r="JCT40" s="40"/>
      <c r="JCU40" s="38"/>
      <c r="JCV40" s="42"/>
      <c r="JCW40" s="42"/>
      <c r="JCX40" s="42"/>
      <c r="JCY40" s="38"/>
      <c r="JCZ40" s="38"/>
      <c r="JDA40" s="38"/>
      <c r="JDB40" s="39"/>
      <c r="JDC40" s="38"/>
      <c r="JDD40" s="38"/>
      <c r="JDE40" s="38"/>
      <c r="JDF40" s="40"/>
      <c r="JDG40" s="41"/>
      <c r="JDH40" s="40"/>
      <c r="JDI40" s="38"/>
      <c r="JDJ40" s="42"/>
      <c r="JDK40" s="42"/>
      <c r="JDL40" s="42"/>
      <c r="JDM40" s="38"/>
      <c r="JDN40" s="38"/>
      <c r="JDO40" s="38"/>
      <c r="JDP40" s="39"/>
      <c r="JDQ40" s="38"/>
      <c r="JDR40" s="38"/>
      <c r="JDS40" s="38"/>
      <c r="JDT40" s="40"/>
      <c r="JDU40" s="41"/>
      <c r="JDV40" s="40"/>
      <c r="JDW40" s="38"/>
      <c r="JDX40" s="42"/>
      <c r="JDY40" s="42"/>
      <c r="JDZ40" s="42"/>
      <c r="JEA40" s="38"/>
      <c r="JEB40" s="38"/>
      <c r="JEC40" s="38"/>
      <c r="JED40" s="39"/>
      <c r="JEE40" s="38"/>
      <c r="JEF40" s="38"/>
      <c r="JEG40" s="38"/>
      <c r="JEH40" s="40"/>
      <c r="JEI40" s="41"/>
      <c r="JEJ40" s="40"/>
      <c r="JEK40" s="38"/>
      <c r="JEL40" s="42"/>
      <c r="JEM40" s="42"/>
      <c r="JEN40" s="42"/>
      <c r="JEO40" s="38"/>
      <c r="JEP40" s="38"/>
      <c r="JEQ40" s="38"/>
      <c r="JER40" s="39"/>
      <c r="JES40" s="38"/>
      <c r="JET40" s="38"/>
      <c r="JEU40" s="38"/>
      <c r="JEV40" s="40"/>
      <c r="JEW40" s="41"/>
      <c r="JEX40" s="40"/>
      <c r="JEY40" s="38"/>
      <c r="JEZ40" s="42"/>
      <c r="JFA40" s="42"/>
      <c r="JFB40" s="42"/>
      <c r="JFC40" s="38"/>
      <c r="JFD40" s="38"/>
      <c r="JFE40" s="38"/>
      <c r="JFF40" s="39"/>
      <c r="JFG40" s="38"/>
      <c r="JFH40" s="38"/>
      <c r="JFI40" s="38"/>
      <c r="JFJ40" s="40"/>
      <c r="JFK40" s="41"/>
      <c r="JFL40" s="40"/>
      <c r="JFM40" s="38"/>
      <c r="JFN40" s="42"/>
      <c r="JFO40" s="42"/>
      <c r="JFP40" s="42"/>
      <c r="JFQ40" s="38"/>
      <c r="JFR40" s="38"/>
      <c r="JFS40" s="38"/>
      <c r="JFT40" s="39"/>
      <c r="JFU40" s="38"/>
      <c r="JFV40" s="38"/>
      <c r="JFW40" s="38"/>
      <c r="JFX40" s="40"/>
      <c r="JFY40" s="41"/>
      <c r="JFZ40" s="40"/>
      <c r="JGA40" s="38"/>
      <c r="JGB40" s="42"/>
      <c r="JGC40" s="42"/>
      <c r="JGD40" s="42"/>
      <c r="JGE40" s="38"/>
      <c r="JGF40" s="38"/>
      <c r="JGG40" s="38"/>
      <c r="JGH40" s="39"/>
      <c r="JGI40" s="38"/>
      <c r="JGJ40" s="38"/>
      <c r="JGK40" s="38"/>
      <c r="JGL40" s="40"/>
      <c r="JGM40" s="41"/>
      <c r="JGN40" s="40"/>
      <c r="JGO40" s="38"/>
      <c r="JGP40" s="42"/>
      <c r="JGQ40" s="42"/>
      <c r="JGR40" s="42"/>
      <c r="JGS40" s="38"/>
      <c r="JGT40" s="38"/>
      <c r="JGU40" s="38"/>
      <c r="JGV40" s="39"/>
      <c r="JGW40" s="38"/>
      <c r="JGX40" s="38"/>
      <c r="JGY40" s="38"/>
      <c r="JGZ40" s="40"/>
      <c r="JHA40" s="41"/>
      <c r="JHB40" s="40"/>
      <c r="JHC40" s="38"/>
      <c r="JHD40" s="42"/>
      <c r="JHE40" s="42"/>
      <c r="JHF40" s="42"/>
      <c r="JHG40" s="38"/>
      <c r="JHH40" s="38"/>
      <c r="JHI40" s="38"/>
      <c r="JHJ40" s="39"/>
      <c r="JHK40" s="38"/>
      <c r="JHL40" s="38"/>
      <c r="JHM40" s="38"/>
      <c r="JHN40" s="40"/>
      <c r="JHO40" s="41"/>
      <c r="JHP40" s="40"/>
      <c r="JHQ40" s="38"/>
      <c r="JHR40" s="42"/>
      <c r="JHS40" s="42"/>
      <c r="JHT40" s="42"/>
      <c r="JHU40" s="38"/>
      <c r="JHV40" s="38"/>
      <c r="JHW40" s="38"/>
      <c r="JHX40" s="39"/>
      <c r="JHY40" s="38"/>
      <c r="JHZ40" s="38"/>
      <c r="JIA40" s="38"/>
      <c r="JIB40" s="40"/>
      <c r="JIC40" s="41"/>
      <c r="JID40" s="40"/>
      <c r="JIE40" s="38"/>
      <c r="JIF40" s="42"/>
      <c r="JIG40" s="42"/>
      <c r="JIH40" s="42"/>
      <c r="JII40" s="38"/>
      <c r="JIJ40" s="38"/>
      <c r="JIK40" s="38"/>
      <c r="JIL40" s="39"/>
      <c r="JIM40" s="38"/>
      <c r="JIN40" s="38"/>
      <c r="JIO40" s="38"/>
      <c r="JIP40" s="40"/>
      <c r="JIQ40" s="41"/>
      <c r="JIR40" s="40"/>
      <c r="JIS40" s="38"/>
      <c r="JIT40" s="42"/>
      <c r="JIU40" s="42"/>
      <c r="JIV40" s="42"/>
      <c r="JIW40" s="38"/>
      <c r="JIX40" s="38"/>
      <c r="JIY40" s="38"/>
      <c r="JIZ40" s="39"/>
      <c r="JJA40" s="38"/>
      <c r="JJB40" s="38"/>
      <c r="JJC40" s="38"/>
      <c r="JJD40" s="40"/>
      <c r="JJE40" s="41"/>
      <c r="JJF40" s="40"/>
      <c r="JJG40" s="38"/>
      <c r="JJH40" s="42"/>
      <c r="JJI40" s="42"/>
      <c r="JJJ40" s="42"/>
      <c r="JJK40" s="38"/>
      <c r="JJL40" s="38"/>
      <c r="JJM40" s="38"/>
      <c r="JJN40" s="39"/>
      <c r="JJO40" s="38"/>
      <c r="JJP40" s="38"/>
      <c r="JJQ40" s="38"/>
      <c r="JJR40" s="40"/>
      <c r="JJS40" s="41"/>
      <c r="JJT40" s="40"/>
      <c r="JJU40" s="38"/>
      <c r="JJV40" s="42"/>
      <c r="JJW40" s="42"/>
      <c r="JJX40" s="42"/>
      <c r="JJY40" s="38"/>
      <c r="JJZ40" s="38"/>
      <c r="JKA40" s="38"/>
      <c r="JKB40" s="39"/>
      <c r="JKC40" s="38"/>
      <c r="JKD40" s="38"/>
      <c r="JKE40" s="38"/>
      <c r="JKF40" s="40"/>
      <c r="JKG40" s="41"/>
      <c r="JKH40" s="40"/>
      <c r="JKI40" s="38"/>
      <c r="JKJ40" s="42"/>
      <c r="JKK40" s="42"/>
      <c r="JKL40" s="42"/>
      <c r="JKM40" s="38"/>
      <c r="JKN40" s="38"/>
      <c r="JKO40" s="38"/>
      <c r="JKP40" s="39"/>
      <c r="JKQ40" s="38"/>
      <c r="JKR40" s="38"/>
      <c r="JKS40" s="38"/>
      <c r="JKT40" s="40"/>
      <c r="JKU40" s="41"/>
      <c r="JKV40" s="40"/>
      <c r="JKW40" s="38"/>
      <c r="JKX40" s="42"/>
      <c r="JKY40" s="42"/>
      <c r="JKZ40" s="42"/>
      <c r="JLA40" s="38"/>
      <c r="JLB40" s="38"/>
      <c r="JLC40" s="38"/>
      <c r="JLD40" s="39"/>
      <c r="JLE40" s="38"/>
      <c r="JLF40" s="38"/>
      <c r="JLG40" s="38"/>
      <c r="JLH40" s="40"/>
      <c r="JLI40" s="41"/>
      <c r="JLJ40" s="40"/>
      <c r="JLK40" s="38"/>
      <c r="JLL40" s="42"/>
      <c r="JLM40" s="42"/>
      <c r="JLN40" s="42"/>
      <c r="JLO40" s="38"/>
      <c r="JLP40" s="38"/>
      <c r="JLQ40" s="38"/>
      <c r="JLR40" s="39"/>
      <c r="JLS40" s="38"/>
      <c r="JLT40" s="38"/>
      <c r="JLU40" s="38"/>
      <c r="JLV40" s="40"/>
      <c r="JLW40" s="41"/>
      <c r="JLX40" s="40"/>
      <c r="JLY40" s="38"/>
      <c r="JLZ40" s="42"/>
      <c r="JMA40" s="42"/>
      <c r="JMB40" s="42"/>
      <c r="JMC40" s="38"/>
      <c r="JMD40" s="38"/>
      <c r="JME40" s="38"/>
      <c r="JMF40" s="39"/>
      <c r="JMG40" s="38"/>
      <c r="JMH40" s="38"/>
      <c r="JMI40" s="38"/>
      <c r="JMJ40" s="40"/>
      <c r="JMK40" s="41"/>
      <c r="JML40" s="40"/>
      <c r="JMM40" s="38"/>
      <c r="JMN40" s="42"/>
      <c r="JMO40" s="42"/>
      <c r="JMP40" s="42"/>
      <c r="JMQ40" s="38"/>
      <c r="JMR40" s="38"/>
      <c r="JMS40" s="38"/>
      <c r="JMT40" s="39"/>
      <c r="JMU40" s="38"/>
      <c r="JMV40" s="38"/>
      <c r="JMW40" s="38"/>
      <c r="JMX40" s="40"/>
      <c r="JMY40" s="41"/>
      <c r="JMZ40" s="40"/>
      <c r="JNA40" s="38"/>
      <c r="JNB40" s="42"/>
      <c r="JNC40" s="42"/>
      <c r="JND40" s="42"/>
      <c r="JNE40" s="38"/>
      <c r="JNF40" s="38"/>
      <c r="JNG40" s="38"/>
      <c r="JNH40" s="39"/>
      <c r="JNI40" s="38"/>
      <c r="JNJ40" s="38"/>
      <c r="JNK40" s="38"/>
      <c r="JNL40" s="40"/>
      <c r="JNM40" s="41"/>
      <c r="JNN40" s="40"/>
      <c r="JNO40" s="38"/>
      <c r="JNP40" s="42"/>
      <c r="JNQ40" s="42"/>
      <c r="JNR40" s="42"/>
      <c r="JNS40" s="38"/>
      <c r="JNT40" s="38"/>
      <c r="JNU40" s="38"/>
      <c r="JNV40" s="39"/>
      <c r="JNW40" s="38"/>
      <c r="JNX40" s="38"/>
      <c r="JNY40" s="38"/>
      <c r="JNZ40" s="40"/>
      <c r="JOA40" s="41"/>
      <c r="JOB40" s="40"/>
      <c r="JOC40" s="38"/>
      <c r="JOD40" s="42"/>
      <c r="JOE40" s="42"/>
      <c r="JOF40" s="42"/>
      <c r="JOG40" s="38"/>
      <c r="JOH40" s="38"/>
      <c r="JOI40" s="38"/>
      <c r="JOJ40" s="39"/>
      <c r="JOK40" s="38"/>
      <c r="JOL40" s="38"/>
      <c r="JOM40" s="38"/>
      <c r="JON40" s="40"/>
      <c r="JOO40" s="41"/>
      <c r="JOP40" s="40"/>
      <c r="JOQ40" s="38"/>
      <c r="JOR40" s="42"/>
      <c r="JOS40" s="42"/>
      <c r="JOT40" s="42"/>
      <c r="JOU40" s="38"/>
      <c r="JOV40" s="38"/>
      <c r="JOW40" s="38"/>
      <c r="JOX40" s="39"/>
      <c r="JOY40" s="38"/>
      <c r="JOZ40" s="38"/>
      <c r="JPA40" s="38"/>
      <c r="JPB40" s="40"/>
      <c r="JPC40" s="41"/>
      <c r="JPD40" s="40"/>
      <c r="JPE40" s="38"/>
      <c r="JPF40" s="42"/>
      <c r="JPG40" s="42"/>
      <c r="JPH40" s="42"/>
      <c r="JPI40" s="38"/>
      <c r="JPJ40" s="38"/>
      <c r="JPK40" s="38"/>
      <c r="JPL40" s="39"/>
      <c r="JPM40" s="38"/>
      <c r="JPN40" s="38"/>
      <c r="JPO40" s="38"/>
      <c r="JPP40" s="40"/>
      <c r="JPQ40" s="41"/>
      <c r="JPR40" s="40"/>
      <c r="JPS40" s="38"/>
      <c r="JPT40" s="42"/>
      <c r="JPU40" s="42"/>
      <c r="JPV40" s="42"/>
      <c r="JPW40" s="38"/>
      <c r="JPX40" s="38"/>
      <c r="JPY40" s="38"/>
      <c r="JPZ40" s="39"/>
      <c r="JQA40" s="38"/>
      <c r="JQB40" s="38"/>
      <c r="JQC40" s="38"/>
      <c r="JQD40" s="40"/>
      <c r="JQE40" s="41"/>
      <c r="JQF40" s="40"/>
      <c r="JQG40" s="38"/>
      <c r="JQH40" s="42"/>
      <c r="JQI40" s="42"/>
      <c r="JQJ40" s="42"/>
      <c r="JQK40" s="38"/>
      <c r="JQL40" s="38"/>
      <c r="JQM40" s="38"/>
      <c r="JQN40" s="39"/>
      <c r="JQO40" s="38"/>
      <c r="JQP40" s="38"/>
      <c r="JQQ40" s="38"/>
      <c r="JQR40" s="40"/>
      <c r="JQS40" s="41"/>
      <c r="JQT40" s="40"/>
      <c r="JQU40" s="38"/>
      <c r="JQV40" s="42"/>
      <c r="JQW40" s="42"/>
      <c r="JQX40" s="42"/>
      <c r="JQY40" s="38"/>
      <c r="JQZ40" s="38"/>
      <c r="JRA40" s="38"/>
      <c r="JRB40" s="39"/>
      <c r="JRC40" s="38"/>
      <c r="JRD40" s="38"/>
      <c r="JRE40" s="38"/>
      <c r="JRF40" s="40"/>
      <c r="JRG40" s="41"/>
      <c r="JRH40" s="40"/>
      <c r="JRI40" s="38"/>
      <c r="JRJ40" s="42"/>
      <c r="JRK40" s="42"/>
      <c r="JRL40" s="42"/>
      <c r="JRM40" s="38"/>
      <c r="JRN40" s="38"/>
      <c r="JRO40" s="38"/>
      <c r="JRP40" s="39"/>
      <c r="JRQ40" s="38"/>
      <c r="JRR40" s="38"/>
      <c r="JRS40" s="38"/>
      <c r="JRT40" s="40"/>
      <c r="JRU40" s="41"/>
      <c r="JRV40" s="40"/>
      <c r="JRW40" s="38"/>
      <c r="JRX40" s="42"/>
      <c r="JRY40" s="42"/>
      <c r="JRZ40" s="42"/>
      <c r="JSA40" s="38"/>
      <c r="JSB40" s="38"/>
      <c r="JSC40" s="38"/>
      <c r="JSD40" s="39"/>
      <c r="JSE40" s="38"/>
      <c r="JSF40" s="38"/>
      <c r="JSG40" s="38"/>
      <c r="JSH40" s="40"/>
      <c r="JSI40" s="41"/>
      <c r="JSJ40" s="40"/>
      <c r="JSK40" s="38"/>
      <c r="JSL40" s="42"/>
      <c r="JSM40" s="42"/>
      <c r="JSN40" s="42"/>
      <c r="JSO40" s="38"/>
      <c r="JSP40" s="38"/>
      <c r="JSQ40" s="38"/>
      <c r="JSR40" s="39"/>
      <c r="JSS40" s="38"/>
      <c r="JST40" s="38"/>
      <c r="JSU40" s="38"/>
      <c r="JSV40" s="40"/>
      <c r="JSW40" s="41"/>
      <c r="JSX40" s="40"/>
      <c r="JSY40" s="38"/>
      <c r="JSZ40" s="42"/>
      <c r="JTA40" s="42"/>
      <c r="JTB40" s="42"/>
      <c r="JTC40" s="38"/>
      <c r="JTD40" s="38"/>
      <c r="JTE40" s="38"/>
      <c r="JTF40" s="39"/>
      <c r="JTG40" s="38"/>
      <c r="JTH40" s="38"/>
      <c r="JTI40" s="38"/>
      <c r="JTJ40" s="40"/>
      <c r="JTK40" s="41"/>
      <c r="JTL40" s="40"/>
      <c r="JTM40" s="38"/>
      <c r="JTN40" s="42"/>
      <c r="JTO40" s="42"/>
      <c r="JTP40" s="42"/>
      <c r="JTQ40" s="38"/>
      <c r="JTR40" s="38"/>
      <c r="JTS40" s="38"/>
      <c r="JTT40" s="39"/>
      <c r="JTU40" s="38"/>
      <c r="JTV40" s="38"/>
      <c r="JTW40" s="38"/>
      <c r="JTX40" s="40"/>
      <c r="JTY40" s="41"/>
      <c r="JTZ40" s="40"/>
      <c r="JUA40" s="38"/>
      <c r="JUB40" s="42"/>
      <c r="JUC40" s="42"/>
      <c r="JUD40" s="42"/>
      <c r="JUE40" s="38"/>
      <c r="JUF40" s="38"/>
      <c r="JUG40" s="38"/>
      <c r="JUH40" s="39"/>
      <c r="JUI40" s="38"/>
      <c r="JUJ40" s="38"/>
      <c r="JUK40" s="38"/>
      <c r="JUL40" s="40"/>
      <c r="JUM40" s="41"/>
      <c r="JUN40" s="40"/>
      <c r="JUO40" s="38"/>
      <c r="JUP40" s="42"/>
      <c r="JUQ40" s="42"/>
      <c r="JUR40" s="42"/>
      <c r="JUS40" s="38"/>
      <c r="JUT40" s="38"/>
      <c r="JUU40" s="38"/>
      <c r="JUV40" s="39"/>
      <c r="JUW40" s="38"/>
      <c r="JUX40" s="38"/>
      <c r="JUY40" s="38"/>
      <c r="JUZ40" s="40"/>
      <c r="JVA40" s="41"/>
      <c r="JVB40" s="40"/>
      <c r="JVC40" s="38"/>
      <c r="JVD40" s="42"/>
      <c r="JVE40" s="42"/>
      <c r="JVF40" s="42"/>
      <c r="JVG40" s="38"/>
      <c r="JVH40" s="38"/>
      <c r="JVI40" s="38"/>
      <c r="JVJ40" s="39"/>
      <c r="JVK40" s="38"/>
      <c r="JVL40" s="38"/>
      <c r="JVM40" s="38"/>
      <c r="JVN40" s="40"/>
      <c r="JVO40" s="41"/>
      <c r="JVP40" s="40"/>
      <c r="JVQ40" s="38"/>
      <c r="JVR40" s="42"/>
      <c r="JVS40" s="42"/>
      <c r="JVT40" s="42"/>
      <c r="JVU40" s="38"/>
      <c r="JVV40" s="38"/>
      <c r="JVW40" s="38"/>
      <c r="JVX40" s="39"/>
      <c r="JVY40" s="38"/>
      <c r="JVZ40" s="38"/>
      <c r="JWA40" s="38"/>
      <c r="JWB40" s="40"/>
      <c r="JWC40" s="41"/>
      <c r="JWD40" s="40"/>
      <c r="JWE40" s="38"/>
      <c r="JWF40" s="42"/>
      <c r="JWG40" s="42"/>
      <c r="JWH40" s="42"/>
      <c r="JWI40" s="38"/>
      <c r="JWJ40" s="38"/>
      <c r="JWK40" s="38"/>
      <c r="JWL40" s="39"/>
      <c r="JWM40" s="38"/>
      <c r="JWN40" s="38"/>
      <c r="JWO40" s="38"/>
      <c r="JWP40" s="40"/>
      <c r="JWQ40" s="41"/>
      <c r="JWR40" s="40"/>
      <c r="JWS40" s="38"/>
      <c r="JWT40" s="42"/>
      <c r="JWU40" s="42"/>
      <c r="JWV40" s="42"/>
      <c r="JWW40" s="38"/>
      <c r="JWX40" s="38"/>
      <c r="JWY40" s="38"/>
      <c r="JWZ40" s="39"/>
      <c r="JXA40" s="38"/>
      <c r="JXB40" s="38"/>
      <c r="JXC40" s="38"/>
      <c r="JXD40" s="40"/>
      <c r="JXE40" s="41"/>
      <c r="JXF40" s="40"/>
      <c r="JXG40" s="38"/>
      <c r="JXH40" s="42"/>
      <c r="JXI40" s="42"/>
      <c r="JXJ40" s="42"/>
      <c r="JXK40" s="38"/>
      <c r="JXL40" s="38"/>
      <c r="JXM40" s="38"/>
      <c r="JXN40" s="39"/>
      <c r="JXO40" s="38"/>
      <c r="JXP40" s="38"/>
      <c r="JXQ40" s="38"/>
      <c r="JXR40" s="40"/>
      <c r="JXS40" s="41"/>
      <c r="JXT40" s="40"/>
      <c r="JXU40" s="38"/>
      <c r="JXV40" s="42"/>
      <c r="JXW40" s="42"/>
      <c r="JXX40" s="42"/>
      <c r="JXY40" s="38"/>
      <c r="JXZ40" s="38"/>
      <c r="JYA40" s="38"/>
      <c r="JYB40" s="39"/>
      <c r="JYC40" s="38"/>
      <c r="JYD40" s="38"/>
      <c r="JYE40" s="38"/>
      <c r="JYF40" s="40"/>
      <c r="JYG40" s="41"/>
      <c r="JYH40" s="40"/>
      <c r="JYI40" s="38"/>
      <c r="JYJ40" s="42"/>
      <c r="JYK40" s="42"/>
      <c r="JYL40" s="42"/>
      <c r="JYM40" s="38"/>
      <c r="JYN40" s="38"/>
      <c r="JYO40" s="38"/>
      <c r="JYP40" s="39"/>
      <c r="JYQ40" s="38"/>
      <c r="JYR40" s="38"/>
      <c r="JYS40" s="38"/>
      <c r="JYT40" s="40"/>
      <c r="JYU40" s="41"/>
      <c r="JYV40" s="40"/>
      <c r="JYW40" s="38"/>
      <c r="JYX40" s="42"/>
      <c r="JYY40" s="42"/>
      <c r="JYZ40" s="42"/>
      <c r="JZA40" s="38"/>
      <c r="JZB40" s="38"/>
      <c r="JZC40" s="38"/>
      <c r="JZD40" s="39"/>
      <c r="JZE40" s="38"/>
      <c r="JZF40" s="38"/>
      <c r="JZG40" s="38"/>
      <c r="JZH40" s="40"/>
      <c r="JZI40" s="41"/>
      <c r="JZJ40" s="40"/>
      <c r="JZK40" s="38"/>
      <c r="JZL40" s="42"/>
      <c r="JZM40" s="42"/>
      <c r="JZN40" s="42"/>
      <c r="JZO40" s="38"/>
      <c r="JZP40" s="38"/>
      <c r="JZQ40" s="38"/>
      <c r="JZR40" s="39"/>
      <c r="JZS40" s="38"/>
      <c r="JZT40" s="38"/>
      <c r="JZU40" s="38"/>
      <c r="JZV40" s="40"/>
      <c r="JZW40" s="41"/>
      <c r="JZX40" s="40"/>
      <c r="JZY40" s="38"/>
      <c r="JZZ40" s="42"/>
      <c r="KAA40" s="42"/>
      <c r="KAB40" s="42"/>
      <c r="KAC40" s="38"/>
      <c r="KAD40" s="38"/>
      <c r="KAE40" s="38"/>
      <c r="KAF40" s="39"/>
      <c r="KAG40" s="38"/>
      <c r="KAH40" s="38"/>
      <c r="KAI40" s="38"/>
      <c r="KAJ40" s="40"/>
      <c r="KAK40" s="41"/>
      <c r="KAL40" s="40"/>
      <c r="KAM40" s="38"/>
      <c r="KAN40" s="42"/>
      <c r="KAO40" s="42"/>
      <c r="KAP40" s="42"/>
      <c r="KAQ40" s="38"/>
      <c r="KAR40" s="38"/>
      <c r="KAS40" s="38"/>
      <c r="KAT40" s="39"/>
      <c r="KAU40" s="38"/>
      <c r="KAV40" s="38"/>
      <c r="KAW40" s="38"/>
      <c r="KAX40" s="40"/>
      <c r="KAY40" s="41"/>
      <c r="KAZ40" s="40"/>
      <c r="KBA40" s="38"/>
      <c r="KBB40" s="42"/>
      <c r="KBC40" s="42"/>
      <c r="KBD40" s="42"/>
      <c r="KBE40" s="38"/>
      <c r="KBF40" s="38"/>
      <c r="KBG40" s="38"/>
      <c r="KBH40" s="39"/>
      <c r="KBI40" s="38"/>
      <c r="KBJ40" s="38"/>
      <c r="KBK40" s="38"/>
      <c r="KBL40" s="40"/>
      <c r="KBM40" s="41"/>
      <c r="KBN40" s="40"/>
      <c r="KBO40" s="38"/>
      <c r="KBP40" s="42"/>
      <c r="KBQ40" s="42"/>
      <c r="KBR40" s="42"/>
      <c r="KBS40" s="38"/>
      <c r="KBT40" s="38"/>
      <c r="KBU40" s="38"/>
      <c r="KBV40" s="39"/>
      <c r="KBW40" s="38"/>
      <c r="KBX40" s="38"/>
      <c r="KBY40" s="38"/>
      <c r="KBZ40" s="40"/>
      <c r="KCA40" s="41"/>
      <c r="KCB40" s="40"/>
      <c r="KCC40" s="38"/>
      <c r="KCD40" s="42"/>
      <c r="KCE40" s="42"/>
      <c r="KCF40" s="42"/>
      <c r="KCG40" s="38"/>
      <c r="KCH40" s="38"/>
      <c r="KCI40" s="38"/>
      <c r="KCJ40" s="39"/>
      <c r="KCK40" s="38"/>
      <c r="KCL40" s="38"/>
      <c r="KCM40" s="38"/>
      <c r="KCN40" s="40"/>
      <c r="KCO40" s="41"/>
      <c r="KCP40" s="40"/>
      <c r="KCQ40" s="38"/>
      <c r="KCR40" s="42"/>
      <c r="KCS40" s="42"/>
      <c r="KCT40" s="42"/>
      <c r="KCU40" s="38"/>
      <c r="KCV40" s="38"/>
      <c r="KCW40" s="38"/>
      <c r="KCX40" s="39"/>
      <c r="KCY40" s="38"/>
      <c r="KCZ40" s="38"/>
      <c r="KDA40" s="38"/>
      <c r="KDB40" s="40"/>
      <c r="KDC40" s="41"/>
      <c r="KDD40" s="40"/>
      <c r="KDE40" s="38"/>
      <c r="KDF40" s="42"/>
      <c r="KDG40" s="42"/>
      <c r="KDH40" s="42"/>
      <c r="KDI40" s="38"/>
      <c r="KDJ40" s="38"/>
      <c r="KDK40" s="38"/>
      <c r="KDL40" s="39"/>
      <c r="KDM40" s="38"/>
      <c r="KDN40" s="38"/>
      <c r="KDO40" s="38"/>
      <c r="KDP40" s="40"/>
      <c r="KDQ40" s="41"/>
      <c r="KDR40" s="40"/>
      <c r="KDS40" s="38"/>
      <c r="KDT40" s="42"/>
      <c r="KDU40" s="42"/>
      <c r="KDV40" s="42"/>
      <c r="KDW40" s="38"/>
      <c r="KDX40" s="38"/>
      <c r="KDY40" s="38"/>
      <c r="KDZ40" s="39"/>
      <c r="KEA40" s="38"/>
      <c r="KEB40" s="38"/>
      <c r="KEC40" s="38"/>
      <c r="KED40" s="40"/>
      <c r="KEE40" s="41"/>
      <c r="KEF40" s="40"/>
      <c r="KEG40" s="38"/>
      <c r="KEH40" s="42"/>
      <c r="KEI40" s="42"/>
      <c r="KEJ40" s="42"/>
      <c r="KEK40" s="38"/>
      <c r="KEL40" s="38"/>
      <c r="KEM40" s="38"/>
      <c r="KEN40" s="39"/>
      <c r="KEO40" s="38"/>
      <c r="KEP40" s="38"/>
      <c r="KEQ40" s="38"/>
      <c r="KER40" s="40"/>
      <c r="KES40" s="41"/>
      <c r="KET40" s="40"/>
      <c r="KEU40" s="38"/>
      <c r="KEV40" s="42"/>
      <c r="KEW40" s="42"/>
      <c r="KEX40" s="42"/>
      <c r="KEY40" s="38"/>
      <c r="KEZ40" s="38"/>
      <c r="KFA40" s="38"/>
      <c r="KFB40" s="39"/>
      <c r="KFC40" s="38"/>
      <c r="KFD40" s="38"/>
      <c r="KFE40" s="38"/>
      <c r="KFF40" s="40"/>
      <c r="KFG40" s="41"/>
      <c r="KFH40" s="40"/>
      <c r="KFI40" s="38"/>
      <c r="KFJ40" s="42"/>
      <c r="KFK40" s="42"/>
      <c r="KFL40" s="42"/>
      <c r="KFM40" s="38"/>
      <c r="KFN40" s="38"/>
      <c r="KFO40" s="38"/>
      <c r="KFP40" s="39"/>
      <c r="KFQ40" s="38"/>
      <c r="KFR40" s="38"/>
      <c r="KFS40" s="38"/>
      <c r="KFT40" s="40"/>
      <c r="KFU40" s="41"/>
      <c r="KFV40" s="40"/>
      <c r="KFW40" s="38"/>
      <c r="KFX40" s="42"/>
      <c r="KFY40" s="42"/>
      <c r="KFZ40" s="42"/>
      <c r="KGA40" s="38"/>
      <c r="KGB40" s="38"/>
      <c r="KGC40" s="38"/>
      <c r="KGD40" s="39"/>
      <c r="KGE40" s="38"/>
      <c r="KGF40" s="38"/>
      <c r="KGG40" s="38"/>
      <c r="KGH40" s="40"/>
      <c r="KGI40" s="41"/>
      <c r="KGJ40" s="40"/>
      <c r="KGK40" s="38"/>
      <c r="KGL40" s="42"/>
      <c r="KGM40" s="42"/>
      <c r="KGN40" s="42"/>
      <c r="KGO40" s="38"/>
      <c r="KGP40" s="38"/>
      <c r="KGQ40" s="38"/>
      <c r="KGR40" s="39"/>
      <c r="KGS40" s="38"/>
      <c r="KGT40" s="38"/>
      <c r="KGU40" s="38"/>
      <c r="KGV40" s="40"/>
      <c r="KGW40" s="41"/>
      <c r="KGX40" s="40"/>
      <c r="KGY40" s="38"/>
      <c r="KGZ40" s="42"/>
      <c r="KHA40" s="42"/>
      <c r="KHB40" s="42"/>
      <c r="KHC40" s="38"/>
      <c r="KHD40" s="38"/>
      <c r="KHE40" s="38"/>
      <c r="KHF40" s="39"/>
      <c r="KHG40" s="38"/>
      <c r="KHH40" s="38"/>
      <c r="KHI40" s="38"/>
      <c r="KHJ40" s="40"/>
      <c r="KHK40" s="41"/>
      <c r="KHL40" s="40"/>
      <c r="KHM40" s="38"/>
      <c r="KHN40" s="42"/>
      <c r="KHO40" s="42"/>
      <c r="KHP40" s="42"/>
      <c r="KHQ40" s="38"/>
      <c r="KHR40" s="38"/>
      <c r="KHS40" s="38"/>
      <c r="KHT40" s="39"/>
      <c r="KHU40" s="38"/>
      <c r="KHV40" s="38"/>
      <c r="KHW40" s="38"/>
      <c r="KHX40" s="40"/>
      <c r="KHY40" s="41"/>
      <c r="KHZ40" s="40"/>
      <c r="KIA40" s="38"/>
      <c r="KIB40" s="42"/>
      <c r="KIC40" s="42"/>
      <c r="KID40" s="42"/>
      <c r="KIE40" s="38"/>
      <c r="KIF40" s="38"/>
      <c r="KIG40" s="38"/>
      <c r="KIH40" s="39"/>
      <c r="KII40" s="38"/>
      <c r="KIJ40" s="38"/>
      <c r="KIK40" s="38"/>
      <c r="KIL40" s="40"/>
      <c r="KIM40" s="41"/>
      <c r="KIN40" s="40"/>
      <c r="KIO40" s="38"/>
      <c r="KIP40" s="42"/>
      <c r="KIQ40" s="42"/>
      <c r="KIR40" s="42"/>
      <c r="KIS40" s="38"/>
      <c r="KIT40" s="38"/>
      <c r="KIU40" s="38"/>
      <c r="KIV40" s="39"/>
      <c r="KIW40" s="38"/>
      <c r="KIX40" s="38"/>
      <c r="KIY40" s="38"/>
      <c r="KIZ40" s="40"/>
      <c r="KJA40" s="41"/>
      <c r="KJB40" s="40"/>
      <c r="KJC40" s="38"/>
      <c r="KJD40" s="42"/>
      <c r="KJE40" s="42"/>
      <c r="KJF40" s="42"/>
      <c r="KJG40" s="38"/>
      <c r="KJH40" s="38"/>
      <c r="KJI40" s="38"/>
      <c r="KJJ40" s="39"/>
      <c r="KJK40" s="38"/>
      <c r="KJL40" s="38"/>
      <c r="KJM40" s="38"/>
      <c r="KJN40" s="40"/>
      <c r="KJO40" s="41"/>
      <c r="KJP40" s="40"/>
      <c r="KJQ40" s="38"/>
      <c r="KJR40" s="42"/>
      <c r="KJS40" s="42"/>
      <c r="KJT40" s="42"/>
      <c r="KJU40" s="38"/>
      <c r="KJV40" s="38"/>
      <c r="KJW40" s="38"/>
      <c r="KJX40" s="39"/>
      <c r="KJY40" s="38"/>
      <c r="KJZ40" s="38"/>
      <c r="KKA40" s="38"/>
      <c r="KKB40" s="40"/>
      <c r="KKC40" s="41"/>
      <c r="KKD40" s="40"/>
      <c r="KKE40" s="38"/>
      <c r="KKF40" s="42"/>
      <c r="KKG40" s="42"/>
      <c r="KKH40" s="42"/>
      <c r="KKI40" s="38"/>
      <c r="KKJ40" s="38"/>
      <c r="KKK40" s="38"/>
      <c r="KKL40" s="39"/>
      <c r="KKM40" s="38"/>
      <c r="KKN40" s="38"/>
      <c r="KKO40" s="38"/>
      <c r="KKP40" s="40"/>
      <c r="KKQ40" s="41"/>
      <c r="KKR40" s="40"/>
      <c r="KKS40" s="38"/>
      <c r="KKT40" s="42"/>
      <c r="KKU40" s="42"/>
      <c r="KKV40" s="42"/>
      <c r="KKW40" s="38"/>
      <c r="KKX40" s="38"/>
      <c r="KKY40" s="38"/>
      <c r="KKZ40" s="39"/>
      <c r="KLA40" s="38"/>
      <c r="KLB40" s="38"/>
      <c r="KLC40" s="38"/>
      <c r="KLD40" s="40"/>
      <c r="KLE40" s="41"/>
      <c r="KLF40" s="40"/>
      <c r="KLG40" s="38"/>
      <c r="KLH40" s="42"/>
      <c r="KLI40" s="42"/>
      <c r="KLJ40" s="42"/>
      <c r="KLK40" s="38"/>
      <c r="KLL40" s="38"/>
      <c r="KLM40" s="38"/>
      <c r="KLN40" s="39"/>
      <c r="KLO40" s="38"/>
      <c r="KLP40" s="38"/>
      <c r="KLQ40" s="38"/>
      <c r="KLR40" s="40"/>
      <c r="KLS40" s="41"/>
      <c r="KLT40" s="40"/>
      <c r="KLU40" s="38"/>
      <c r="KLV40" s="42"/>
      <c r="KLW40" s="42"/>
      <c r="KLX40" s="42"/>
      <c r="KLY40" s="38"/>
      <c r="KLZ40" s="38"/>
      <c r="KMA40" s="38"/>
      <c r="KMB40" s="39"/>
      <c r="KMC40" s="38"/>
      <c r="KMD40" s="38"/>
      <c r="KME40" s="38"/>
      <c r="KMF40" s="40"/>
      <c r="KMG40" s="41"/>
      <c r="KMH40" s="40"/>
      <c r="KMI40" s="38"/>
      <c r="KMJ40" s="42"/>
      <c r="KMK40" s="42"/>
      <c r="KML40" s="42"/>
      <c r="KMM40" s="38"/>
      <c r="KMN40" s="38"/>
      <c r="KMO40" s="38"/>
      <c r="KMP40" s="39"/>
      <c r="KMQ40" s="38"/>
      <c r="KMR40" s="38"/>
      <c r="KMS40" s="38"/>
      <c r="KMT40" s="40"/>
      <c r="KMU40" s="41"/>
      <c r="KMV40" s="40"/>
      <c r="KMW40" s="38"/>
      <c r="KMX40" s="42"/>
      <c r="KMY40" s="42"/>
      <c r="KMZ40" s="42"/>
      <c r="KNA40" s="38"/>
      <c r="KNB40" s="38"/>
      <c r="KNC40" s="38"/>
      <c r="KND40" s="39"/>
      <c r="KNE40" s="38"/>
      <c r="KNF40" s="38"/>
      <c r="KNG40" s="38"/>
      <c r="KNH40" s="40"/>
      <c r="KNI40" s="41"/>
      <c r="KNJ40" s="40"/>
      <c r="KNK40" s="38"/>
      <c r="KNL40" s="42"/>
      <c r="KNM40" s="42"/>
      <c r="KNN40" s="42"/>
      <c r="KNO40" s="38"/>
      <c r="KNP40" s="38"/>
      <c r="KNQ40" s="38"/>
      <c r="KNR40" s="39"/>
      <c r="KNS40" s="38"/>
      <c r="KNT40" s="38"/>
      <c r="KNU40" s="38"/>
      <c r="KNV40" s="40"/>
      <c r="KNW40" s="41"/>
      <c r="KNX40" s="40"/>
      <c r="KNY40" s="38"/>
      <c r="KNZ40" s="42"/>
      <c r="KOA40" s="42"/>
      <c r="KOB40" s="42"/>
      <c r="KOC40" s="38"/>
      <c r="KOD40" s="38"/>
      <c r="KOE40" s="38"/>
      <c r="KOF40" s="39"/>
      <c r="KOG40" s="38"/>
      <c r="KOH40" s="38"/>
      <c r="KOI40" s="38"/>
      <c r="KOJ40" s="40"/>
      <c r="KOK40" s="41"/>
      <c r="KOL40" s="40"/>
      <c r="KOM40" s="38"/>
      <c r="KON40" s="42"/>
      <c r="KOO40" s="42"/>
      <c r="KOP40" s="42"/>
      <c r="KOQ40" s="38"/>
      <c r="KOR40" s="38"/>
      <c r="KOS40" s="38"/>
      <c r="KOT40" s="39"/>
      <c r="KOU40" s="38"/>
      <c r="KOV40" s="38"/>
      <c r="KOW40" s="38"/>
      <c r="KOX40" s="40"/>
      <c r="KOY40" s="41"/>
      <c r="KOZ40" s="40"/>
      <c r="KPA40" s="38"/>
      <c r="KPB40" s="42"/>
      <c r="KPC40" s="42"/>
      <c r="KPD40" s="42"/>
      <c r="KPE40" s="38"/>
      <c r="KPF40" s="38"/>
      <c r="KPG40" s="38"/>
      <c r="KPH40" s="39"/>
      <c r="KPI40" s="38"/>
      <c r="KPJ40" s="38"/>
      <c r="KPK40" s="38"/>
      <c r="KPL40" s="40"/>
      <c r="KPM40" s="41"/>
      <c r="KPN40" s="40"/>
      <c r="KPO40" s="38"/>
      <c r="KPP40" s="42"/>
      <c r="KPQ40" s="42"/>
      <c r="KPR40" s="42"/>
      <c r="KPS40" s="38"/>
      <c r="KPT40" s="38"/>
      <c r="KPU40" s="38"/>
      <c r="KPV40" s="39"/>
      <c r="KPW40" s="38"/>
      <c r="KPX40" s="38"/>
      <c r="KPY40" s="38"/>
      <c r="KPZ40" s="40"/>
      <c r="KQA40" s="41"/>
      <c r="KQB40" s="40"/>
      <c r="KQC40" s="38"/>
      <c r="KQD40" s="42"/>
      <c r="KQE40" s="42"/>
      <c r="KQF40" s="42"/>
      <c r="KQG40" s="38"/>
      <c r="KQH40" s="38"/>
      <c r="KQI40" s="38"/>
      <c r="KQJ40" s="39"/>
      <c r="KQK40" s="38"/>
      <c r="KQL40" s="38"/>
      <c r="KQM40" s="38"/>
      <c r="KQN40" s="40"/>
      <c r="KQO40" s="41"/>
      <c r="KQP40" s="40"/>
      <c r="KQQ40" s="38"/>
      <c r="KQR40" s="42"/>
      <c r="KQS40" s="42"/>
      <c r="KQT40" s="42"/>
      <c r="KQU40" s="38"/>
      <c r="KQV40" s="38"/>
      <c r="KQW40" s="38"/>
      <c r="KQX40" s="39"/>
      <c r="KQY40" s="38"/>
      <c r="KQZ40" s="38"/>
      <c r="KRA40" s="38"/>
      <c r="KRB40" s="40"/>
      <c r="KRC40" s="41"/>
      <c r="KRD40" s="40"/>
      <c r="KRE40" s="38"/>
      <c r="KRF40" s="42"/>
      <c r="KRG40" s="42"/>
      <c r="KRH40" s="42"/>
      <c r="KRI40" s="38"/>
      <c r="KRJ40" s="38"/>
      <c r="KRK40" s="38"/>
      <c r="KRL40" s="39"/>
      <c r="KRM40" s="38"/>
      <c r="KRN40" s="38"/>
      <c r="KRO40" s="38"/>
      <c r="KRP40" s="40"/>
      <c r="KRQ40" s="41"/>
      <c r="KRR40" s="40"/>
      <c r="KRS40" s="38"/>
      <c r="KRT40" s="42"/>
      <c r="KRU40" s="42"/>
      <c r="KRV40" s="42"/>
      <c r="KRW40" s="38"/>
      <c r="KRX40" s="38"/>
      <c r="KRY40" s="38"/>
      <c r="KRZ40" s="39"/>
      <c r="KSA40" s="38"/>
      <c r="KSB40" s="38"/>
      <c r="KSC40" s="38"/>
      <c r="KSD40" s="40"/>
      <c r="KSE40" s="41"/>
      <c r="KSF40" s="40"/>
      <c r="KSG40" s="38"/>
      <c r="KSH40" s="42"/>
      <c r="KSI40" s="42"/>
      <c r="KSJ40" s="42"/>
      <c r="KSK40" s="38"/>
      <c r="KSL40" s="38"/>
      <c r="KSM40" s="38"/>
      <c r="KSN40" s="39"/>
      <c r="KSO40" s="38"/>
      <c r="KSP40" s="38"/>
      <c r="KSQ40" s="38"/>
      <c r="KSR40" s="40"/>
      <c r="KSS40" s="41"/>
      <c r="KST40" s="40"/>
      <c r="KSU40" s="38"/>
      <c r="KSV40" s="42"/>
      <c r="KSW40" s="42"/>
      <c r="KSX40" s="42"/>
      <c r="KSY40" s="38"/>
      <c r="KSZ40" s="38"/>
      <c r="KTA40" s="38"/>
      <c r="KTB40" s="39"/>
      <c r="KTC40" s="38"/>
      <c r="KTD40" s="38"/>
      <c r="KTE40" s="38"/>
      <c r="KTF40" s="40"/>
      <c r="KTG40" s="41"/>
      <c r="KTH40" s="40"/>
      <c r="KTI40" s="38"/>
      <c r="KTJ40" s="42"/>
      <c r="KTK40" s="42"/>
      <c r="KTL40" s="42"/>
      <c r="KTM40" s="38"/>
      <c r="KTN40" s="38"/>
      <c r="KTO40" s="38"/>
      <c r="KTP40" s="39"/>
      <c r="KTQ40" s="38"/>
      <c r="KTR40" s="38"/>
      <c r="KTS40" s="38"/>
      <c r="KTT40" s="40"/>
      <c r="KTU40" s="41"/>
      <c r="KTV40" s="40"/>
      <c r="KTW40" s="38"/>
      <c r="KTX40" s="42"/>
      <c r="KTY40" s="42"/>
      <c r="KTZ40" s="42"/>
      <c r="KUA40" s="38"/>
      <c r="KUB40" s="38"/>
      <c r="KUC40" s="38"/>
      <c r="KUD40" s="39"/>
      <c r="KUE40" s="38"/>
      <c r="KUF40" s="38"/>
      <c r="KUG40" s="38"/>
      <c r="KUH40" s="40"/>
      <c r="KUI40" s="41"/>
      <c r="KUJ40" s="40"/>
      <c r="KUK40" s="38"/>
      <c r="KUL40" s="42"/>
      <c r="KUM40" s="42"/>
      <c r="KUN40" s="42"/>
      <c r="KUO40" s="38"/>
      <c r="KUP40" s="38"/>
      <c r="KUQ40" s="38"/>
      <c r="KUR40" s="39"/>
      <c r="KUS40" s="38"/>
      <c r="KUT40" s="38"/>
      <c r="KUU40" s="38"/>
      <c r="KUV40" s="40"/>
      <c r="KUW40" s="41"/>
      <c r="KUX40" s="40"/>
      <c r="KUY40" s="38"/>
      <c r="KUZ40" s="42"/>
      <c r="KVA40" s="42"/>
      <c r="KVB40" s="42"/>
      <c r="KVC40" s="38"/>
      <c r="KVD40" s="38"/>
      <c r="KVE40" s="38"/>
      <c r="KVF40" s="39"/>
      <c r="KVG40" s="38"/>
      <c r="KVH40" s="38"/>
      <c r="KVI40" s="38"/>
      <c r="KVJ40" s="40"/>
      <c r="KVK40" s="41"/>
      <c r="KVL40" s="40"/>
      <c r="KVM40" s="38"/>
      <c r="KVN40" s="42"/>
      <c r="KVO40" s="42"/>
      <c r="KVP40" s="42"/>
      <c r="KVQ40" s="38"/>
      <c r="KVR40" s="38"/>
      <c r="KVS40" s="38"/>
      <c r="KVT40" s="39"/>
      <c r="KVU40" s="38"/>
      <c r="KVV40" s="38"/>
      <c r="KVW40" s="38"/>
      <c r="KVX40" s="40"/>
      <c r="KVY40" s="41"/>
      <c r="KVZ40" s="40"/>
      <c r="KWA40" s="38"/>
      <c r="KWB40" s="42"/>
      <c r="KWC40" s="42"/>
      <c r="KWD40" s="42"/>
      <c r="KWE40" s="38"/>
      <c r="KWF40" s="38"/>
      <c r="KWG40" s="38"/>
      <c r="KWH40" s="39"/>
      <c r="KWI40" s="38"/>
      <c r="KWJ40" s="38"/>
      <c r="KWK40" s="38"/>
      <c r="KWL40" s="40"/>
      <c r="KWM40" s="41"/>
      <c r="KWN40" s="40"/>
      <c r="KWO40" s="38"/>
      <c r="KWP40" s="42"/>
      <c r="KWQ40" s="42"/>
      <c r="KWR40" s="42"/>
      <c r="KWS40" s="38"/>
      <c r="KWT40" s="38"/>
      <c r="KWU40" s="38"/>
      <c r="KWV40" s="39"/>
      <c r="KWW40" s="38"/>
      <c r="KWX40" s="38"/>
      <c r="KWY40" s="38"/>
      <c r="KWZ40" s="40"/>
      <c r="KXA40" s="41"/>
      <c r="KXB40" s="40"/>
      <c r="KXC40" s="38"/>
      <c r="KXD40" s="42"/>
      <c r="KXE40" s="42"/>
      <c r="KXF40" s="42"/>
      <c r="KXG40" s="38"/>
      <c r="KXH40" s="38"/>
      <c r="KXI40" s="38"/>
      <c r="KXJ40" s="39"/>
      <c r="KXK40" s="38"/>
      <c r="KXL40" s="38"/>
      <c r="KXM40" s="38"/>
      <c r="KXN40" s="40"/>
      <c r="KXO40" s="41"/>
      <c r="KXP40" s="40"/>
      <c r="KXQ40" s="38"/>
      <c r="KXR40" s="42"/>
      <c r="KXS40" s="42"/>
      <c r="KXT40" s="42"/>
      <c r="KXU40" s="38"/>
      <c r="KXV40" s="38"/>
      <c r="KXW40" s="38"/>
      <c r="KXX40" s="39"/>
      <c r="KXY40" s="38"/>
      <c r="KXZ40" s="38"/>
      <c r="KYA40" s="38"/>
      <c r="KYB40" s="40"/>
      <c r="KYC40" s="41"/>
      <c r="KYD40" s="40"/>
      <c r="KYE40" s="38"/>
      <c r="KYF40" s="42"/>
      <c r="KYG40" s="42"/>
      <c r="KYH40" s="42"/>
      <c r="KYI40" s="38"/>
      <c r="KYJ40" s="38"/>
      <c r="KYK40" s="38"/>
      <c r="KYL40" s="39"/>
      <c r="KYM40" s="38"/>
      <c r="KYN40" s="38"/>
      <c r="KYO40" s="38"/>
      <c r="KYP40" s="40"/>
      <c r="KYQ40" s="41"/>
      <c r="KYR40" s="40"/>
      <c r="KYS40" s="38"/>
      <c r="KYT40" s="42"/>
      <c r="KYU40" s="42"/>
      <c r="KYV40" s="42"/>
      <c r="KYW40" s="38"/>
      <c r="KYX40" s="38"/>
      <c r="KYY40" s="38"/>
      <c r="KYZ40" s="39"/>
      <c r="KZA40" s="38"/>
      <c r="KZB40" s="38"/>
      <c r="KZC40" s="38"/>
      <c r="KZD40" s="40"/>
      <c r="KZE40" s="41"/>
      <c r="KZF40" s="40"/>
      <c r="KZG40" s="38"/>
      <c r="KZH40" s="42"/>
      <c r="KZI40" s="42"/>
      <c r="KZJ40" s="42"/>
      <c r="KZK40" s="38"/>
      <c r="KZL40" s="38"/>
      <c r="KZM40" s="38"/>
      <c r="KZN40" s="39"/>
      <c r="KZO40" s="38"/>
      <c r="KZP40" s="38"/>
      <c r="KZQ40" s="38"/>
      <c r="KZR40" s="40"/>
      <c r="KZS40" s="41"/>
      <c r="KZT40" s="40"/>
      <c r="KZU40" s="38"/>
      <c r="KZV40" s="42"/>
      <c r="KZW40" s="42"/>
      <c r="KZX40" s="42"/>
      <c r="KZY40" s="38"/>
      <c r="KZZ40" s="38"/>
      <c r="LAA40" s="38"/>
      <c r="LAB40" s="39"/>
      <c r="LAC40" s="38"/>
      <c r="LAD40" s="38"/>
      <c r="LAE40" s="38"/>
      <c r="LAF40" s="40"/>
      <c r="LAG40" s="41"/>
      <c r="LAH40" s="40"/>
      <c r="LAI40" s="38"/>
      <c r="LAJ40" s="42"/>
      <c r="LAK40" s="42"/>
      <c r="LAL40" s="42"/>
      <c r="LAM40" s="38"/>
      <c r="LAN40" s="38"/>
      <c r="LAO40" s="38"/>
      <c r="LAP40" s="39"/>
      <c r="LAQ40" s="38"/>
      <c r="LAR40" s="38"/>
      <c r="LAS40" s="38"/>
      <c r="LAT40" s="40"/>
      <c r="LAU40" s="41"/>
      <c r="LAV40" s="40"/>
      <c r="LAW40" s="38"/>
      <c r="LAX40" s="42"/>
      <c r="LAY40" s="42"/>
      <c r="LAZ40" s="42"/>
      <c r="LBA40" s="38"/>
      <c r="LBB40" s="38"/>
      <c r="LBC40" s="38"/>
      <c r="LBD40" s="39"/>
      <c r="LBE40" s="38"/>
      <c r="LBF40" s="38"/>
      <c r="LBG40" s="38"/>
      <c r="LBH40" s="40"/>
      <c r="LBI40" s="41"/>
      <c r="LBJ40" s="40"/>
      <c r="LBK40" s="38"/>
      <c r="LBL40" s="42"/>
      <c r="LBM40" s="42"/>
      <c r="LBN40" s="42"/>
      <c r="LBO40" s="38"/>
      <c r="LBP40" s="38"/>
      <c r="LBQ40" s="38"/>
      <c r="LBR40" s="39"/>
      <c r="LBS40" s="38"/>
      <c r="LBT40" s="38"/>
      <c r="LBU40" s="38"/>
      <c r="LBV40" s="40"/>
      <c r="LBW40" s="41"/>
      <c r="LBX40" s="40"/>
      <c r="LBY40" s="38"/>
      <c r="LBZ40" s="42"/>
      <c r="LCA40" s="42"/>
      <c r="LCB40" s="42"/>
      <c r="LCC40" s="38"/>
      <c r="LCD40" s="38"/>
      <c r="LCE40" s="38"/>
      <c r="LCF40" s="39"/>
      <c r="LCG40" s="38"/>
      <c r="LCH40" s="38"/>
      <c r="LCI40" s="38"/>
      <c r="LCJ40" s="40"/>
      <c r="LCK40" s="41"/>
      <c r="LCL40" s="40"/>
      <c r="LCM40" s="38"/>
      <c r="LCN40" s="42"/>
      <c r="LCO40" s="42"/>
      <c r="LCP40" s="42"/>
      <c r="LCQ40" s="38"/>
      <c r="LCR40" s="38"/>
      <c r="LCS40" s="38"/>
      <c r="LCT40" s="39"/>
      <c r="LCU40" s="38"/>
      <c r="LCV40" s="38"/>
      <c r="LCW40" s="38"/>
      <c r="LCX40" s="40"/>
      <c r="LCY40" s="41"/>
      <c r="LCZ40" s="40"/>
      <c r="LDA40" s="38"/>
      <c r="LDB40" s="42"/>
      <c r="LDC40" s="42"/>
      <c r="LDD40" s="42"/>
      <c r="LDE40" s="38"/>
      <c r="LDF40" s="38"/>
      <c r="LDG40" s="38"/>
      <c r="LDH40" s="39"/>
      <c r="LDI40" s="38"/>
      <c r="LDJ40" s="38"/>
      <c r="LDK40" s="38"/>
      <c r="LDL40" s="40"/>
      <c r="LDM40" s="41"/>
      <c r="LDN40" s="40"/>
      <c r="LDO40" s="38"/>
      <c r="LDP40" s="42"/>
      <c r="LDQ40" s="42"/>
      <c r="LDR40" s="42"/>
      <c r="LDS40" s="38"/>
      <c r="LDT40" s="38"/>
      <c r="LDU40" s="38"/>
      <c r="LDV40" s="39"/>
      <c r="LDW40" s="38"/>
      <c r="LDX40" s="38"/>
      <c r="LDY40" s="38"/>
      <c r="LDZ40" s="40"/>
      <c r="LEA40" s="41"/>
      <c r="LEB40" s="40"/>
      <c r="LEC40" s="38"/>
      <c r="LED40" s="42"/>
      <c r="LEE40" s="42"/>
      <c r="LEF40" s="42"/>
      <c r="LEG40" s="38"/>
      <c r="LEH40" s="38"/>
      <c r="LEI40" s="38"/>
      <c r="LEJ40" s="39"/>
      <c r="LEK40" s="38"/>
      <c r="LEL40" s="38"/>
      <c r="LEM40" s="38"/>
      <c r="LEN40" s="40"/>
      <c r="LEO40" s="41"/>
      <c r="LEP40" s="40"/>
      <c r="LEQ40" s="38"/>
      <c r="LER40" s="42"/>
      <c r="LES40" s="42"/>
      <c r="LET40" s="42"/>
      <c r="LEU40" s="38"/>
      <c r="LEV40" s="38"/>
      <c r="LEW40" s="38"/>
      <c r="LEX40" s="39"/>
      <c r="LEY40" s="38"/>
      <c r="LEZ40" s="38"/>
      <c r="LFA40" s="38"/>
      <c r="LFB40" s="40"/>
      <c r="LFC40" s="41"/>
      <c r="LFD40" s="40"/>
      <c r="LFE40" s="38"/>
      <c r="LFF40" s="42"/>
      <c r="LFG40" s="42"/>
      <c r="LFH40" s="42"/>
      <c r="LFI40" s="38"/>
      <c r="LFJ40" s="38"/>
      <c r="LFK40" s="38"/>
      <c r="LFL40" s="39"/>
      <c r="LFM40" s="38"/>
      <c r="LFN40" s="38"/>
      <c r="LFO40" s="38"/>
      <c r="LFP40" s="40"/>
      <c r="LFQ40" s="41"/>
      <c r="LFR40" s="40"/>
      <c r="LFS40" s="38"/>
      <c r="LFT40" s="42"/>
      <c r="LFU40" s="42"/>
      <c r="LFV40" s="42"/>
      <c r="LFW40" s="38"/>
      <c r="LFX40" s="38"/>
      <c r="LFY40" s="38"/>
      <c r="LFZ40" s="39"/>
      <c r="LGA40" s="38"/>
      <c r="LGB40" s="38"/>
      <c r="LGC40" s="38"/>
      <c r="LGD40" s="40"/>
      <c r="LGE40" s="41"/>
      <c r="LGF40" s="40"/>
      <c r="LGG40" s="38"/>
      <c r="LGH40" s="42"/>
      <c r="LGI40" s="42"/>
      <c r="LGJ40" s="42"/>
      <c r="LGK40" s="38"/>
      <c r="LGL40" s="38"/>
      <c r="LGM40" s="38"/>
      <c r="LGN40" s="39"/>
      <c r="LGO40" s="38"/>
      <c r="LGP40" s="38"/>
      <c r="LGQ40" s="38"/>
      <c r="LGR40" s="40"/>
      <c r="LGS40" s="41"/>
      <c r="LGT40" s="40"/>
      <c r="LGU40" s="38"/>
      <c r="LGV40" s="42"/>
      <c r="LGW40" s="42"/>
      <c r="LGX40" s="42"/>
      <c r="LGY40" s="38"/>
      <c r="LGZ40" s="38"/>
      <c r="LHA40" s="38"/>
      <c r="LHB40" s="39"/>
      <c r="LHC40" s="38"/>
      <c r="LHD40" s="38"/>
      <c r="LHE40" s="38"/>
      <c r="LHF40" s="40"/>
      <c r="LHG40" s="41"/>
      <c r="LHH40" s="40"/>
      <c r="LHI40" s="38"/>
      <c r="LHJ40" s="42"/>
      <c r="LHK40" s="42"/>
      <c r="LHL40" s="42"/>
      <c r="LHM40" s="38"/>
      <c r="LHN40" s="38"/>
      <c r="LHO40" s="38"/>
      <c r="LHP40" s="39"/>
      <c r="LHQ40" s="38"/>
      <c r="LHR40" s="38"/>
      <c r="LHS40" s="38"/>
      <c r="LHT40" s="40"/>
      <c r="LHU40" s="41"/>
      <c r="LHV40" s="40"/>
      <c r="LHW40" s="38"/>
      <c r="LHX40" s="42"/>
      <c r="LHY40" s="42"/>
      <c r="LHZ40" s="42"/>
      <c r="LIA40" s="38"/>
      <c r="LIB40" s="38"/>
      <c r="LIC40" s="38"/>
      <c r="LID40" s="39"/>
      <c r="LIE40" s="38"/>
      <c r="LIF40" s="38"/>
      <c r="LIG40" s="38"/>
      <c r="LIH40" s="40"/>
      <c r="LII40" s="41"/>
      <c r="LIJ40" s="40"/>
      <c r="LIK40" s="38"/>
      <c r="LIL40" s="42"/>
      <c r="LIM40" s="42"/>
      <c r="LIN40" s="42"/>
      <c r="LIO40" s="38"/>
      <c r="LIP40" s="38"/>
      <c r="LIQ40" s="38"/>
      <c r="LIR40" s="39"/>
      <c r="LIS40" s="38"/>
      <c r="LIT40" s="38"/>
      <c r="LIU40" s="38"/>
      <c r="LIV40" s="40"/>
      <c r="LIW40" s="41"/>
      <c r="LIX40" s="40"/>
      <c r="LIY40" s="38"/>
      <c r="LIZ40" s="42"/>
      <c r="LJA40" s="42"/>
      <c r="LJB40" s="42"/>
      <c r="LJC40" s="38"/>
      <c r="LJD40" s="38"/>
      <c r="LJE40" s="38"/>
      <c r="LJF40" s="39"/>
      <c r="LJG40" s="38"/>
      <c r="LJH40" s="38"/>
      <c r="LJI40" s="38"/>
      <c r="LJJ40" s="40"/>
      <c r="LJK40" s="41"/>
      <c r="LJL40" s="40"/>
      <c r="LJM40" s="38"/>
      <c r="LJN40" s="42"/>
      <c r="LJO40" s="42"/>
      <c r="LJP40" s="42"/>
      <c r="LJQ40" s="38"/>
      <c r="LJR40" s="38"/>
      <c r="LJS40" s="38"/>
      <c r="LJT40" s="39"/>
      <c r="LJU40" s="38"/>
      <c r="LJV40" s="38"/>
      <c r="LJW40" s="38"/>
      <c r="LJX40" s="40"/>
      <c r="LJY40" s="41"/>
      <c r="LJZ40" s="40"/>
      <c r="LKA40" s="38"/>
      <c r="LKB40" s="42"/>
      <c r="LKC40" s="42"/>
      <c r="LKD40" s="42"/>
      <c r="LKE40" s="38"/>
      <c r="LKF40" s="38"/>
      <c r="LKG40" s="38"/>
      <c r="LKH40" s="39"/>
      <c r="LKI40" s="38"/>
      <c r="LKJ40" s="38"/>
      <c r="LKK40" s="38"/>
      <c r="LKL40" s="40"/>
      <c r="LKM40" s="41"/>
      <c r="LKN40" s="40"/>
      <c r="LKO40" s="38"/>
      <c r="LKP40" s="42"/>
      <c r="LKQ40" s="42"/>
      <c r="LKR40" s="42"/>
      <c r="LKS40" s="38"/>
      <c r="LKT40" s="38"/>
      <c r="LKU40" s="38"/>
      <c r="LKV40" s="39"/>
      <c r="LKW40" s="38"/>
      <c r="LKX40" s="38"/>
      <c r="LKY40" s="38"/>
      <c r="LKZ40" s="40"/>
      <c r="LLA40" s="41"/>
      <c r="LLB40" s="40"/>
      <c r="LLC40" s="38"/>
      <c r="LLD40" s="42"/>
      <c r="LLE40" s="42"/>
      <c r="LLF40" s="42"/>
      <c r="LLG40" s="38"/>
      <c r="LLH40" s="38"/>
      <c r="LLI40" s="38"/>
      <c r="LLJ40" s="39"/>
      <c r="LLK40" s="38"/>
      <c r="LLL40" s="38"/>
      <c r="LLM40" s="38"/>
      <c r="LLN40" s="40"/>
      <c r="LLO40" s="41"/>
      <c r="LLP40" s="40"/>
      <c r="LLQ40" s="38"/>
      <c r="LLR40" s="42"/>
      <c r="LLS40" s="42"/>
      <c r="LLT40" s="42"/>
      <c r="LLU40" s="38"/>
      <c r="LLV40" s="38"/>
      <c r="LLW40" s="38"/>
      <c r="LLX40" s="39"/>
      <c r="LLY40" s="38"/>
      <c r="LLZ40" s="38"/>
      <c r="LMA40" s="38"/>
      <c r="LMB40" s="40"/>
      <c r="LMC40" s="41"/>
      <c r="LMD40" s="40"/>
      <c r="LME40" s="38"/>
      <c r="LMF40" s="42"/>
      <c r="LMG40" s="42"/>
      <c r="LMH40" s="42"/>
      <c r="LMI40" s="38"/>
      <c r="LMJ40" s="38"/>
      <c r="LMK40" s="38"/>
      <c r="LML40" s="39"/>
      <c r="LMM40" s="38"/>
      <c r="LMN40" s="38"/>
      <c r="LMO40" s="38"/>
      <c r="LMP40" s="40"/>
      <c r="LMQ40" s="41"/>
      <c r="LMR40" s="40"/>
      <c r="LMS40" s="38"/>
      <c r="LMT40" s="42"/>
      <c r="LMU40" s="42"/>
      <c r="LMV40" s="42"/>
      <c r="LMW40" s="38"/>
      <c r="LMX40" s="38"/>
      <c r="LMY40" s="38"/>
      <c r="LMZ40" s="39"/>
      <c r="LNA40" s="38"/>
      <c r="LNB40" s="38"/>
      <c r="LNC40" s="38"/>
      <c r="LND40" s="40"/>
      <c r="LNE40" s="41"/>
      <c r="LNF40" s="40"/>
      <c r="LNG40" s="38"/>
      <c r="LNH40" s="42"/>
      <c r="LNI40" s="42"/>
      <c r="LNJ40" s="42"/>
      <c r="LNK40" s="38"/>
      <c r="LNL40" s="38"/>
      <c r="LNM40" s="38"/>
      <c r="LNN40" s="39"/>
      <c r="LNO40" s="38"/>
      <c r="LNP40" s="38"/>
      <c r="LNQ40" s="38"/>
      <c r="LNR40" s="40"/>
      <c r="LNS40" s="41"/>
      <c r="LNT40" s="40"/>
      <c r="LNU40" s="38"/>
      <c r="LNV40" s="42"/>
      <c r="LNW40" s="42"/>
      <c r="LNX40" s="42"/>
      <c r="LNY40" s="38"/>
      <c r="LNZ40" s="38"/>
      <c r="LOA40" s="38"/>
      <c r="LOB40" s="39"/>
      <c r="LOC40" s="38"/>
      <c r="LOD40" s="38"/>
      <c r="LOE40" s="38"/>
      <c r="LOF40" s="40"/>
      <c r="LOG40" s="41"/>
      <c r="LOH40" s="40"/>
      <c r="LOI40" s="38"/>
      <c r="LOJ40" s="42"/>
      <c r="LOK40" s="42"/>
      <c r="LOL40" s="42"/>
      <c r="LOM40" s="38"/>
      <c r="LON40" s="38"/>
      <c r="LOO40" s="38"/>
      <c r="LOP40" s="39"/>
      <c r="LOQ40" s="38"/>
      <c r="LOR40" s="38"/>
      <c r="LOS40" s="38"/>
      <c r="LOT40" s="40"/>
      <c r="LOU40" s="41"/>
      <c r="LOV40" s="40"/>
      <c r="LOW40" s="38"/>
      <c r="LOX40" s="42"/>
      <c r="LOY40" s="42"/>
      <c r="LOZ40" s="42"/>
      <c r="LPA40" s="38"/>
      <c r="LPB40" s="38"/>
      <c r="LPC40" s="38"/>
      <c r="LPD40" s="39"/>
      <c r="LPE40" s="38"/>
      <c r="LPF40" s="38"/>
      <c r="LPG40" s="38"/>
      <c r="LPH40" s="40"/>
      <c r="LPI40" s="41"/>
      <c r="LPJ40" s="40"/>
      <c r="LPK40" s="38"/>
      <c r="LPL40" s="42"/>
      <c r="LPM40" s="42"/>
      <c r="LPN40" s="42"/>
      <c r="LPO40" s="38"/>
      <c r="LPP40" s="38"/>
      <c r="LPQ40" s="38"/>
      <c r="LPR40" s="39"/>
      <c r="LPS40" s="38"/>
      <c r="LPT40" s="38"/>
      <c r="LPU40" s="38"/>
      <c r="LPV40" s="40"/>
      <c r="LPW40" s="41"/>
      <c r="LPX40" s="40"/>
      <c r="LPY40" s="38"/>
      <c r="LPZ40" s="42"/>
      <c r="LQA40" s="42"/>
      <c r="LQB40" s="42"/>
      <c r="LQC40" s="38"/>
      <c r="LQD40" s="38"/>
      <c r="LQE40" s="38"/>
      <c r="LQF40" s="39"/>
      <c r="LQG40" s="38"/>
      <c r="LQH40" s="38"/>
      <c r="LQI40" s="38"/>
      <c r="LQJ40" s="40"/>
      <c r="LQK40" s="41"/>
      <c r="LQL40" s="40"/>
      <c r="LQM40" s="38"/>
      <c r="LQN40" s="42"/>
      <c r="LQO40" s="42"/>
      <c r="LQP40" s="42"/>
      <c r="LQQ40" s="38"/>
      <c r="LQR40" s="38"/>
      <c r="LQS40" s="38"/>
      <c r="LQT40" s="39"/>
      <c r="LQU40" s="38"/>
      <c r="LQV40" s="38"/>
      <c r="LQW40" s="38"/>
      <c r="LQX40" s="40"/>
      <c r="LQY40" s="41"/>
      <c r="LQZ40" s="40"/>
      <c r="LRA40" s="38"/>
      <c r="LRB40" s="42"/>
      <c r="LRC40" s="42"/>
      <c r="LRD40" s="42"/>
      <c r="LRE40" s="38"/>
      <c r="LRF40" s="38"/>
      <c r="LRG40" s="38"/>
      <c r="LRH40" s="39"/>
      <c r="LRI40" s="38"/>
      <c r="LRJ40" s="38"/>
      <c r="LRK40" s="38"/>
      <c r="LRL40" s="40"/>
      <c r="LRM40" s="41"/>
      <c r="LRN40" s="40"/>
      <c r="LRO40" s="38"/>
      <c r="LRP40" s="42"/>
      <c r="LRQ40" s="42"/>
      <c r="LRR40" s="42"/>
      <c r="LRS40" s="38"/>
      <c r="LRT40" s="38"/>
      <c r="LRU40" s="38"/>
      <c r="LRV40" s="39"/>
      <c r="LRW40" s="38"/>
      <c r="LRX40" s="38"/>
      <c r="LRY40" s="38"/>
      <c r="LRZ40" s="40"/>
      <c r="LSA40" s="41"/>
      <c r="LSB40" s="40"/>
      <c r="LSC40" s="38"/>
      <c r="LSD40" s="42"/>
      <c r="LSE40" s="42"/>
      <c r="LSF40" s="42"/>
      <c r="LSG40" s="38"/>
      <c r="LSH40" s="38"/>
      <c r="LSI40" s="38"/>
      <c r="LSJ40" s="39"/>
      <c r="LSK40" s="38"/>
      <c r="LSL40" s="38"/>
      <c r="LSM40" s="38"/>
      <c r="LSN40" s="40"/>
      <c r="LSO40" s="41"/>
      <c r="LSP40" s="40"/>
      <c r="LSQ40" s="38"/>
      <c r="LSR40" s="42"/>
      <c r="LSS40" s="42"/>
      <c r="LST40" s="42"/>
      <c r="LSU40" s="38"/>
      <c r="LSV40" s="38"/>
      <c r="LSW40" s="38"/>
      <c r="LSX40" s="39"/>
      <c r="LSY40" s="38"/>
      <c r="LSZ40" s="38"/>
      <c r="LTA40" s="38"/>
      <c r="LTB40" s="40"/>
      <c r="LTC40" s="41"/>
      <c r="LTD40" s="40"/>
      <c r="LTE40" s="38"/>
      <c r="LTF40" s="42"/>
      <c r="LTG40" s="42"/>
      <c r="LTH40" s="42"/>
      <c r="LTI40" s="38"/>
      <c r="LTJ40" s="38"/>
      <c r="LTK40" s="38"/>
      <c r="LTL40" s="39"/>
      <c r="LTM40" s="38"/>
      <c r="LTN40" s="38"/>
      <c r="LTO40" s="38"/>
      <c r="LTP40" s="40"/>
      <c r="LTQ40" s="41"/>
      <c r="LTR40" s="40"/>
      <c r="LTS40" s="38"/>
      <c r="LTT40" s="42"/>
      <c r="LTU40" s="42"/>
      <c r="LTV40" s="42"/>
      <c r="LTW40" s="38"/>
      <c r="LTX40" s="38"/>
      <c r="LTY40" s="38"/>
      <c r="LTZ40" s="39"/>
      <c r="LUA40" s="38"/>
      <c r="LUB40" s="38"/>
      <c r="LUC40" s="38"/>
      <c r="LUD40" s="40"/>
      <c r="LUE40" s="41"/>
      <c r="LUF40" s="40"/>
      <c r="LUG40" s="38"/>
      <c r="LUH40" s="42"/>
      <c r="LUI40" s="42"/>
      <c r="LUJ40" s="42"/>
      <c r="LUK40" s="38"/>
      <c r="LUL40" s="38"/>
      <c r="LUM40" s="38"/>
      <c r="LUN40" s="39"/>
      <c r="LUO40" s="38"/>
      <c r="LUP40" s="38"/>
      <c r="LUQ40" s="38"/>
      <c r="LUR40" s="40"/>
      <c r="LUS40" s="41"/>
      <c r="LUT40" s="40"/>
      <c r="LUU40" s="38"/>
      <c r="LUV40" s="42"/>
      <c r="LUW40" s="42"/>
      <c r="LUX40" s="42"/>
      <c r="LUY40" s="38"/>
      <c r="LUZ40" s="38"/>
      <c r="LVA40" s="38"/>
      <c r="LVB40" s="39"/>
      <c r="LVC40" s="38"/>
      <c r="LVD40" s="38"/>
      <c r="LVE40" s="38"/>
      <c r="LVF40" s="40"/>
      <c r="LVG40" s="41"/>
      <c r="LVH40" s="40"/>
      <c r="LVI40" s="38"/>
      <c r="LVJ40" s="42"/>
      <c r="LVK40" s="42"/>
      <c r="LVL40" s="42"/>
      <c r="LVM40" s="38"/>
      <c r="LVN40" s="38"/>
      <c r="LVO40" s="38"/>
      <c r="LVP40" s="39"/>
      <c r="LVQ40" s="38"/>
      <c r="LVR40" s="38"/>
      <c r="LVS40" s="38"/>
      <c r="LVT40" s="40"/>
      <c r="LVU40" s="41"/>
      <c r="LVV40" s="40"/>
      <c r="LVW40" s="38"/>
      <c r="LVX40" s="42"/>
      <c r="LVY40" s="42"/>
      <c r="LVZ40" s="42"/>
      <c r="LWA40" s="38"/>
      <c r="LWB40" s="38"/>
      <c r="LWC40" s="38"/>
      <c r="LWD40" s="39"/>
      <c r="LWE40" s="38"/>
      <c r="LWF40" s="38"/>
      <c r="LWG40" s="38"/>
      <c r="LWH40" s="40"/>
      <c r="LWI40" s="41"/>
      <c r="LWJ40" s="40"/>
      <c r="LWK40" s="38"/>
      <c r="LWL40" s="42"/>
      <c r="LWM40" s="42"/>
      <c r="LWN40" s="42"/>
      <c r="LWO40" s="38"/>
      <c r="LWP40" s="38"/>
      <c r="LWQ40" s="38"/>
      <c r="LWR40" s="39"/>
      <c r="LWS40" s="38"/>
      <c r="LWT40" s="38"/>
      <c r="LWU40" s="38"/>
      <c r="LWV40" s="40"/>
      <c r="LWW40" s="41"/>
      <c r="LWX40" s="40"/>
      <c r="LWY40" s="38"/>
      <c r="LWZ40" s="42"/>
      <c r="LXA40" s="42"/>
      <c r="LXB40" s="42"/>
      <c r="LXC40" s="38"/>
      <c r="LXD40" s="38"/>
      <c r="LXE40" s="38"/>
      <c r="LXF40" s="39"/>
      <c r="LXG40" s="38"/>
      <c r="LXH40" s="38"/>
      <c r="LXI40" s="38"/>
      <c r="LXJ40" s="40"/>
      <c r="LXK40" s="41"/>
      <c r="LXL40" s="40"/>
      <c r="LXM40" s="38"/>
      <c r="LXN40" s="42"/>
      <c r="LXO40" s="42"/>
      <c r="LXP40" s="42"/>
      <c r="LXQ40" s="38"/>
      <c r="LXR40" s="38"/>
      <c r="LXS40" s="38"/>
      <c r="LXT40" s="39"/>
      <c r="LXU40" s="38"/>
      <c r="LXV40" s="38"/>
      <c r="LXW40" s="38"/>
      <c r="LXX40" s="40"/>
      <c r="LXY40" s="41"/>
      <c r="LXZ40" s="40"/>
      <c r="LYA40" s="38"/>
      <c r="LYB40" s="42"/>
      <c r="LYC40" s="42"/>
      <c r="LYD40" s="42"/>
      <c r="LYE40" s="38"/>
      <c r="LYF40" s="38"/>
      <c r="LYG40" s="38"/>
      <c r="LYH40" s="39"/>
      <c r="LYI40" s="38"/>
      <c r="LYJ40" s="38"/>
      <c r="LYK40" s="38"/>
      <c r="LYL40" s="40"/>
      <c r="LYM40" s="41"/>
      <c r="LYN40" s="40"/>
      <c r="LYO40" s="38"/>
      <c r="LYP40" s="42"/>
      <c r="LYQ40" s="42"/>
      <c r="LYR40" s="42"/>
      <c r="LYS40" s="38"/>
      <c r="LYT40" s="38"/>
      <c r="LYU40" s="38"/>
      <c r="LYV40" s="39"/>
      <c r="LYW40" s="38"/>
      <c r="LYX40" s="38"/>
      <c r="LYY40" s="38"/>
      <c r="LYZ40" s="40"/>
      <c r="LZA40" s="41"/>
      <c r="LZB40" s="40"/>
      <c r="LZC40" s="38"/>
      <c r="LZD40" s="42"/>
      <c r="LZE40" s="42"/>
      <c r="LZF40" s="42"/>
      <c r="LZG40" s="38"/>
      <c r="LZH40" s="38"/>
      <c r="LZI40" s="38"/>
      <c r="LZJ40" s="39"/>
      <c r="LZK40" s="38"/>
      <c r="LZL40" s="38"/>
      <c r="LZM40" s="38"/>
      <c r="LZN40" s="40"/>
      <c r="LZO40" s="41"/>
      <c r="LZP40" s="40"/>
      <c r="LZQ40" s="38"/>
      <c r="LZR40" s="42"/>
      <c r="LZS40" s="42"/>
      <c r="LZT40" s="42"/>
      <c r="LZU40" s="38"/>
      <c r="LZV40" s="38"/>
      <c r="LZW40" s="38"/>
      <c r="LZX40" s="39"/>
      <c r="LZY40" s="38"/>
      <c r="LZZ40" s="38"/>
      <c r="MAA40" s="38"/>
      <c r="MAB40" s="40"/>
      <c r="MAC40" s="41"/>
      <c r="MAD40" s="40"/>
      <c r="MAE40" s="38"/>
      <c r="MAF40" s="42"/>
      <c r="MAG40" s="42"/>
      <c r="MAH40" s="42"/>
      <c r="MAI40" s="38"/>
      <c r="MAJ40" s="38"/>
      <c r="MAK40" s="38"/>
      <c r="MAL40" s="39"/>
      <c r="MAM40" s="38"/>
      <c r="MAN40" s="38"/>
      <c r="MAO40" s="38"/>
      <c r="MAP40" s="40"/>
      <c r="MAQ40" s="41"/>
      <c r="MAR40" s="40"/>
      <c r="MAS40" s="38"/>
      <c r="MAT40" s="42"/>
      <c r="MAU40" s="42"/>
      <c r="MAV40" s="42"/>
      <c r="MAW40" s="38"/>
      <c r="MAX40" s="38"/>
      <c r="MAY40" s="38"/>
      <c r="MAZ40" s="39"/>
      <c r="MBA40" s="38"/>
      <c r="MBB40" s="38"/>
      <c r="MBC40" s="38"/>
      <c r="MBD40" s="40"/>
      <c r="MBE40" s="41"/>
      <c r="MBF40" s="40"/>
      <c r="MBG40" s="38"/>
      <c r="MBH40" s="42"/>
      <c r="MBI40" s="42"/>
      <c r="MBJ40" s="42"/>
      <c r="MBK40" s="38"/>
      <c r="MBL40" s="38"/>
      <c r="MBM40" s="38"/>
      <c r="MBN40" s="39"/>
      <c r="MBO40" s="38"/>
      <c r="MBP40" s="38"/>
      <c r="MBQ40" s="38"/>
      <c r="MBR40" s="40"/>
      <c r="MBS40" s="41"/>
      <c r="MBT40" s="40"/>
      <c r="MBU40" s="38"/>
      <c r="MBV40" s="42"/>
      <c r="MBW40" s="42"/>
      <c r="MBX40" s="42"/>
      <c r="MBY40" s="38"/>
      <c r="MBZ40" s="38"/>
      <c r="MCA40" s="38"/>
      <c r="MCB40" s="39"/>
      <c r="MCC40" s="38"/>
      <c r="MCD40" s="38"/>
      <c r="MCE40" s="38"/>
      <c r="MCF40" s="40"/>
      <c r="MCG40" s="41"/>
      <c r="MCH40" s="40"/>
      <c r="MCI40" s="38"/>
      <c r="MCJ40" s="42"/>
      <c r="MCK40" s="42"/>
      <c r="MCL40" s="42"/>
      <c r="MCM40" s="38"/>
      <c r="MCN40" s="38"/>
      <c r="MCO40" s="38"/>
      <c r="MCP40" s="39"/>
      <c r="MCQ40" s="38"/>
      <c r="MCR40" s="38"/>
      <c r="MCS40" s="38"/>
      <c r="MCT40" s="40"/>
      <c r="MCU40" s="41"/>
      <c r="MCV40" s="40"/>
      <c r="MCW40" s="38"/>
      <c r="MCX40" s="42"/>
      <c r="MCY40" s="42"/>
      <c r="MCZ40" s="42"/>
      <c r="MDA40" s="38"/>
      <c r="MDB40" s="38"/>
      <c r="MDC40" s="38"/>
      <c r="MDD40" s="39"/>
      <c r="MDE40" s="38"/>
      <c r="MDF40" s="38"/>
      <c r="MDG40" s="38"/>
      <c r="MDH40" s="40"/>
      <c r="MDI40" s="41"/>
      <c r="MDJ40" s="40"/>
      <c r="MDK40" s="38"/>
      <c r="MDL40" s="42"/>
      <c r="MDM40" s="42"/>
      <c r="MDN40" s="42"/>
      <c r="MDO40" s="38"/>
      <c r="MDP40" s="38"/>
      <c r="MDQ40" s="38"/>
      <c r="MDR40" s="39"/>
      <c r="MDS40" s="38"/>
      <c r="MDT40" s="38"/>
      <c r="MDU40" s="38"/>
      <c r="MDV40" s="40"/>
      <c r="MDW40" s="41"/>
      <c r="MDX40" s="40"/>
      <c r="MDY40" s="38"/>
      <c r="MDZ40" s="42"/>
      <c r="MEA40" s="42"/>
      <c r="MEB40" s="42"/>
      <c r="MEC40" s="38"/>
      <c r="MED40" s="38"/>
      <c r="MEE40" s="38"/>
      <c r="MEF40" s="39"/>
      <c r="MEG40" s="38"/>
      <c r="MEH40" s="38"/>
      <c r="MEI40" s="38"/>
      <c r="MEJ40" s="40"/>
      <c r="MEK40" s="41"/>
      <c r="MEL40" s="40"/>
      <c r="MEM40" s="38"/>
      <c r="MEN40" s="42"/>
      <c r="MEO40" s="42"/>
      <c r="MEP40" s="42"/>
      <c r="MEQ40" s="38"/>
      <c r="MER40" s="38"/>
      <c r="MES40" s="38"/>
      <c r="MET40" s="39"/>
      <c r="MEU40" s="38"/>
      <c r="MEV40" s="38"/>
      <c r="MEW40" s="38"/>
      <c r="MEX40" s="40"/>
      <c r="MEY40" s="41"/>
      <c r="MEZ40" s="40"/>
      <c r="MFA40" s="38"/>
      <c r="MFB40" s="42"/>
      <c r="MFC40" s="42"/>
      <c r="MFD40" s="42"/>
      <c r="MFE40" s="38"/>
      <c r="MFF40" s="38"/>
      <c r="MFG40" s="38"/>
      <c r="MFH40" s="39"/>
      <c r="MFI40" s="38"/>
      <c r="MFJ40" s="38"/>
      <c r="MFK40" s="38"/>
      <c r="MFL40" s="40"/>
      <c r="MFM40" s="41"/>
      <c r="MFN40" s="40"/>
      <c r="MFO40" s="38"/>
      <c r="MFP40" s="42"/>
      <c r="MFQ40" s="42"/>
      <c r="MFR40" s="42"/>
      <c r="MFS40" s="38"/>
      <c r="MFT40" s="38"/>
      <c r="MFU40" s="38"/>
      <c r="MFV40" s="39"/>
      <c r="MFW40" s="38"/>
      <c r="MFX40" s="38"/>
      <c r="MFY40" s="38"/>
      <c r="MFZ40" s="40"/>
      <c r="MGA40" s="41"/>
      <c r="MGB40" s="40"/>
      <c r="MGC40" s="38"/>
      <c r="MGD40" s="42"/>
      <c r="MGE40" s="42"/>
      <c r="MGF40" s="42"/>
      <c r="MGG40" s="38"/>
      <c r="MGH40" s="38"/>
      <c r="MGI40" s="38"/>
      <c r="MGJ40" s="39"/>
      <c r="MGK40" s="38"/>
      <c r="MGL40" s="38"/>
      <c r="MGM40" s="38"/>
      <c r="MGN40" s="40"/>
      <c r="MGO40" s="41"/>
      <c r="MGP40" s="40"/>
      <c r="MGQ40" s="38"/>
      <c r="MGR40" s="42"/>
      <c r="MGS40" s="42"/>
      <c r="MGT40" s="42"/>
      <c r="MGU40" s="38"/>
      <c r="MGV40" s="38"/>
      <c r="MGW40" s="38"/>
      <c r="MGX40" s="39"/>
      <c r="MGY40" s="38"/>
      <c r="MGZ40" s="38"/>
      <c r="MHA40" s="38"/>
      <c r="MHB40" s="40"/>
      <c r="MHC40" s="41"/>
      <c r="MHD40" s="40"/>
      <c r="MHE40" s="38"/>
      <c r="MHF40" s="42"/>
      <c r="MHG40" s="42"/>
      <c r="MHH40" s="42"/>
      <c r="MHI40" s="38"/>
      <c r="MHJ40" s="38"/>
      <c r="MHK40" s="38"/>
      <c r="MHL40" s="39"/>
      <c r="MHM40" s="38"/>
      <c r="MHN40" s="38"/>
      <c r="MHO40" s="38"/>
      <c r="MHP40" s="40"/>
      <c r="MHQ40" s="41"/>
      <c r="MHR40" s="40"/>
      <c r="MHS40" s="38"/>
      <c r="MHT40" s="42"/>
      <c r="MHU40" s="42"/>
      <c r="MHV40" s="42"/>
      <c r="MHW40" s="38"/>
      <c r="MHX40" s="38"/>
      <c r="MHY40" s="38"/>
      <c r="MHZ40" s="39"/>
      <c r="MIA40" s="38"/>
      <c r="MIB40" s="38"/>
      <c r="MIC40" s="38"/>
      <c r="MID40" s="40"/>
      <c r="MIE40" s="41"/>
      <c r="MIF40" s="40"/>
      <c r="MIG40" s="38"/>
      <c r="MIH40" s="42"/>
      <c r="MII40" s="42"/>
      <c r="MIJ40" s="42"/>
      <c r="MIK40" s="38"/>
      <c r="MIL40" s="38"/>
      <c r="MIM40" s="38"/>
      <c r="MIN40" s="39"/>
      <c r="MIO40" s="38"/>
      <c r="MIP40" s="38"/>
      <c r="MIQ40" s="38"/>
      <c r="MIR40" s="40"/>
      <c r="MIS40" s="41"/>
      <c r="MIT40" s="40"/>
      <c r="MIU40" s="38"/>
      <c r="MIV40" s="42"/>
      <c r="MIW40" s="42"/>
      <c r="MIX40" s="42"/>
      <c r="MIY40" s="38"/>
      <c r="MIZ40" s="38"/>
      <c r="MJA40" s="38"/>
      <c r="MJB40" s="39"/>
      <c r="MJC40" s="38"/>
      <c r="MJD40" s="38"/>
      <c r="MJE40" s="38"/>
      <c r="MJF40" s="40"/>
      <c r="MJG40" s="41"/>
      <c r="MJH40" s="40"/>
      <c r="MJI40" s="38"/>
      <c r="MJJ40" s="42"/>
      <c r="MJK40" s="42"/>
      <c r="MJL40" s="42"/>
      <c r="MJM40" s="38"/>
      <c r="MJN40" s="38"/>
      <c r="MJO40" s="38"/>
      <c r="MJP40" s="39"/>
      <c r="MJQ40" s="38"/>
      <c r="MJR40" s="38"/>
      <c r="MJS40" s="38"/>
      <c r="MJT40" s="40"/>
      <c r="MJU40" s="41"/>
      <c r="MJV40" s="40"/>
      <c r="MJW40" s="38"/>
      <c r="MJX40" s="42"/>
      <c r="MJY40" s="42"/>
      <c r="MJZ40" s="42"/>
      <c r="MKA40" s="38"/>
      <c r="MKB40" s="38"/>
      <c r="MKC40" s="38"/>
      <c r="MKD40" s="39"/>
      <c r="MKE40" s="38"/>
      <c r="MKF40" s="38"/>
      <c r="MKG40" s="38"/>
      <c r="MKH40" s="40"/>
      <c r="MKI40" s="41"/>
      <c r="MKJ40" s="40"/>
      <c r="MKK40" s="38"/>
      <c r="MKL40" s="42"/>
      <c r="MKM40" s="42"/>
      <c r="MKN40" s="42"/>
      <c r="MKO40" s="38"/>
      <c r="MKP40" s="38"/>
      <c r="MKQ40" s="38"/>
      <c r="MKR40" s="39"/>
      <c r="MKS40" s="38"/>
      <c r="MKT40" s="38"/>
      <c r="MKU40" s="38"/>
      <c r="MKV40" s="40"/>
      <c r="MKW40" s="41"/>
      <c r="MKX40" s="40"/>
      <c r="MKY40" s="38"/>
      <c r="MKZ40" s="42"/>
      <c r="MLA40" s="42"/>
      <c r="MLB40" s="42"/>
      <c r="MLC40" s="38"/>
      <c r="MLD40" s="38"/>
      <c r="MLE40" s="38"/>
      <c r="MLF40" s="39"/>
      <c r="MLG40" s="38"/>
      <c r="MLH40" s="38"/>
      <c r="MLI40" s="38"/>
      <c r="MLJ40" s="40"/>
      <c r="MLK40" s="41"/>
      <c r="MLL40" s="40"/>
      <c r="MLM40" s="38"/>
      <c r="MLN40" s="42"/>
      <c r="MLO40" s="42"/>
      <c r="MLP40" s="42"/>
      <c r="MLQ40" s="38"/>
      <c r="MLR40" s="38"/>
      <c r="MLS40" s="38"/>
      <c r="MLT40" s="39"/>
      <c r="MLU40" s="38"/>
      <c r="MLV40" s="38"/>
      <c r="MLW40" s="38"/>
      <c r="MLX40" s="40"/>
      <c r="MLY40" s="41"/>
      <c r="MLZ40" s="40"/>
      <c r="MMA40" s="38"/>
      <c r="MMB40" s="42"/>
      <c r="MMC40" s="42"/>
      <c r="MMD40" s="42"/>
      <c r="MME40" s="38"/>
      <c r="MMF40" s="38"/>
      <c r="MMG40" s="38"/>
      <c r="MMH40" s="39"/>
      <c r="MMI40" s="38"/>
      <c r="MMJ40" s="38"/>
      <c r="MMK40" s="38"/>
      <c r="MML40" s="40"/>
      <c r="MMM40" s="41"/>
      <c r="MMN40" s="40"/>
      <c r="MMO40" s="38"/>
      <c r="MMP40" s="42"/>
      <c r="MMQ40" s="42"/>
      <c r="MMR40" s="42"/>
      <c r="MMS40" s="38"/>
      <c r="MMT40" s="38"/>
      <c r="MMU40" s="38"/>
      <c r="MMV40" s="39"/>
      <c r="MMW40" s="38"/>
      <c r="MMX40" s="38"/>
      <c r="MMY40" s="38"/>
      <c r="MMZ40" s="40"/>
      <c r="MNA40" s="41"/>
      <c r="MNB40" s="40"/>
      <c r="MNC40" s="38"/>
      <c r="MND40" s="42"/>
      <c r="MNE40" s="42"/>
      <c r="MNF40" s="42"/>
      <c r="MNG40" s="38"/>
      <c r="MNH40" s="38"/>
      <c r="MNI40" s="38"/>
      <c r="MNJ40" s="39"/>
      <c r="MNK40" s="38"/>
      <c r="MNL40" s="38"/>
      <c r="MNM40" s="38"/>
      <c r="MNN40" s="40"/>
      <c r="MNO40" s="41"/>
      <c r="MNP40" s="40"/>
      <c r="MNQ40" s="38"/>
      <c r="MNR40" s="42"/>
      <c r="MNS40" s="42"/>
      <c r="MNT40" s="42"/>
      <c r="MNU40" s="38"/>
      <c r="MNV40" s="38"/>
      <c r="MNW40" s="38"/>
      <c r="MNX40" s="39"/>
      <c r="MNY40" s="38"/>
      <c r="MNZ40" s="38"/>
      <c r="MOA40" s="38"/>
      <c r="MOB40" s="40"/>
      <c r="MOC40" s="41"/>
      <c r="MOD40" s="40"/>
      <c r="MOE40" s="38"/>
      <c r="MOF40" s="42"/>
      <c r="MOG40" s="42"/>
      <c r="MOH40" s="42"/>
      <c r="MOI40" s="38"/>
      <c r="MOJ40" s="38"/>
      <c r="MOK40" s="38"/>
      <c r="MOL40" s="39"/>
      <c r="MOM40" s="38"/>
      <c r="MON40" s="38"/>
      <c r="MOO40" s="38"/>
      <c r="MOP40" s="40"/>
      <c r="MOQ40" s="41"/>
      <c r="MOR40" s="40"/>
      <c r="MOS40" s="38"/>
      <c r="MOT40" s="42"/>
      <c r="MOU40" s="42"/>
      <c r="MOV40" s="42"/>
      <c r="MOW40" s="38"/>
      <c r="MOX40" s="38"/>
      <c r="MOY40" s="38"/>
      <c r="MOZ40" s="39"/>
      <c r="MPA40" s="38"/>
      <c r="MPB40" s="38"/>
      <c r="MPC40" s="38"/>
      <c r="MPD40" s="40"/>
      <c r="MPE40" s="41"/>
      <c r="MPF40" s="40"/>
      <c r="MPG40" s="38"/>
      <c r="MPH40" s="42"/>
      <c r="MPI40" s="42"/>
      <c r="MPJ40" s="42"/>
      <c r="MPK40" s="38"/>
      <c r="MPL40" s="38"/>
      <c r="MPM40" s="38"/>
      <c r="MPN40" s="39"/>
      <c r="MPO40" s="38"/>
      <c r="MPP40" s="38"/>
      <c r="MPQ40" s="38"/>
      <c r="MPR40" s="40"/>
      <c r="MPS40" s="41"/>
      <c r="MPT40" s="40"/>
      <c r="MPU40" s="38"/>
      <c r="MPV40" s="42"/>
      <c r="MPW40" s="42"/>
      <c r="MPX40" s="42"/>
      <c r="MPY40" s="38"/>
      <c r="MPZ40" s="38"/>
      <c r="MQA40" s="38"/>
      <c r="MQB40" s="39"/>
      <c r="MQC40" s="38"/>
      <c r="MQD40" s="38"/>
      <c r="MQE40" s="38"/>
      <c r="MQF40" s="40"/>
      <c r="MQG40" s="41"/>
      <c r="MQH40" s="40"/>
      <c r="MQI40" s="38"/>
      <c r="MQJ40" s="42"/>
      <c r="MQK40" s="42"/>
      <c r="MQL40" s="42"/>
      <c r="MQM40" s="38"/>
      <c r="MQN40" s="38"/>
      <c r="MQO40" s="38"/>
      <c r="MQP40" s="39"/>
      <c r="MQQ40" s="38"/>
      <c r="MQR40" s="38"/>
      <c r="MQS40" s="38"/>
      <c r="MQT40" s="40"/>
      <c r="MQU40" s="41"/>
      <c r="MQV40" s="40"/>
      <c r="MQW40" s="38"/>
      <c r="MQX40" s="42"/>
      <c r="MQY40" s="42"/>
      <c r="MQZ40" s="42"/>
      <c r="MRA40" s="38"/>
      <c r="MRB40" s="38"/>
      <c r="MRC40" s="38"/>
      <c r="MRD40" s="39"/>
      <c r="MRE40" s="38"/>
      <c r="MRF40" s="38"/>
      <c r="MRG40" s="38"/>
      <c r="MRH40" s="40"/>
      <c r="MRI40" s="41"/>
      <c r="MRJ40" s="40"/>
      <c r="MRK40" s="38"/>
      <c r="MRL40" s="42"/>
      <c r="MRM40" s="42"/>
      <c r="MRN40" s="42"/>
      <c r="MRO40" s="38"/>
      <c r="MRP40" s="38"/>
      <c r="MRQ40" s="38"/>
      <c r="MRR40" s="39"/>
      <c r="MRS40" s="38"/>
      <c r="MRT40" s="38"/>
      <c r="MRU40" s="38"/>
      <c r="MRV40" s="40"/>
      <c r="MRW40" s="41"/>
      <c r="MRX40" s="40"/>
      <c r="MRY40" s="38"/>
      <c r="MRZ40" s="42"/>
      <c r="MSA40" s="42"/>
      <c r="MSB40" s="42"/>
      <c r="MSC40" s="38"/>
      <c r="MSD40" s="38"/>
      <c r="MSE40" s="38"/>
      <c r="MSF40" s="39"/>
      <c r="MSG40" s="38"/>
      <c r="MSH40" s="38"/>
      <c r="MSI40" s="38"/>
      <c r="MSJ40" s="40"/>
      <c r="MSK40" s="41"/>
      <c r="MSL40" s="40"/>
      <c r="MSM40" s="38"/>
      <c r="MSN40" s="42"/>
      <c r="MSO40" s="42"/>
      <c r="MSP40" s="42"/>
      <c r="MSQ40" s="38"/>
      <c r="MSR40" s="38"/>
      <c r="MSS40" s="38"/>
      <c r="MST40" s="39"/>
      <c r="MSU40" s="38"/>
      <c r="MSV40" s="38"/>
      <c r="MSW40" s="38"/>
      <c r="MSX40" s="40"/>
      <c r="MSY40" s="41"/>
      <c r="MSZ40" s="40"/>
      <c r="MTA40" s="38"/>
      <c r="MTB40" s="42"/>
      <c r="MTC40" s="42"/>
      <c r="MTD40" s="42"/>
      <c r="MTE40" s="38"/>
      <c r="MTF40" s="38"/>
      <c r="MTG40" s="38"/>
      <c r="MTH40" s="39"/>
      <c r="MTI40" s="38"/>
      <c r="MTJ40" s="38"/>
      <c r="MTK40" s="38"/>
      <c r="MTL40" s="40"/>
      <c r="MTM40" s="41"/>
      <c r="MTN40" s="40"/>
      <c r="MTO40" s="38"/>
      <c r="MTP40" s="42"/>
      <c r="MTQ40" s="42"/>
      <c r="MTR40" s="42"/>
      <c r="MTS40" s="38"/>
      <c r="MTT40" s="38"/>
      <c r="MTU40" s="38"/>
      <c r="MTV40" s="39"/>
      <c r="MTW40" s="38"/>
      <c r="MTX40" s="38"/>
      <c r="MTY40" s="38"/>
      <c r="MTZ40" s="40"/>
      <c r="MUA40" s="41"/>
      <c r="MUB40" s="40"/>
      <c r="MUC40" s="38"/>
      <c r="MUD40" s="42"/>
      <c r="MUE40" s="42"/>
      <c r="MUF40" s="42"/>
      <c r="MUG40" s="38"/>
      <c r="MUH40" s="38"/>
      <c r="MUI40" s="38"/>
      <c r="MUJ40" s="39"/>
      <c r="MUK40" s="38"/>
      <c r="MUL40" s="38"/>
      <c r="MUM40" s="38"/>
      <c r="MUN40" s="40"/>
      <c r="MUO40" s="41"/>
      <c r="MUP40" s="40"/>
      <c r="MUQ40" s="38"/>
      <c r="MUR40" s="42"/>
      <c r="MUS40" s="42"/>
      <c r="MUT40" s="42"/>
      <c r="MUU40" s="38"/>
      <c r="MUV40" s="38"/>
      <c r="MUW40" s="38"/>
      <c r="MUX40" s="39"/>
      <c r="MUY40" s="38"/>
      <c r="MUZ40" s="38"/>
      <c r="MVA40" s="38"/>
      <c r="MVB40" s="40"/>
      <c r="MVC40" s="41"/>
      <c r="MVD40" s="40"/>
      <c r="MVE40" s="38"/>
      <c r="MVF40" s="42"/>
      <c r="MVG40" s="42"/>
      <c r="MVH40" s="42"/>
      <c r="MVI40" s="38"/>
      <c r="MVJ40" s="38"/>
      <c r="MVK40" s="38"/>
      <c r="MVL40" s="39"/>
      <c r="MVM40" s="38"/>
      <c r="MVN40" s="38"/>
      <c r="MVO40" s="38"/>
      <c r="MVP40" s="40"/>
      <c r="MVQ40" s="41"/>
      <c r="MVR40" s="40"/>
      <c r="MVS40" s="38"/>
      <c r="MVT40" s="42"/>
      <c r="MVU40" s="42"/>
      <c r="MVV40" s="42"/>
      <c r="MVW40" s="38"/>
      <c r="MVX40" s="38"/>
      <c r="MVY40" s="38"/>
      <c r="MVZ40" s="39"/>
      <c r="MWA40" s="38"/>
      <c r="MWB40" s="38"/>
      <c r="MWC40" s="38"/>
      <c r="MWD40" s="40"/>
      <c r="MWE40" s="41"/>
      <c r="MWF40" s="40"/>
      <c r="MWG40" s="38"/>
      <c r="MWH40" s="42"/>
      <c r="MWI40" s="42"/>
      <c r="MWJ40" s="42"/>
      <c r="MWK40" s="38"/>
      <c r="MWL40" s="38"/>
      <c r="MWM40" s="38"/>
      <c r="MWN40" s="39"/>
      <c r="MWO40" s="38"/>
      <c r="MWP40" s="38"/>
      <c r="MWQ40" s="38"/>
      <c r="MWR40" s="40"/>
      <c r="MWS40" s="41"/>
      <c r="MWT40" s="40"/>
      <c r="MWU40" s="38"/>
      <c r="MWV40" s="42"/>
      <c r="MWW40" s="42"/>
      <c r="MWX40" s="42"/>
      <c r="MWY40" s="38"/>
      <c r="MWZ40" s="38"/>
      <c r="MXA40" s="38"/>
      <c r="MXB40" s="39"/>
      <c r="MXC40" s="38"/>
      <c r="MXD40" s="38"/>
      <c r="MXE40" s="38"/>
      <c r="MXF40" s="40"/>
      <c r="MXG40" s="41"/>
      <c r="MXH40" s="40"/>
      <c r="MXI40" s="38"/>
      <c r="MXJ40" s="42"/>
      <c r="MXK40" s="42"/>
      <c r="MXL40" s="42"/>
      <c r="MXM40" s="38"/>
      <c r="MXN40" s="38"/>
      <c r="MXO40" s="38"/>
      <c r="MXP40" s="39"/>
      <c r="MXQ40" s="38"/>
      <c r="MXR40" s="38"/>
      <c r="MXS40" s="38"/>
      <c r="MXT40" s="40"/>
      <c r="MXU40" s="41"/>
      <c r="MXV40" s="40"/>
      <c r="MXW40" s="38"/>
      <c r="MXX40" s="42"/>
      <c r="MXY40" s="42"/>
      <c r="MXZ40" s="42"/>
      <c r="MYA40" s="38"/>
      <c r="MYB40" s="38"/>
      <c r="MYC40" s="38"/>
      <c r="MYD40" s="39"/>
      <c r="MYE40" s="38"/>
      <c r="MYF40" s="38"/>
      <c r="MYG40" s="38"/>
      <c r="MYH40" s="40"/>
      <c r="MYI40" s="41"/>
      <c r="MYJ40" s="40"/>
      <c r="MYK40" s="38"/>
      <c r="MYL40" s="42"/>
      <c r="MYM40" s="42"/>
      <c r="MYN40" s="42"/>
      <c r="MYO40" s="38"/>
      <c r="MYP40" s="38"/>
      <c r="MYQ40" s="38"/>
      <c r="MYR40" s="39"/>
      <c r="MYS40" s="38"/>
      <c r="MYT40" s="38"/>
      <c r="MYU40" s="38"/>
      <c r="MYV40" s="40"/>
      <c r="MYW40" s="41"/>
      <c r="MYX40" s="40"/>
      <c r="MYY40" s="38"/>
      <c r="MYZ40" s="42"/>
      <c r="MZA40" s="42"/>
      <c r="MZB40" s="42"/>
      <c r="MZC40" s="38"/>
      <c r="MZD40" s="38"/>
      <c r="MZE40" s="38"/>
      <c r="MZF40" s="39"/>
      <c r="MZG40" s="38"/>
      <c r="MZH40" s="38"/>
      <c r="MZI40" s="38"/>
      <c r="MZJ40" s="40"/>
      <c r="MZK40" s="41"/>
      <c r="MZL40" s="40"/>
      <c r="MZM40" s="38"/>
      <c r="MZN40" s="42"/>
      <c r="MZO40" s="42"/>
      <c r="MZP40" s="42"/>
      <c r="MZQ40" s="38"/>
      <c r="MZR40" s="38"/>
      <c r="MZS40" s="38"/>
      <c r="MZT40" s="39"/>
      <c r="MZU40" s="38"/>
      <c r="MZV40" s="38"/>
      <c r="MZW40" s="38"/>
      <c r="MZX40" s="40"/>
      <c r="MZY40" s="41"/>
      <c r="MZZ40" s="40"/>
      <c r="NAA40" s="38"/>
      <c r="NAB40" s="42"/>
      <c r="NAC40" s="42"/>
      <c r="NAD40" s="42"/>
      <c r="NAE40" s="38"/>
      <c r="NAF40" s="38"/>
      <c r="NAG40" s="38"/>
      <c r="NAH40" s="39"/>
      <c r="NAI40" s="38"/>
      <c r="NAJ40" s="38"/>
      <c r="NAK40" s="38"/>
      <c r="NAL40" s="40"/>
      <c r="NAM40" s="41"/>
      <c r="NAN40" s="40"/>
      <c r="NAO40" s="38"/>
      <c r="NAP40" s="42"/>
      <c r="NAQ40" s="42"/>
      <c r="NAR40" s="42"/>
      <c r="NAS40" s="38"/>
      <c r="NAT40" s="38"/>
      <c r="NAU40" s="38"/>
      <c r="NAV40" s="39"/>
      <c r="NAW40" s="38"/>
      <c r="NAX40" s="38"/>
      <c r="NAY40" s="38"/>
      <c r="NAZ40" s="40"/>
      <c r="NBA40" s="41"/>
      <c r="NBB40" s="40"/>
      <c r="NBC40" s="38"/>
      <c r="NBD40" s="42"/>
      <c r="NBE40" s="42"/>
      <c r="NBF40" s="42"/>
      <c r="NBG40" s="38"/>
      <c r="NBH40" s="38"/>
      <c r="NBI40" s="38"/>
      <c r="NBJ40" s="39"/>
      <c r="NBK40" s="38"/>
      <c r="NBL40" s="38"/>
      <c r="NBM40" s="38"/>
      <c r="NBN40" s="40"/>
      <c r="NBO40" s="41"/>
      <c r="NBP40" s="40"/>
      <c r="NBQ40" s="38"/>
      <c r="NBR40" s="42"/>
      <c r="NBS40" s="42"/>
      <c r="NBT40" s="42"/>
      <c r="NBU40" s="38"/>
      <c r="NBV40" s="38"/>
      <c r="NBW40" s="38"/>
      <c r="NBX40" s="39"/>
      <c r="NBY40" s="38"/>
      <c r="NBZ40" s="38"/>
      <c r="NCA40" s="38"/>
      <c r="NCB40" s="40"/>
      <c r="NCC40" s="41"/>
      <c r="NCD40" s="40"/>
      <c r="NCE40" s="38"/>
      <c r="NCF40" s="42"/>
      <c r="NCG40" s="42"/>
      <c r="NCH40" s="42"/>
      <c r="NCI40" s="38"/>
      <c r="NCJ40" s="38"/>
      <c r="NCK40" s="38"/>
      <c r="NCL40" s="39"/>
      <c r="NCM40" s="38"/>
      <c r="NCN40" s="38"/>
      <c r="NCO40" s="38"/>
      <c r="NCP40" s="40"/>
      <c r="NCQ40" s="41"/>
      <c r="NCR40" s="40"/>
      <c r="NCS40" s="38"/>
      <c r="NCT40" s="42"/>
      <c r="NCU40" s="42"/>
      <c r="NCV40" s="42"/>
      <c r="NCW40" s="38"/>
      <c r="NCX40" s="38"/>
      <c r="NCY40" s="38"/>
      <c r="NCZ40" s="39"/>
      <c r="NDA40" s="38"/>
      <c r="NDB40" s="38"/>
      <c r="NDC40" s="38"/>
      <c r="NDD40" s="40"/>
      <c r="NDE40" s="41"/>
      <c r="NDF40" s="40"/>
      <c r="NDG40" s="38"/>
      <c r="NDH40" s="42"/>
      <c r="NDI40" s="42"/>
      <c r="NDJ40" s="42"/>
      <c r="NDK40" s="38"/>
      <c r="NDL40" s="38"/>
      <c r="NDM40" s="38"/>
      <c r="NDN40" s="39"/>
      <c r="NDO40" s="38"/>
      <c r="NDP40" s="38"/>
      <c r="NDQ40" s="38"/>
      <c r="NDR40" s="40"/>
      <c r="NDS40" s="41"/>
      <c r="NDT40" s="40"/>
      <c r="NDU40" s="38"/>
      <c r="NDV40" s="42"/>
      <c r="NDW40" s="42"/>
      <c r="NDX40" s="42"/>
      <c r="NDY40" s="38"/>
      <c r="NDZ40" s="38"/>
      <c r="NEA40" s="38"/>
      <c r="NEB40" s="39"/>
      <c r="NEC40" s="38"/>
      <c r="NED40" s="38"/>
      <c r="NEE40" s="38"/>
      <c r="NEF40" s="40"/>
      <c r="NEG40" s="41"/>
      <c r="NEH40" s="40"/>
      <c r="NEI40" s="38"/>
      <c r="NEJ40" s="42"/>
      <c r="NEK40" s="42"/>
      <c r="NEL40" s="42"/>
      <c r="NEM40" s="38"/>
      <c r="NEN40" s="38"/>
      <c r="NEO40" s="38"/>
      <c r="NEP40" s="39"/>
      <c r="NEQ40" s="38"/>
      <c r="NER40" s="38"/>
      <c r="NES40" s="38"/>
      <c r="NET40" s="40"/>
      <c r="NEU40" s="41"/>
      <c r="NEV40" s="40"/>
      <c r="NEW40" s="38"/>
      <c r="NEX40" s="42"/>
      <c r="NEY40" s="42"/>
      <c r="NEZ40" s="42"/>
      <c r="NFA40" s="38"/>
      <c r="NFB40" s="38"/>
      <c r="NFC40" s="38"/>
      <c r="NFD40" s="39"/>
      <c r="NFE40" s="38"/>
      <c r="NFF40" s="38"/>
      <c r="NFG40" s="38"/>
      <c r="NFH40" s="40"/>
      <c r="NFI40" s="41"/>
      <c r="NFJ40" s="40"/>
      <c r="NFK40" s="38"/>
      <c r="NFL40" s="42"/>
      <c r="NFM40" s="42"/>
      <c r="NFN40" s="42"/>
      <c r="NFO40" s="38"/>
      <c r="NFP40" s="38"/>
      <c r="NFQ40" s="38"/>
      <c r="NFR40" s="39"/>
      <c r="NFS40" s="38"/>
      <c r="NFT40" s="38"/>
      <c r="NFU40" s="38"/>
      <c r="NFV40" s="40"/>
      <c r="NFW40" s="41"/>
      <c r="NFX40" s="40"/>
      <c r="NFY40" s="38"/>
      <c r="NFZ40" s="42"/>
      <c r="NGA40" s="42"/>
      <c r="NGB40" s="42"/>
      <c r="NGC40" s="38"/>
      <c r="NGD40" s="38"/>
      <c r="NGE40" s="38"/>
      <c r="NGF40" s="39"/>
      <c r="NGG40" s="38"/>
      <c r="NGH40" s="38"/>
      <c r="NGI40" s="38"/>
      <c r="NGJ40" s="40"/>
      <c r="NGK40" s="41"/>
      <c r="NGL40" s="40"/>
      <c r="NGM40" s="38"/>
      <c r="NGN40" s="42"/>
      <c r="NGO40" s="42"/>
      <c r="NGP40" s="42"/>
      <c r="NGQ40" s="38"/>
      <c r="NGR40" s="38"/>
      <c r="NGS40" s="38"/>
      <c r="NGT40" s="39"/>
      <c r="NGU40" s="38"/>
      <c r="NGV40" s="38"/>
      <c r="NGW40" s="38"/>
      <c r="NGX40" s="40"/>
      <c r="NGY40" s="41"/>
      <c r="NGZ40" s="40"/>
      <c r="NHA40" s="38"/>
      <c r="NHB40" s="42"/>
      <c r="NHC40" s="42"/>
      <c r="NHD40" s="42"/>
      <c r="NHE40" s="38"/>
      <c r="NHF40" s="38"/>
      <c r="NHG40" s="38"/>
      <c r="NHH40" s="39"/>
      <c r="NHI40" s="38"/>
      <c r="NHJ40" s="38"/>
      <c r="NHK40" s="38"/>
      <c r="NHL40" s="40"/>
      <c r="NHM40" s="41"/>
      <c r="NHN40" s="40"/>
      <c r="NHO40" s="38"/>
      <c r="NHP40" s="42"/>
      <c r="NHQ40" s="42"/>
      <c r="NHR40" s="42"/>
      <c r="NHS40" s="38"/>
      <c r="NHT40" s="38"/>
      <c r="NHU40" s="38"/>
      <c r="NHV40" s="39"/>
      <c r="NHW40" s="38"/>
      <c r="NHX40" s="38"/>
      <c r="NHY40" s="38"/>
      <c r="NHZ40" s="40"/>
      <c r="NIA40" s="41"/>
      <c r="NIB40" s="40"/>
      <c r="NIC40" s="38"/>
      <c r="NID40" s="42"/>
      <c r="NIE40" s="42"/>
      <c r="NIF40" s="42"/>
      <c r="NIG40" s="38"/>
      <c r="NIH40" s="38"/>
      <c r="NII40" s="38"/>
      <c r="NIJ40" s="39"/>
      <c r="NIK40" s="38"/>
      <c r="NIL40" s="38"/>
      <c r="NIM40" s="38"/>
      <c r="NIN40" s="40"/>
      <c r="NIO40" s="41"/>
      <c r="NIP40" s="40"/>
      <c r="NIQ40" s="38"/>
      <c r="NIR40" s="42"/>
      <c r="NIS40" s="42"/>
      <c r="NIT40" s="42"/>
      <c r="NIU40" s="38"/>
      <c r="NIV40" s="38"/>
      <c r="NIW40" s="38"/>
      <c r="NIX40" s="39"/>
      <c r="NIY40" s="38"/>
      <c r="NIZ40" s="38"/>
      <c r="NJA40" s="38"/>
      <c r="NJB40" s="40"/>
      <c r="NJC40" s="41"/>
      <c r="NJD40" s="40"/>
      <c r="NJE40" s="38"/>
      <c r="NJF40" s="42"/>
      <c r="NJG40" s="42"/>
      <c r="NJH40" s="42"/>
      <c r="NJI40" s="38"/>
      <c r="NJJ40" s="38"/>
      <c r="NJK40" s="38"/>
      <c r="NJL40" s="39"/>
      <c r="NJM40" s="38"/>
      <c r="NJN40" s="38"/>
      <c r="NJO40" s="38"/>
      <c r="NJP40" s="40"/>
      <c r="NJQ40" s="41"/>
      <c r="NJR40" s="40"/>
      <c r="NJS40" s="38"/>
      <c r="NJT40" s="42"/>
      <c r="NJU40" s="42"/>
      <c r="NJV40" s="42"/>
      <c r="NJW40" s="38"/>
      <c r="NJX40" s="38"/>
      <c r="NJY40" s="38"/>
      <c r="NJZ40" s="39"/>
      <c r="NKA40" s="38"/>
      <c r="NKB40" s="38"/>
      <c r="NKC40" s="38"/>
      <c r="NKD40" s="40"/>
      <c r="NKE40" s="41"/>
      <c r="NKF40" s="40"/>
      <c r="NKG40" s="38"/>
      <c r="NKH40" s="42"/>
      <c r="NKI40" s="42"/>
      <c r="NKJ40" s="42"/>
      <c r="NKK40" s="38"/>
      <c r="NKL40" s="38"/>
      <c r="NKM40" s="38"/>
      <c r="NKN40" s="39"/>
      <c r="NKO40" s="38"/>
      <c r="NKP40" s="38"/>
      <c r="NKQ40" s="38"/>
      <c r="NKR40" s="40"/>
      <c r="NKS40" s="41"/>
      <c r="NKT40" s="40"/>
      <c r="NKU40" s="38"/>
      <c r="NKV40" s="42"/>
      <c r="NKW40" s="42"/>
      <c r="NKX40" s="42"/>
      <c r="NKY40" s="38"/>
      <c r="NKZ40" s="38"/>
      <c r="NLA40" s="38"/>
      <c r="NLB40" s="39"/>
      <c r="NLC40" s="38"/>
      <c r="NLD40" s="38"/>
      <c r="NLE40" s="38"/>
      <c r="NLF40" s="40"/>
      <c r="NLG40" s="41"/>
      <c r="NLH40" s="40"/>
      <c r="NLI40" s="38"/>
      <c r="NLJ40" s="42"/>
      <c r="NLK40" s="42"/>
      <c r="NLL40" s="42"/>
      <c r="NLM40" s="38"/>
      <c r="NLN40" s="38"/>
      <c r="NLO40" s="38"/>
      <c r="NLP40" s="39"/>
      <c r="NLQ40" s="38"/>
      <c r="NLR40" s="38"/>
      <c r="NLS40" s="38"/>
      <c r="NLT40" s="40"/>
      <c r="NLU40" s="41"/>
      <c r="NLV40" s="40"/>
      <c r="NLW40" s="38"/>
      <c r="NLX40" s="42"/>
      <c r="NLY40" s="42"/>
      <c r="NLZ40" s="42"/>
      <c r="NMA40" s="38"/>
      <c r="NMB40" s="38"/>
      <c r="NMC40" s="38"/>
      <c r="NMD40" s="39"/>
      <c r="NME40" s="38"/>
      <c r="NMF40" s="38"/>
      <c r="NMG40" s="38"/>
      <c r="NMH40" s="40"/>
      <c r="NMI40" s="41"/>
      <c r="NMJ40" s="40"/>
      <c r="NMK40" s="38"/>
      <c r="NML40" s="42"/>
      <c r="NMM40" s="42"/>
      <c r="NMN40" s="42"/>
      <c r="NMO40" s="38"/>
      <c r="NMP40" s="38"/>
      <c r="NMQ40" s="38"/>
      <c r="NMR40" s="39"/>
      <c r="NMS40" s="38"/>
      <c r="NMT40" s="38"/>
      <c r="NMU40" s="38"/>
      <c r="NMV40" s="40"/>
      <c r="NMW40" s="41"/>
      <c r="NMX40" s="40"/>
      <c r="NMY40" s="38"/>
      <c r="NMZ40" s="42"/>
      <c r="NNA40" s="42"/>
      <c r="NNB40" s="42"/>
      <c r="NNC40" s="38"/>
      <c r="NND40" s="38"/>
      <c r="NNE40" s="38"/>
      <c r="NNF40" s="39"/>
      <c r="NNG40" s="38"/>
      <c r="NNH40" s="38"/>
      <c r="NNI40" s="38"/>
      <c r="NNJ40" s="40"/>
      <c r="NNK40" s="41"/>
      <c r="NNL40" s="40"/>
      <c r="NNM40" s="38"/>
      <c r="NNN40" s="42"/>
      <c r="NNO40" s="42"/>
      <c r="NNP40" s="42"/>
      <c r="NNQ40" s="38"/>
      <c r="NNR40" s="38"/>
      <c r="NNS40" s="38"/>
      <c r="NNT40" s="39"/>
      <c r="NNU40" s="38"/>
      <c r="NNV40" s="38"/>
      <c r="NNW40" s="38"/>
      <c r="NNX40" s="40"/>
      <c r="NNY40" s="41"/>
      <c r="NNZ40" s="40"/>
      <c r="NOA40" s="38"/>
      <c r="NOB40" s="42"/>
      <c r="NOC40" s="42"/>
      <c r="NOD40" s="42"/>
      <c r="NOE40" s="38"/>
      <c r="NOF40" s="38"/>
      <c r="NOG40" s="38"/>
      <c r="NOH40" s="39"/>
      <c r="NOI40" s="38"/>
      <c r="NOJ40" s="38"/>
      <c r="NOK40" s="38"/>
      <c r="NOL40" s="40"/>
      <c r="NOM40" s="41"/>
      <c r="NON40" s="40"/>
      <c r="NOO40" s="38"/>
      <c r="NOP40" s="42"/>
      <c r="NOQ40" s="42"/>
      <c r="NOR40" s="42"/>
      <c r="NOS40" s="38"/>
      <c r="NOT40" s="38"/>
      <c r="NOU40" s="38"/>
      <c r="NOV40" s="39"/>
      <c r="NOW40" s="38"/>
      <c r="NOX40" s="38"/>
      <c r="NOY40" s="38"/>
      <c r="NOZ40" s="40"/>
      <c r="NPA40" s="41"/>
      <c r="NPB40" s="40"/>
      <c r="NPC40" s="38"/>
      <c r="NPD40" s="42"/>
      <c r="NPE40" s="42"/>
      <c r="NPF40" s="42"/>
      <c r="NPG40" s="38"/>
      <c r="NPH40" s="38"/>
      <c r="NPI40" s="38"/>
      <c r="NPJ40" s="39"/>
      <c r="NPK40" s="38"/>
      <c r="NPL40" s="38"/>
      <c r="NPM40" s="38"/>
      <c r="NPN40" s="40"/>
      <c r="NPO40" s="41"/>
      <c r="NPP40" s="40"/>
      <c r="NPQ40" s="38"/>
      <c r="NPR40" s="42"/>
      <c r="NPS40" s="42"/>
      <c r="NPT40" s="42"/>
      <c r="NPU40" s="38"/>
      <c r="NPV40" s="38"/>
      <c r="NPW40" s="38"/>
      <c r="NPX40" s="39"/>
      <c r="NPY40" s="38"/>
      <c r="NPZ40" s="38"/>
      <c r="NQA40" s="38"/>
      <c r="NQB40" s="40"/>
      <c r="NQC40" s="41"/>
      <c r="NQD40" s="40"/>
      <c r="NQE40" s="38"/>
      <c r="NQF40" s="42"/>
      <c r="NQG40" s="42"/>
      <c r="NQH40" s="42"/>
      <c r="NQI40" s="38"/>
      <c r="NQJ40" s="38"/>
      <c r="NQK40" s="38"/>
      <c r="NQL40" s="39"/>
      <c r="NQM40" s="38"/>
      <c r="NQN40" s="38"/>
      <c r="NQO40" s="38"/>
      <c r="NQP40" s="40"/>
      <c r="NQQ40" s="41"/>
      <c r="NQR40" s="40"/>
      <c r="NQS40" s="38"/>
      <c r="NQT40" s="42"/>
      <c r="NQU40" s="42"/>
      <c r="NQV40" s="42"/>
      <c r="NQW40" s="38"/>
      <c r="NQX40" s="38"/>
      <c r="NQY40" s="38"/>
      <c r="NQZ40" s="39"/>
      <c r="NRA40" s="38"/>
      <c r="NRB40" s="38"/>
      <c r="NRC40" s="38"/>
      <c r="NRD40" s="40"/>
      <c r="NRE40" s="41"/>
      <c r="NRF40" s="40"/>
      <c r="NRG40" s="38"/>
      <c r="NRH40" s="42"/>
      <c r="NRI40" s="42"/>
      <c r="NRJ40" s="42"/>
      <c r="NRK40" s="38"/>
      <c r="NRL40" s="38"/>
      <c r="NRM40" s="38"/>
      <c r="NRN40" s="39"/>
      <c r="NRO40" s="38"/>
      <c r="NRP40" s="38"/>
      <c r="NRQ40" s="38"/>
      <c r="NRR40" s="40"/>
      <c r="NRS40" s="41"/>
      <c r="NRT40" s="40"/>
      <c r="NRU40" s="38"/>
      <c r="NRV40" s="42"/>
      <c r="NRW40" s="42"/>
      <c r="NRX40" s="42"/>
      <c r="NRY40" s="38"/>
      <c r="NRZ40" s="38"/>
      <c r="NSA40" s="38"/>
      <c r="NSB40" s="39"/>
      <c r="NSC40" s="38"/>
      <c r="NSD40" s="38"/>
      <c r="NSE40" s="38"/>
      <c r="NSF40" s="40"/>
      <c r="NSG40" s="41"/>
      <c r="NSH40" s="40"/>
      <c r="NSI40" s="38"/>
      <c r="NSJ40" s="42"/>
      <c r="NSK40" s="42"/>
      <c r="NSL40" s="42"/>
      <c r="NSM40" s="38"/>
      <c r="NSN40" s="38"/>
      <c r="NSO40" s="38"/>
      <c r="NSP40" s="39"/>
      <c r="NSQ40" s="38"/>
      <c r="NSR40" s="38"/>
      <c r="NSS40" s="38"/>
      <c r="NST40" s="40"/>
      <c r="NSU40" s="41"/>
      <c r="NSV40" s="40"/>
      <c r="NSW40" s="38"/>
      <c r="NSX40" s="42"/>
      <c r="NSY40" s="42"/>
      <c r="NSZ40" s="42"/>
      <c r="NTA40" s="38"/>
      <c r="NTB40" s="38"/>
      <c r="NTC40" s="38"/>
      <c r="NTD40" s="39"/>
      <c r="NTE40" s="38"/>
      <c r="NTF40" s="38"/>
      <c r="NTG40" s="38"/>
      <c r="NTH40" s="40"/>
      <c r="NTI40" s="41"/>
      <c r="NTJ40" s="40"/>
      <c r="NTK40" s="38"/>
      <c r="NTL40" s="42"/>
      <c r="NTM40" s="42"/>
      <c r="NTN40" s="42"/>
      <c r="NTO40" s="38"/>
      <c r="NTP40" s="38"/>
      <c r="NTQ40" s="38"/>
      <c r="NTR40" s="39"/>
      <c r="NTS40" s="38"/>
      <c r="NTT40" s="38"/>
      <c r="NTU40" s="38"/>
      <c r="NTV40" s="40"/>
      <c r="NTW40" s="41"/>
      <c r="NTX40" s="40"/>
      <c r="NTY40" s="38"/>
      <c r="NTZ40" s="42"/>
      <c r="NUA40" s="42"/>
      <c r="NUB40" s="42"/>
      <c r="NUC40" s="38"/>
      <c r="NUD40" s="38"/>
      <c r="NUE40" s="38"/>
      <c r="NUF40" s="39"/>
      <c r="NUG40" s="38"/>
      <c r="NUH40" s="38"/>
      <c r="NUI40" s="38"/>
      <c r="NUJ40" s="40"/>
      <c r="NUK40" s="41"/>
      <c r="NUL40" s="40"/>
      <c r="NUM40" s="38"/>
      <c r="NUN40" s="42"/>
      <c r="NUO40" s="42"/>
      <c r="NUP40" s="42"/>
      <c r="NUQ40" s="38"/>
      <c r="NUR40" s="38"/>
      <c r="NUS40" s="38"/>
      <c r="NUT40" s="39"/>
      <c r="NUU40" s="38"/>
      <c r="NUV40" s="38"/>
      <c r="NUW40" s="38"/>
      <c r="NUX40" s="40"/>
      <c r="NUY40" s="41"/>
      <c r="NUZ40" s="40"/>
      <c r="NVA40" s="38"/>
      <c r="NVB40" s="42"/>
      <c r="NVC40" s="42"/>
      <c r="NVD40" s="42"/>
      <c r="NVE40" s="38"/>
      <c r="NVF40" s="38"/>
      <c r="NVG40" s="38"/>
      <c r="NVH40" s="39"/>
      <c r="NVI40" s="38"/>
      <c r="NVJ40" s="38"/>
      <c r="NVK40" s="38"/>
      <c r="NVL40" s="40"/>
      <c r="NVM40" s="41"/>
      <c r="NVN40" s="40"/>
      <c r="NVO40" s="38"/>
      <c r="NVP40" s="42"/>
      <c r="NVQ40" s="42"/>
      <c r="NVR40" s="42"/>
      <c r="NVS40" s="38"/>
      <c r="NVT40" s="38"/>
      <c r="NVU40" s="38"/>
      <c r="NVV40" s="39"/>
      <c r="NVW40" s="38"/>
      <c r="NVX40" s="38"/>
      <c r="NVY40" s="38"/>
      <c r="NVZ40" s="40"/>
      <c r="NWA40" s="41"/>
      <c r="NWB40" s="40"/>
      <c r="NWC40" s="38"/>
      <c r="NWD40" s="42"/>
      <c r="NWE40" s="42"/>
      <c r="NWF40" s="42"/>
      <c r="NWG40" s="38"/>
      <c r="NWH40" s="38"/>
      <c r="NWI40" s="38"/>
      <c r="NWJ40" s="39"/>
      <c r="NWK40" s="38"/>
      <c r="NWL40" s="38"/>
      <c r="NWM40" s="38"/>
      <c r="NWN40" s="40"/>
      <c r="NWO40" s="41"/>
      <c r="NWP40" s="40"/>
      <c r="NWQ40" s="38"/>
      <c r="NWR40" s="42"/>
      <c r="NWS40" s="42"/>
      <c r="NWT40" s="42"/>
      <c r="NWU40" s="38"/>
      <c r="NWV40" s="38"/>
      <c r="NWW40" s="38"/>
      <c r="NWX40" s="39"/>
      <c r="NWY40" s="38"/>
      <c r="NWZ40" s="38"/>
      <c r="NXA40" s="38"/>
      <c r="NXB40" s="40"/>
      <c r="NXC40" s="41"/>
      <c r="NXD40" s="40"/>
      <c r="NXE40" s="38"/>
      <c r="NXF40" s="42"/>
      <c r="NXG40" s="42"/>
      <c r="NXH40" s="42"/>
      <c r="NXI40" s="38"/>
      <c r="NXJ40" s="38"/>
      <c r="NXK40" s="38"/>
      <c r="NXL40" s="39"/>
      <c r="NXM40" s="38"/>
      <c r="NXN40" s="38"/>
      <c r="NXO40" s="38"/>
      <c r="NXP40" s="40"/>
      <c r="NXQ40" s="41"/>
      <c r="NXR40" s="40"/>
      <c r="NXS40" s="38"/>
      <c r="NXT40" s="42"/>
      <c r="NXU40" s="42"/>
      <c r="NXV40" s="42"/>
      <c r="NXW40" s="38"/>
      <c r="NXX40" s="38"/>
      <c r="NXY40" s="38"/>
      <c r="NXZ40" s="39"/>
      <c r="NYA40" s="38"/>
      <c r="NYB40" s="38"/>
      <c r="NYC40" s="38"/>
      <c r="NYD40" s="40"/>
      <c r="NYE40" s="41"/>
      <c r="NYF40" s="40"/>
      <c r="NYG40" s="38"/>
      <c r="NYH40" s="42"/>
      <c r="NYI40" s="42"/>
      <c r="NYJ40" s="42"/>
      <c r="NYK40" s="38"/>
      <c r="NYL40" s="38"/>
      <c r="NYM40" s="38"/>
      <c r="NYN40" s="39"/>
      <c r="NYO40" s="38"/>
      <c r="NYP40" s="38"/>
      <c r="NYQ40" s="38"/>
      <c r="NYR40" s="40"/>
      <c r="NYS40" s="41"/>
      <c r="NYT40" s="40"/>
      <c r="NYU40" s="38"/>
      <c r="NYV40" s="42"/>
      <c r="NYW40" s="42"/>
      <c r="NYX40" s="42"/>
      <c r="NYY40" s="38"/>
      <c r="NYZ40" s="38"/>
      <c r="NZA40" s="38"/>
      <c r="NZB40" s="39"/>
      <c r="NZC40" s="38"/>
      <c r="NZD40" s="38"/>
      <c r="NZE40" s="38"/>
      <c r="NZF40" s="40"/>
      <c r="NZG40" s="41"/>
      <c r="NZH40" s="40"/>
      <c r="NZI40" s="38"/>
      <c r="NZJ40" s="42"/>
      <c r="NZK40" s="42"/>
      <c r="NZL40" s="42"/>
      <c r="NZM40" s="38"/>
      <c r="NZN40" s="38"/>
      <c r="NZO40" s="38"/>
      <c r="NZP40" s="39"/>
      <c r="NZQ40" s="38"/>
      <c r="NZR40" s="38"/>
      <c r="NZS40" s="38"/>
      <c r="NZT40" s="40"/>
      <c r="NZU40" s="41"/>
      <c r="NZV40" s="40"/>
      <c r="NZW40" s="38"/>
      <c r="NZX40" s="42"/>
      <c r="NZY40" s="42"/>
      <c r="NZZ40" s="42"/>
      <c r="OAA40" s="38"/>
      <c r="OAB40" s="38"/>
      <c r="OAC40" s="38"/>
      <c r="OAD40" s="39"/>
      <c r="OAE40" s="38"/>
      <c r="OAF40" s="38"/>
      <c r="OAG40" s="38"/>
      <c r="OAH40" s="40"/>
      <c r="OAI40" s="41"/>
      <c r="OAJ40" s="40"/>
      <c r="OAK40" s="38"/>
      <c r="OAL40" s="42"/>
      <c r="OAM40" s="42"/>
      <c r="OAN40" s="42"/>
      <c r="OAO40" s="38"/>
      <c r="OAP40" s="38"/>
      <c r="OAQ40" s="38"/>
      <c r="OAR40" s="39"/>
      <c r="OAS40" s="38"/>
      <c r="OAT40" s="38"/>
      <c r="OAU40" s="38"/>
      <c r="OAV40" s="40"/>
      <c r="OAW40" s="41"/>
      <c r="OAX40" s="40"/>
      <c r="OAY40" s="38"/>
      <c r="OAZ40" s="42"/>
      <c r="OBA40" s="42"/>
      <c r="OBB40" s="42"/>
      <c r="OBC40" s="38"/>
      <c r="OBD40" s="38"/>
      <c r="OBE40" s="38"/>
      <c r="OBF40" s="39"/>
      <c r="OBG40" s="38"/>
      <c r="OBH40" s="38"/>
      <c r="OBI40" s="38"/>
      <c r="OBJ40" s="40"/>
      <c r="OBK40" s="41"/>
      <c r="OBL40" s="40"/>
      <c r="OBM40" s="38"/>
      <c r="OBN40" s="42"/>
      <c r="OBO40" s="42"/>
      <c r="OBP40" s="42"/>
      <c r="OBQ40" s="38"/>
      <c r="OBR40" s="38"/>
      <c r="OBS40" s="38"/>
      <c r="OBT40" s="39"/>
      <c r="OBU40" s="38"/>
      <c r="OBV40" s="38"/>
      <c r="OBW40" s="38"/>
      <c r="OBX40" s="40"/>
      <c r="OBY40" s="41"/>
      <c r="OBZ40" s="40"/>
      <c r="OCA40" s="38"/>
      <c r="OCB40" s="42"/>
      <c r="OCC40" s="42"/>
      <c r="OCD40" s="42"/>
      <c r="OCE40" s="38"/>
      <c r="OCF40" s="38"/>
      <c r="OCG40" s="38"/>
      <c r="OCH40" s="39"/>
      <c r="OCI40" s="38"/>
      <c r="OCJ40" s="38"/>
      <c r="OCK40" s="38"/>
      <c r="OCL40" s="40"/>
      <c r="OCM40" s="41"/>
      <c r="OCN40" s="40"/>
      <c r="OCO40" s="38"/>
      <c r="OCP40" s="42"/>
      <c r="OCQ40" s="42"/>
      <c r="OCR40" s="42"/>
      <c r="OCS40" s="38"/>
      <c r="OCT40" s="38"/>
      <c r="OCU40" s="38"/>
      <c r="OCV40" s="39"/>
      <c r="OCW40" s="38"/>
      <c r="OCX40" s="38"/>
      <c r="OCY40" s="38"/>
      <c r="OCZ40" s="40"/>
      <c r="ODA40" s="41"/>
      <c r="ODB40" s="40"/>
      <c r="ODC40" s="38"/>
      <c r="ODD40" s="42"/>
      <c r="ODE40" s="42"/>
      <c r="ODF40" s="42"/>
      <c r="ODG40" s="38"/>
      <c r="ODH40" s="38"/>
      <c r="ODI40" s="38"/>
      <c r="ODJ40" s="39"/>
      <c r="ODK40" s="38"/>
      <c r="ODL40" s="38"/>
      <c r="ODM40" s="38"/>
      <c r="ODN40" s="40"/>
      <c r="ODO40" s="41"/>
      <c r="ODP40" s="40"/>
      <c r="ODQ40" s="38"/>
      <c r="ODR40" s="42"/>
      <c r="ODS40" s="42"/>
      <c r="ODT40" s="42"/>
      <c r="ODU40" s="38"/>
      <c r="ODV40" s="38"/>
      <c r="ODW40" s="38"/>
      <c r="ODX40" s="39"/>
      <c r="ODY40" s="38"/>
      <c r="ODZ40" s="38"/>
      <c r="OEA40" s="38"/>
      <c r="OEB40" s="40"/>
      <c r="OEC40" s="41"/>
      <c r="OED40" s="40"/>
      <c r="OEE40" s="38"/>
      <c r="OEF40" s="42"/>
      <c r="OEG40" s="42"/>
      <c r="OEH40" s="42"/>
      <c r="OEI40" s="38"/>
      <c r="OEJ40" s="38"/>
      <c r="OEK40" s="38"/>
      <c r="OEL40" s="39"/>
      <c r="OEM40" s="38"/>
      <c r="OEN40" s="38"/>
      <c r="OEO40" s="38"/>
      <c r="OEP40" s="40"/>
      <c r="OEQ40" s="41"/>
      <c r="OER40" s="40"/>
      <c r="OES40" s="38"/>
      <c r="OET40" s="42"/>
      <c r="OEU40" s="42"/>
      <c r="OEV40" s="42"/>
      <c r="OEW40" s="38"/>
      <c r="OEX40" s="38"/>
      <c r="OEY40" s="38"/>
      <c r="OEZ40" s="39"/>
      <c r="OFA40" s="38"/>
      <c r="OFB40" s="38"/>
      <c r="OFC40" s="38"/>
      <c r="OFD40" s="40"/>
      <c r="OFE40" s="41"/>
      <c r="OFF40" s="40"/>
      <c r="OFG40" s="38"/>
      <c r="OFH40" s="42"/>
      <c r="OFI40" s="42"/>
      <c r="OFJ40" s="42"/>
      <c r="OFK40" s="38"/>
      <c r="OFL40" s="38"/>
      <c r="OFM40" s="38"/>
      <c r="OFN40" s="39"/>
      <c r="OFO40" s="38"/>
      <c r="OFP40" s="38"/>
      <c r="OFQ40" s="38"/>
      <c r="OFR40" s="40"/>
      <c r="OFS40" s="41"/>
      <c r="OFT40" s="40"/>
      <c r="OFU40" s="38"/>
      <c r="OFV40" s="42"/>
      <c r="OFW40" s="42"/>
      <c r="OFX40" s="42"/>
      <c r="OFY40" s="38"/>
      <c r="OFZ40" s="38"/>
      <c r="OGA40" s="38"/>
      <c r="OGB40" s="39"/>
      <c r="OGC40" s="38"/>
      <c r="OGD40" s="38"/>
      <c r="OGE40" s="38"/>
      <c r="OGF40" s="40"/>
      <c r="OGG40" s="41"/>
      <c r="OGH40" s="40"/>
      <c r="OGI40" s="38"/>
      <c r="OGJ40" s="42"/>
      <c r="OGK40" s="42"/>
      <c r="OGL40" s="42"/>
      <c r="OGM40" s="38"/>
      <c r="OGN40" s="38"/>
      <c r="OGO40" s="38"/>
      <c r="OGP40" s="39"/>
      <c r="OGQ40" s="38"/>
      <c r="OGR40" s="38"/>
      <c r="OGS40" s="38"/>
      <c r="OGT40" s="40"/>
      <c r="OGU40" s="41"/>
      <c r="OGV40" s="40"/>
      <c r="OGW40" s="38"/>
      <c r="OGX40" s="42"/>
      <c r="OGY40" s="42"/>
      <c r="OGZ40" s="42"/>
      <c r="OHA40" s="38"/>
      <c r="OHB40" s="38"/>
      <c r="OHC40" s="38"/>
      <c r="OHD40" s="39"/>
      <c r="OHE40" s="38"/>
      <c r="OHF40" s="38"/>
      <c r="OHG40" s="38"/>
      <c r="OHH40" s="40"/>
      <c r="OHI40" s="41"/>
      <c r="OHJ40" s="40"/>
      <c r="OHK40" s="38"/>
      <c r="OHL40" s="42"/>
      <c r="OHM40" s="42"/>
      <c r="OHN40" s="42"/>
      <c r="OHO40" s="38"/>
      <c r="OHP40" s="38"/>
      <c r="OHQ40" s="38"/>
      <c r="OHR40" s="39"/>
      <c r="OHS40" s="38"/>
      <c r="OHT40" s="38"/>
      <c r="OHU40" s="38"/>
      <c r="OHV40" s="40"/>
      <c r="OHW40" s="41"/>
      <c r="OHX40" s="40"/>
      <c r="OHY40" s="38"/>
      <c r="OHZ40" s="42"/>
      <c r="OIA40" s="42"/>
      <c r="OIB40" s="42"/>
      <c r="OIC40" s="38"/>
      <c r="OID40" s="38"/>
      <c r="OIE40" s="38"/>
      <c r="OIF40" s="39"/>
      <c r="OIG40" s="38"/>
      <c r="OIH40" s="38"/>
      <c r="OII40" s="38"/>
      <c r="OIJ40" s="40"/>
      <c r="OIK40" s="41"/>
      <c r="OIL40" s="40"/>
      <c r="OIM40" s="38"/>
      <c r="OIN40" s="42"/>
      <c r="OIO40" s="42"/>
      <c r="OIP40" s="42"/>
      <c r="OIQ40" s="38"/>
      <c r="OIR40" s="38"/>
      <c r="OIS40" s="38"/>
      <c r="OIT40" s="39"/>
      <c r="OIU40" s="38"/>
      <c r="OIV40" s="38"/>
      <c r="OIW40" s="38"/>
      <c r="OIX40" s="40"/>
      <c r="OIY40" s="41"/>
      <c r="OIZ40" s="40"/>
      <c r="OJA40" s="38"/>
      <c r="OJB40" s="42"/>
      <c r="OJC40" s="42"/>
      <c r="OJD40" s="42"/>
      <c r="OJE40" s="38"/>
      <c r="OJF40" s="38"/>
      <c r="OJG40" s="38"/>
      <c r="OJH40" s="39"/>
      <c r="OJI40" s="38"/>
      <c r="OJJ40" s="38"/>
      <c r="OJK40" s="38"/>
      <c r="OJL40" s="40"/>
      <c r="OJM40" s="41"/>
      <c r="OJN40" s="40"/>
      <c r="OJO40" s="38"/>
      <c r="OJP40" s="42"/>
      <c r="OJQ40" s="42"/>
      <c r="OJR40" s="42"/>
      <c r="OJS40" s="38"/>
      <c r="OJT40" s="38"/>
      <c r="OJU40" s="38"/>
      <c r="OJV40" s="39"/>
      <c r="OJW40" s="38"/>
      <c r="OJX40" s="38"/>
      <c r="OJY40" s="38"/>
      <c r="OJZ40" s="40"/>
      <c r="OKA40" s="41"/>
      <c r="OKB40" s="40"/>
      <c r="OKC40" s="38"/>
      <c r="OKD40" s="42"/>
      <c r="OKE40" s="42"/>
      <c r="OKF40" s="42"/>
      <c r="OKG40" s="38"/>
      <c r="OKH40" s="38"/>
      <c r="OKI40" s="38"/>
      <c r="OKJ40" s="39"/>
      <c r="OKK40" s="38"/>
      <c r="OKL40" s="38"/>
      <c r="OKM40" s="38"/>
      <c r="OKN40" s="40"/>
      <c r="OKO40" s="41"/>
      <c r="OKP40" s="40"/>
      <c r="OKQ40" s="38"/>
      <c r="OKR40" s="42"/>
      <c r="OKS40" s="42"/>
      <c r="OKT40" s="42"/>
      <c r="OKU40" s="38"/>
      <c r="OKV40" s="38"/>
      <c r="OKW40" s="38"/>
      <c r="OKX40" s="39"/>
      <c r="OKY40" s="38"/>
      <c r="OKZ40" s="38"/>
      <c r="OLA40" s="38"/>
      <c r="OLB40" s="40"/>
      <c r="OLC40" s="41"/>
      <c r="OLD40" s="40"/>
      <c r="OLE40" s="38"/>
      <c r="OLF40" s="42"/>
      <c r="OLG40" s="42"/>
      <c r="OLH40" s="42"/>
      <c r="OLI40" s="38"/>
      <c r="OLJ40" s="38"/>
      <c r="OLK40" s="38"/>
      <c r="OLL40" s="39"/>
      <c r="OLM40" s="38"/>
      <c r="OLN40" s="38"/>
      <c r="OLO40" s="38"/>
      <c r="OLP40" s="40"/>
      <c r="OLQ40" s="41"/>
      <c r="OLR40" s="40"/>
      <c r="OLS40" s="38"/>
      <c r="OLT40" s="42"/>
      <c r="OLU40" s="42"/>
      <c r="OLV40" s="42"/>
      <c r="OLW40" s="38"/>
      <c r="OLX40" s="38"/>
      <c r="OLY40" s="38"/>
      <c r="OLZ40" s="39"/>
      <c r="OMA40" s="38"/>
      <c r="OMB40" s="38"/>
      <c r="OMC40" s="38"/>
      <c r="OMD40" s="40"/>
      <c r="OME40" s="41"/>
      <c r="OMF40" s="40"/>
      <c r="OMG40" s="38"/>
      <c r="OMH40" s="42"/>
      <c r="OMI40" s="42"/>
      <c r="OMJ40" s="42"/>
      <c r="OMK40" s="38"/>
      <c r="OML40" s="38"/>
      <c r="OMM40" s="38"/>
      <c r="OMN40" s="39"/>
      <c r="OMO40" s="38"/>
      <c r="OMP40" s="38"/>
      <c r="OMQ40" s="38"/>
      <c r="OMR40" s="40"/>
      <c r="OMS40" s="41"/>
      <c r="OMT40" s="40"/>
      <c r="OMU40" s="38"/>
      <c r="OMV40" s="42"/>
      <c r="OMW40" s="42"/>
      <c r="OMX40" s="42"/>
      <c r="OMY40" s="38"/>
      <c r="OMZ40" s="38"/>
      <c r="ONA40" s="38"/>
      <c r="ONB40" s="39"/>
      <c r="ONC40" s="38"/>
      <c r="OND40" s="38"/>
      <c r="ONE40" s="38"/>
      <c r="ONF40" s="40"/>
      <c r="ONG40" s="41"/>
      <c r="ONH40" s="40"/>
      <c r="ONI40" s="38"/>
      <c r="ONJ40" s="42"/>
      <c r="ONK40" s="42"/>
      <c r="ONL40" s="42"/>
      <c r="ONM40" s="38"/>
      <c r="ONN40" s="38"/>
      <c r="ONO40" s="38"/>
      <c r="ONP40" s="39"/>
      <c r="ONQ40" s="38"/>
      <c r="ONR40" s="38"/>
      <c r="ONS40" s="38"/>
      <c r="ONT40" s="40"/>
      <c r="ONU40" s="41"/>
      <c r="ONV40" s="40"/>
      <c r="ONW40" s="38"/>
      <c r="ONX40" s="42"/>
      <c r="ONY40" s="42"/>
      <c r="ONZ40" s="42"/>
      <c r="OOA40" s="38"/>
      <c r="OOB40" s="38"/>
      <c r="OOC40" s="38"/>
      <c r="OOD40" s="39"/>
      <c r="OOE40" s="38"/>
      <c r="OOF40" s="38"/>
      <c r="OOG40" s="38"/>
      <c r="OOH40" s="40"/>
      <c r="OOI40" s="41"/>
      <c r="OOJ40" s="40"/>
      <c r="OOK40" s="38"/>
      <c r="OOL40" s="42"/>
      <c r="OOM40" s="42"/>
      <c r="OON40" s="42"/>
      <c r="OOO40" s="38"/>
      <c r="OOP40" s="38"/>
      <c r="OOQ40" s="38"/>
      <c r="OOR40" s="39"/>
      <c r="OOS40" s="38"/>
      <c r="OOT40" s="38"/>
      <c r="OOU40" s="38"/>
      <c r="OOV40" s="40"/>
      <c r="OOW40" s="41"/>
      <c r="OOX40" s="40"/>
      <c r="OOY40" s="38"/>
      <c r="OOZ40" s="42"/>
      <c r="OPA40" s="42"/>
      <c r="OPB40" s="42"/>
      <c r="OPC40" s="38"/>
      <c r="OPD40" s="38"/>
      <c r="OPE40" s="38"/>
      <c r="OPF40" s="39"/>
      <c r="OPG40" s="38"/>
      <c r="OPH40" s="38"/>
      <c r="OPI40" s="38"/>
      <c r="OPJ40" s="40"/>
      <c r="OPK40" s="41"/>
      <c r="OPL40" s="40"/>
      <c r="OPM40" s="38"/>
      <c r="OPN40" s="42"/>
      <c r="OPO40" s="42"/>
      <c r="OPP40" s="42"/>
      <c r="OPQ40" s="38"/>
      <c r="OPR40" s="38"/>
      <c r="OPS40" s="38"/>
      <c r="OPT40" s="39"/>
      <c r="OPU40" s="38"/>
      <c r="OPV40" s="38"/>
      <c r="OPW40" s="38"/>
      <c r="OPX40" s="40"/>
      <c r="OPY40" s="41"/>
      <c r="OPZ40" s="40"/>
      <c r="OQA40" s="38"/>
      <c r="OQB40" s="42"/>
      <c r="OQC40" s="42"/>
      <c r="OQD40" s="42"/>
      <c r="OQE40" s="38"/>
      <c r="OQF40" s="38"/>
      <c r="OQG40" s="38"/>
      <c r="OQH40" s="39"/>
      <c r="OQI40" s="38"/>
      <c r="OQJ40" s="38"/>
      <c r="OQK40" s="38"/>
      <c r="OQL40" s="40"/>
      <c r="OQM40" s="41"/>
      <c r="OQN40" s="40"/>
      <c r="OQO40" s="38"/>
      <c r="OQP40" s="42"/>
      <c r="OQQ40" s="42"/>
      <c r="OQR40" s="42"/>
      <c r="OQS40" s="38"/>
      <c r="OQT40" s="38"/>
      <c r="OQU40" s="38"/>
      <c r="OQV40" s="39"/>
      <c r="OQW40" s="38"/>
      <c r="OQX40" s="38"/>
      <c r="OQY40" s="38"/>
      <c r="OQZ40" s="40"/>
      <c r="ORA40" s="41"/>
      <c r="ORB40" s="40"/>
      <c r="ORC40" s="38"/>
      <c r="ORD40" s="42"/>
      <c r="ORE40" s="42"/>
      <c r="ORF40" s="42"/>
      <c r="ORG40" s="38"/>
      <c r="ORH40" s="38"/>
      <c r="ORI40" s="38"/>
      <c r="ORJ40" s="39"/>
      <c r="ORK40" s="38"/>
      <c r="ORL40" s="38"/>
      <c r="ORM40" s="38"/>
      <c r="ORN40" s="40"/>
      <c r="ORO40" s="41"/>
      <c r="ORP40" s="40"/>
      <c r="ORQ40" s="38"/>
      <c r="ORR40" s="42"/>
      <c r="ORS40" s="42"/>
      <c r="ORT40" s="42"/>
      <c r="ORU40" s="38"/>
      <c r="ORV40" s="38"/>
      <c r="ORW40" s="38"/>
      <c r="ORX40" s="39"/>
      <c r="ORY40" s="38"/>
      <c r="ORZ40" s="38"/>
      <c r="OSA40" s="38"/>
      <c r="OSB40" s="40"/>
      <c r="OSC40" s="41"/>
      <c r="OSD40" s="40"/>
      <c r="OSE40" s="38"/>
      <c r="OSF40" s="42"/>
      <c r="OSG40" s="42"/>
      <c r="OSH40" s="42"/>
      <c r="OSI40" s="38"/>
      <c r="OSJ40" s="38"/>
      <c r="OSK40" s="38"/>
      <c r="OSL40" s="39"/>
      <c r="OSM40" s="38"/>
      <c r="OSN40" s="38"/>
      <c r="OSO40" s="38"/>
      <c r="OSP40" s="40"/>
      <c r="OSQ40" s="41"/>
      <c r="OSR40" s="40"/>
      <c r="OSS40" s="38"/>
      <c r="OST40" s="42"/>
      <c r="OSU40" s="42"/>
      <c r="OSV40" s="42"/>
      <c r="OSW40" s="38"/>
      <c r="OSX40" s="38"/>
      <c r="OSY40" s="38"/>
      <c r="OSZ40" s="39"/>
      <c r="OTA40" s="38"/>
      <c r="OTB40" s="38"/>
      <c r="OTC40" s="38"/>
      <c r="OTD40" s="40"/>
      <c r="OTE40" s="41"/>
      <c r="OTF40" s="40"/>
      <c r="OTG40" s="38"/>
      <c r="OTH40" s="42"/>
      <c r="OTI40" s="42"/>
      <c r="OTJ40" s="42"/>
      <c r="OTK40" s="38"/>
      <c r="OTL40" s="38"/>
      <c r="OTM40" s="38"/>
      <c r="OTN40" s="39"/>
      <c r="OTO40" s="38"/>
      <c r="OTP40" s="38"/>
      <c r="OTQ40" s="38"/>
      <c r="OTR40" s="40"/>
      <c r="OTS40" s="41"/>
      <c r="OTT40" s="40"/>
      <c r="OTU40" s="38"/>
      <c r="OTV40" s="42"/>
      <c r="OTW40" s="42"/>
      <c r="OTX40" s="42"/>
      <c r="OTY40" s="38"/>
      <c r="OTZ40" s="38"/>
      <c r="OUA40" s="38"/>
      <c r="OUB40" s="39"/>
      <c r="OUC40" s="38"/>
      <c r="OUD40" s="38"/>
      <c r="OUE40" s="38"/>
      <c r="OUF40" s="40"/>
      <c r="OUG40" s="41"/>
      <c r="OUH40" s="40"/>
      <c r="OUI40" s="38"/>
      <c r="OUJ40" s="42"/>
      <c r="OUK40" s="42"/>
      <c r="OUL40" s="42"/>
      <c r="OUM40" s="38"/>
      <c r="OUN40" s="38"/>
      <c r="OUO40" s="38"/>
      <c r="OUP40" s="39"/>
      <c r="OUQ40" s="38"/>
      <c r="OUR40" s="38"/>
      <c r="OUS40" s="38"/>
      <c r="OUT40" s="40"/>
      <c r="OUU40" s="41"/>
      <c r="OUV40" s="40"/>
      <c r="OUW40" s="38"/>
      <c r="OUX40" s="42"/>
      <c r="OUY40" s="42"/>
      <c r="OUZ40" s="42"/>
      <c r="OVA40" s="38"/>
      <c r="OVB40" s="38"/>
      <c r="OVC40" s="38"/>
      <c r="OVD40" s="39"/>
      <c r="OVE40" s="38"/>
      <c r="OVF40" s="38"/>
      <c r="OVG40" s="38"/>
      <c r="OVH40" s="40"/>
      <c r="OVI40" s="41"/>
      <c r="OVJ40" s="40"/>
      <c r="OVK40" s="38"/>
      <c r="OVL40" s="42"/>
      <c r="OVM40" s="42"/>
      <c r="OVN40" s="42"/>
      <c r="OVO40" s="38"/>
      <c r="OVP40" s="38"/>
      <c r="OVQ40" s="38"/>
      <c r="OVR40" s="39"/>
      <c r="OVS40" s="38"/>
      <c r="OVT40" s="38"/>
      <c r="OVU40" s="38"/>
      <c r="OVV40" s="40"/>
      <c r="OVW40" s="41"/>
      <c r="OVX40" s="40"/>
      <c r="OVY40" s="38"/>
      <c r="OVZ40" s="42"/>
      <c r="OWA40" s="42"/>
      <c r="OWB40" s="42"/>
      <c r="OWC40" s="38"/>
      <c r="OWD40" s="38"/>
      <c r="OWE40" s="38"/>
      <c r="OWF40" s="39"/>
      <c r="OWG40" s="38"/>
      <c r="OWH40" s="38"/>
      <c r="OWI40" s="38"/>
      <c r="OWJ40" s="40"/>
      <c r="OWK40" s="41"/>
      <c r="OWL40" s="40"/>
      <c r="OWM40" s="38"/>
      <c r="OWN40" s="42"/>
      <c r="OWO40" s="42"/>
      <c r="OWP40" s="42"/>
      <c r="OWQ40" s="38"/>
      <c r="OWR40" s="38"/>
      <c r="OWS40" s="38"/>
      <c r="OWT40" s="39"/>
      <c r="OWU40" s="38"/>
      <c r="OWV40" s="38"/>
      <c r="OWW40" s="38"/>
      <c r="OWX40" s="40"/>
      <c r="OWY40" s="41"/>
      <c r="OWZ40" s="40"/>
      <c r="OXA40" s="38"/>
      <c r="OXB40" s="42"/>
      <c r="OXC40" s="42"/>
      <c r="OXD40" s="42"/>
      <c r="OXE40" s="38"/>
      <c r="OXF40" s="38"/>
      <c r="OXG40" s="38"/>
      <c r="OXH40" s="39"/>
      <c r="OXI40" s="38"/>
      <c r="OXJ40" s="38"/>
      <c r="OXK40" s="38"/>
      <c r="OXL40" s="40"/>
      <c r="OXM40" s="41"/>
      <c r="OXN40" s="40"/>
      <c r="OXO40" s="38"/>
      <c r="OXP40" s="42"/>
      <c r="OXQ40" s="42"/>
      <c r="OXR40" s="42"/>
      <c r="OXS40" s="38"/>
      <c r="OXT40" s="38"/>
      <c r="OXU40" s="38"/>
      <c r="OXV40" s="39"/>
      <c r="OXW40" s="38"/>
      <c r="OXX40" s="38"/>
      <c r="OXY40" s="38"/>
      <c r="OXZ40" s="40"/>
      <c r="OYA40" s="41"/>
      <c r="OYB40" s="40"/>
      <c r="OYC40" s="38"/>
      <c r="OYD40" s="42"/>
      <c r="OYE40" s="42"/>
      <c r="OYF40" s="42"/>
      <c r="OYG40" s="38"/>
      <c r="OYH40" s="38"/>
      <c r="OYI40" s="38"/>
      <c r="OYJ40" s="39"/>
      <c r="OYK40" s="38"/>
      <c r="OYL40" s="38"/>
      <c r="OYM40" s="38"/>
      <c r="OYN40" s="40"/>
      <c r="OYO40" s="41"/>
      <c r="OYP40" s="40"/>
      <c r="OYQ40" s="38"/>
      <c r="OYR40" s="42"/>
      <c r="OYS40" s="42"/>
      <c r="OYT40" s="42"/>
      <c r="OYU40" s="38"/>
      <c r="OYV40" s="38"/>
      <c r="OYW40" s="38"/>
      <c r="OYX40" s="39"/>
      <c r="OYY40" s="38"/>
      <c r="OYZ40" s="38"/>
      <c r="OZA40" s="38"/>
      <c r="OZB40" s="40"/>
      <c r="OZC40" s="41"/>
      <c r="OZD40" s="40"/>
      <c r="OZE40" s="38"/>
      <c r="OZF40" s="42"/>
      <c r="OZG40" s="42"/>
      <c r="OZH40" s="42"/>
      <c r="OZI40" s="38"/>
      <c r="OZJ40" s="38"/>
      <c r="OZK40" s="38"/>
      <c r="OZL40" s="39"/>
      <c r="OZM40" s="38"/>
      <c r="OZN40" s="38"/>
      <c r="OZO40" s="38"/>
      <c r="OZP40" s="40"/>
      <c r="OZQ40" s="41"/>
      <c r="OZR40" s="40"/>
      <c r="OZS40" s="38"/>
      <c r="OZT40" s="42"/>
      <c r="OZU40" s="42"/>
      <c r="OZV40" s="42"/>
      <c r="OZW40" s="38"/>
      <c r="OZX40" s="38"/>
      <c r="OZY40" s="38"/>
      <c r="OZZ40" s="39"/>
      <c r="PAA40" s="38"/>
      <c r="PAB40" s="38"/>
      <c r="PAC40" s="38"/>
      <c r="PAD40" s="40"/>
      <c r="PAE40" s="41"/>
      <c r="PAF40" s="40"/>
      <c r="PAG40" s="38"/>
      <c r="PAH40" s="42"/>
      <c r="PAI40" s="42"/>
      <c r="PAJ40" s="42"/>
      <c r="PAK40" s="38"/>
      <c r="PAL40" s="38"/>
      <c r="PAM40" s="38"/>
      <c r="PAN40" s="39"/>
      <c r="PAO40" s="38"/>
      <c r="PAP40" s="38"/>
      <c r="PAQ40" s="38"/>
      <c r="PAR40" s="40"/>
      <c r="PAS40" s="41"/>
      <c r="PAT40" s="40"/>
      <c r="PAU40" s="38"/>
      <c r="PAV40" s="42"/>
      <c r="PAW40" s="42"/>
      <c r="PAX40" s="42"/>
      <c r="PAY40" s="38"/>
      <c r="PAZ40" s="38"/>
      <c r="PBA40" s="38"/>
      <c r="PBB40" s="39"/>
      <c r="PBC40" s="38"/>
      <c r="PBD40" s="38"/>
      <c r="PBE40" s="38"/>
      <c r="PBF40" s="40"/>
      <c r="PBG40" s="41"/>
      <c r="PBH40" s="40"/>
      <c r="PBI40" s="38"/>
      <c r="PBJ40" s="42"/>
      <c r="PBK40" s="42"/>
      <c r="PBL40" s="42"/>
      <c r="PBM40" s="38"/>
      <c r="PBN40" s="38"/>
      <c r="PBO40" s="38"/>
      <c r="PBP40" s="39"/>
      <c r="PBQ40" s="38"/>
      <c r="PBR40" s="38"/>
      <c r="PBS40" s="38"/>
      <c r="PBT40" s="40"/>
      <c r="PBU40" s="41"/>
      <c r="PBV40" s="40"/>
      <c r="PBW40" s="38"/>
      <c r="PBX40" s="42"/>
      <c r="PBY40" s="42"/>
      <c r="PBZ40" s="42"/>
      <c r="PCA40" s="38"/>
      <c r="PCB40" s="38"/>
      <c r="PCC40" s="38"/>
      <c r="PCD40" s="39"/>
      <c r="PCE40" s="38"/>
      <c r="PCF40" s="38"/>
      <c r="PCG40" s="38"/>
      <c r="PCH40" s="40"/>
      <c r="PCI40" s="41"/>
      <c r="PCJ40" s="40"/>
      <c r="PCK40" s="38"/>
      <c r="PCL40" s="42"/>
      <c r="PCM40" s="42"/>
      <c r="PCN40" s="42"/>
      <c r="PCO40" s="38"/>
      <c r="PCP40" s="38"/>
      <c r="PCQ40" s="38"/>
      <c r="PCR40" s="39"/>
      <c r="PCS40" s="38"/>
      <c r="PCT40" s="38"/>
      <c r="PCU40" s="38"/>
      <c r="PCV40" s="40"/>
      <c r="PCW40" s="41"/>
      <c r="PCX40" s="40"/>
      <c r="PCY40" s="38"/>
      <c r="PCZ40" s="42"/>
      <c r="PDA40" s="42"/>
      <c r="PDB40" s="42"/>
      <c r="PDC40" s="38"/>
      <c r="PDD40" s="38"/>
      <c r="PDE40" s="38"/>
      <c r="PDF40" s="39"/>
      <c r="PDG40" s="38"/>
      <c r="PDH40" s="38"/>
      <c r="PDI40" s="38"/>
      <c r="PDJ40" s="40"/>
      <c r="PDK40" s="41"/>
      <c r="PDL40" s="40"/>
      <c r="PDM40" s="38"/>
      <c r="PDN40" s="42"/>
      <c r="PDO40" s="42"/>
      <c r="PDP40" s="42"/>
      <c r="PDQ40" s="38"/>
      <c r="PDR40" s="38"/>
      <c r="PDS40" s="38"/>
      <c r="PDT40" s="39"/>
      <c r="PDU40" s="38"/>
      <c r="PDV40" s="38"/>
      <c r="PDW40" s="38"/>
      <c r="PDX40" s="40"/>
      <c r="PDY40" s="41"/>
      <c r="PDZ40" s="40"/>
      <c r="PEA40" s="38"/>
      <c r="PEB40" s="42"/>
      <c r="PEC40" s="42"/>
      <c r="PED40" s="42"/>
      <c r="PEE40" s="38"/>
      <c r="PEF40" s="38"/>
      <c r="PEG40" s="38"/>
      <c r="PEH40" s="39"/>
      <c r="PEI40" s="38"/>
      <c r="PEJ40" s="38"/>
      <c r="PEK40" s="38"/>
      <c r="PEL40" s="40"/>
      <c r="PEM40" s="41"/>
      <c r="PEN40" s="40"/>
      <c r="PEO40" s="38"/>
      <c r="PEP40" s="42"/>
      <c r="PEQ40" s="42"/>
      <c r="PER40" s="42"/>
      <c r="PES40" s="38"/>
      <c r="PET40" s="38"/>
      <c r="PEU40" s="38"/>
      <c r="PEV40" s="39"/>
      <c r="PEW40" s="38"/>
      <c r="PEX40" s="38"/>
      <c r="PEY40" s="38"/>
      <c r="PEZ40" s="40"/>
      <c r="PFA40" s="41"/>
      <c r="PFB40" s="40"/>
      <c r="PFC40" s="38"/>
      <c r="PFD40" s="42"/>
      <c r="PFE40" s="42"/>
      <c r="PFF40" s="42"/>
      <c r="PFG40" s="38"/>
      <c r="PFH40" s="38"/>
      <c r="PFI40" s="38"/>
      <c r="PFJ40" s="39"/>
      <c r="PFK40" s="38"/>
      <c r="PFL40" s="38"/>
      <c r="PFM40" s="38"/>
      <c r="PFN40" s="40"/>
      <c r="PFO40" s="41"/>
      <c r="PFP40" s="40"/>
      <c r="PFQ40" s="38"/>
      <c r="PFR40" s="42"/>
      <c r="PFS40" s="42"/>
      <c r="PFT40" s="42"/>
      <c r="PFU40" s="38"/>
      <c r="PFV40" s="38"/>
      <c r="PFW40" s="38"/>
      <c r="PFX40" s="39"/>
      <c r="PFY40" s="38"/>
      <c r="PFZ40" s="38"/>
      <c r="PGA40" s="38"/>
      <c r="PGB40" s="40"/>
      <c r="PGC40" s="41"/>
      <c r="PGD40" s="40"/>
      <c r="PGE40" s="38"/>
      <c r="PGF40" s="42"/>
      <c r="PGG40" s="42"/>
      <c r="PGH40" s="42"/>
      <c r="PGI40" s="38"/>
      <c r="PGJ40" s="38"/>
      <c r="PGK40" s="38"/>
      <c r="PGL40" s="39"/>
      <c r="PGM40" s="38"/>
      <c r="PGN40" s="38"/>
      <c r="PGO40" s="38"/>
      <c r="PGP40" s="40"/>
      <c r="PGQ40" s="41"/>
      <c r="PGR40" s="40"/>
      <c r="PGS40" s="38"/>
      <c r="PGT40" s="42"/>
      <c r="PGU40" s="42"/>
      <c r="PGV40" s="42"/>
      <c r="PGW40" s="38"/>
      <c r="PGX40" s="38"/>
      <c r="PGY40" s="38"/>
      <c r="PGZ40" s="39"/>
      <c r="PHA40" s="38"/>
      <c r="PHB40" s="38"/>
      <c r="PHC40" s="38"/>
      <c r="PHD40" s="40"/>
      <c r="PHE40" s="41"/>
      <c r="PHF40" s="40"/>
      <c r="PHG40" s="38"/>
      <c r="PHH40" s="42"/>
      <c r="PHI40" s="42"/>
      <c r="PHJ40" s="42"/>
      <c r="PHK40" s="38"/>
      <c r="PHL40" s="38"/>
      <c r="PHM40" s="38"/>
      <c r="PHN40" s="39"/>
      <c r="PHO40" s="38"/>
      <c r="PHP40" s="38"/>
      <c r="PHQ40" s="38"/>
      <c r="PHR40" s="40"/>
      <c r="PHS40" s="41"/>
      <c r="PHT40" s="40"/>
      <c r="PHU40" s="38"/>
      <c r="PHV40" s="42"/>
      <c r="PHW40" s="42"/>
      <c r="PHX40" s="42"/>
      <c r="PHY40" s="38"/>
      <c r="PHZ40" s="38"/>
      <c r="PIA40" s="38"/>
      <c r="PIB40" s="39"/>
      <c r="PIC40" s="38"/>
      <c r="PID40" s="38"/>
      <c r="PIE40" s="38"/>
      <c r="PIF40" s="40"/>
      <c r="PIG40" s="41"/>
      <c r="PIH40" s="40"/>
      <c r="PII40" s="38"/>
      <c r="PIJ40" s="42"/>
      <c r="PIK40" s="42"/>
      <c r="PIL40" s="42"/>
      <c r="PIM40" s="38"/>
      <c r="PIN40" s="38"/>
      <c r="PIO40" s="38"/>
      <c r="PIP40" s="39"/>
      <c r="PIQ40" s="38"/>
      <c r="PIR40" s="38"/>
      <c r="PIS40" s="38"/>
      <c r="PIT40" s="40"/>
      <c r="PIU40" s="41"/>
      <c r="PIV40" s="40"/>
      <c r="PIW40" s="38"/>
      <c r="PIX40" s="42"/>
      <c r="PIY40" s="42"/>
      <c r="PIZ40" s="42"/>
      <c r="PJA40" s="38"/>
      <c r="PJB40" s="38"/>
      <c r="PJC40" s="38"/>
      <c r="PJD40" s="39"/>
      <c r="PJE40" s="38"/>
      <c r="PJF40" s="38"/>
      <c r="PJG40" s="38"/>
      <c r="PJH40" s="40"/>
      <c r="PJI40" s="41"/>
      <c r="PJJ40" s="40"/>
      <c r="PJK40" s="38"/>
      <c r="PJL40" s="42"/>
      <c r="PJM40" s="42"/>
      <c r="PJN40" s="42"/>
      <c r="PJO40" s="38"/>
      <c r="PJP40" s="38"/>
      <c r="PJQ40" s="38"/>
      <c r="PJR40" s="39"/>
      <c r="PJS40" s="38"/>
      <c r="PJT40" s="38"/>
      <c r="PJU40" s="38"/>
      <c r="PJV40" s="40"/>
      <c r="PJW40" s="41"/>
      <c r="PJX40" s="40"/>
      <c r="PJY40" s="38"/>
      <c r="PJZ40" s="42"/>
      <c r="PKA40" s="42"/>
      <c r="PKB40" s="42"/>
      <c r="PKC40" s="38"/>
      <c r="PKD40" s="38"/>
      <c r="PKE40" s="38"/>
      <c r="PKF40" s="39"/>
      <c r="PKG40" s="38"/>
      <c r="PKH40" s="38"/>
      <c r="PKI40" s="38"/>
      <c r="PKJ40" s="40"/>
      <c r="PKK40" s="41"/>
      <c r="PKL40" s="40"/>
      <c r="PKM40" s="38"/>
      <c r="PKN40" s="42"/>
      <c r="PKO40" s="42"/>
      <c r="PKP40" s="42"/>
      <c r="PKQ40" s="38"/>
      <c r="PKR40" s="38"/>
      <c r="PKS40" s="38"/>
      <c r="PKT40" s="39"/>
      <c r="PKU40" s="38"/>
      <c r="PKV40" s="38"/>
      <c r="PKW40" s="38"/>
      <c r="PKX40" s="40"/>
      <c r="PKY40" s="41"/>
      <c r="PKZ40" s="40"/>
      <c r="PLA40" s="38"/>
      <c r="PLB40" s="42"/>
      <c r="PLC40" s="42"/>
      <c r="PLD40" s="42"/>
      <c r="PLE40" s="38"/>
      <c r="PLF40" s="38"/>
      <c r="PLG40" s="38"/>
      <c r="PLH40" s="39"/>
      <c r="PLI40" s="38"/>
      <c r="PLJ40" s="38"/>
      <c r="PLK40" s="38"/>
      <c r="PLL40" s="40"/>
      <c r="PLM40" s="41"/>
      <c r="PLN40" s="40"/>
      <c r="PLO40" s="38"/>
      <c r="PLP40" s="42"/>
      <c r="PLQ40" s="42"/>
      <c r="PLR40" s="42"/>
      <c r="PLS40" s="38"/>
      <c r="PLT40" s="38"/>
      <c r="PLU40" s="38"/>
      <c r="PLV40" s="39"/>
      <c r="PLW40" s="38"/>
      <c r="PLX40" s="38"/>
      <c r="PLY40" s="38"/>
      <c r="PLZ40" s="40"/>
      <c r="PMA40" s="41"/>
      <c r="PMB40" s="40"/>
      <c r="PMC40" s="38"/>
      <c r="PMD40" s="42"/>
      <c r="PME40" s="42"/>
      <c r="PMF40" s="42"/>
      <c r="PMG40" s="38"/>
      <c r="PMH40" s="38"/>
      <c r="PMI40" s="38"/>
      <c r="PMJ40" s="39"/>
      <c r="PMK40" s="38"/>
      <c r="PML40" s="38"/>
      <c r="PMM40" s="38"/>
      <c r="PMN40" s="40"/>
      <c r="PMO40" s="41"/>
      <c r="PMP40" s="40"/>
      <c r="PMQ40" s="38"/>
      <c r="PMR40" s="42"/>
      <c r="PMS40" s="42"/>
      <c r="PMT40" s="42"/>
      <c r="PMU40" s="38"/>
      <c r="PMV40" s="38"/>
      <c r="PMW40" s="38"/>
      <c r="PMX40" s="39"/>
      <c r="PMY40" s="38"/>
      <c r="PMZ40" s="38"/>
      <c r="PNA40" s="38"/>
      <c r="PNB40" s="40"/>
      <c r="PNC40" s="41"/>
      <c r="PND40" s="40"/>
      <c r="PNE40" s="38"/>
      <c r="PNF40" s="42"/>
      <c r="PNG40" s="42"/>
      <c r="PNH40" s="42"/>
      <c r="PNI40" s="38"/>
      <c r="PNJ40" s="38"/>
      <c r="PNK40" s="38"/>
      <c r="PNL40" s="39"/>
      <c r="PNM40" s="38"/>
      <c r="PNN40" s="38"/>
      <c r="PNO40" s="38"/>
      <c r="PNP40" s="40"/>
      <c r="PNQ40" s="41"/>
      <c r="PNR40" s="40"/>
      <c r="PNS40" s="38"/>
      <c r="PNT40" s="42"/>
      <c r="PNU40" s="42"/>
      <c r="PNV40" s="42"/>
      <c r="PNW40" s="38"/>
      <c r="PNX40" s="38"/>
      <c r="PNY40" s="38"/>
      <c r="PNZ40" s="39"/>
      <c r="POA40" s="38"/>
      <c r="POB40" s="38"/>
      <c r="POC40" s="38"/>
      <c r="POD40" s="40"/>
      <c r="POE40" s="41"/>
      <c r="POF40" s="40"/>
      <c r="POG40" s="38"/>
      <c r="POH40" s="42"/>
      <c r="POI40" s="42"/>
      <c r="POJ40" s="42"/>
      <c r="POK40" s="38"/>
      <c r="POL40" s="38"/>
      <c r="POM40" s="38"/>
      <c r="PON40" s="39"/>
      <c r="POO40" s="38"/>
      <c r="POP40" s="38"/>
      <c r="POQ40" s="38"/>
      <c r="POR40" s="40"/>
      <c r="POS40" s="41"/>
      <c r="POT40" s="40"/>
      <c r="POU40" s="38"/>
      <c r="POV40" s="42"/>
      <c r="POW40" s="42"/>
      <c r="POX40" s="42"/>
      <c r="POY40" s="38"/>
      <c r="POZ40" s="38"/>
      <c r="PPA40" s="38"/>
      <c r="PPB40" s="39"/>
      <c r="PPC40" s="38"/>
      <c r="PPD40" s="38"/>
      <c r="PPE40" s="38"/>
      <c r="PPF40" s="40"/>
      <c r="PPG40" s="41"/>
      <c r="PPH40" s="40"/>
      <c r="PPI40" s="38"/>
      <c r="PPJ40" s="42"/>
      <c r="PPK40" s="42"/>
      <c r="PPL40" s="42"/>
      <c r="PPM40" s="38"/>
      <c r="PPN40" s="38"/>
      <c r="PPO40" s="38"/>
      <c r="PPP40" s="39"/>
      <c r="PPQ40" s="38"/>
      <c r="PPR40" s="38"/>
      <c r="PPS40" s="38"/>
      <c r="PPT40" s="40"/>
      <c r="PPU40" s="41"/>
      <c r="PPV40" s="40"/>
      <c r="PPW40" s="38"/>
      <c r="PPX40" s="42"/>
      <c r="PPY40" s="42"/>
      <c r="PPZ40" s="42"/>
      <c r="PQA40" s="38"/>
      <c r="PQB40" s="38"/>
      <c r="PQC40" s="38"/>
      <c r="PQD40" s="39"/>
      <c r="PQE40" s="38"/>
      <c r="PQF40" s="38"/>
      <c r="PQG40" s="38"/>
      <c r="PQH40" s="40"/>
      <c r="PQI40" s="41"/>
      <c r="PQJ40" s="40"/>
      <c r="PQK40" s="38"/>
      <c r="PQL40" s="42"/>
      <c r="PQM40" s="42"/>
      <c r="PQN40" s="42"/>
      <c r="PQO40" s="38"/>
      <c r="PQP40" s="38"/>
      <c r="PQQ40" s="38"/>
      <c r="PQR40" s="39"/>
      <c r="PQS40" s="38"/>
      <c r="PQT40" s="38"/>
      <c r="PQU40" s="38"/>
      <c r="PQV40" s="40"/>
      <c r="PQW40" s="41"/>
      <c r="PQX40" s="40"/>
      <c r="PQY40" s="38"/>
      <c r="PQZ40" s="42"/>
      <c r="PRA40" s="42"/>
      <c r="PRB40" s="42"/>
      <c r="PRC40" s="38"/>
      <c r="PRD40" s="38"/>
      <c r="PRE40" s="38"/>
      <c r="PRF40" s="39"/>
      <c r="PRG40" s="38"/>
      <c r="PRH40" s="38"/>
      <c r="PRI40" s="38"/>
      <c r="PRJ40" s="40"/>
      <c r="PRK40" s="41"/>
      <c r="PRL40" s="40"/>
      <c r="PRM40" s="38"/>
      <c r="PRN40" s="42"/>
      <c r="PRO40" s="42"/>
      <c r="PRP40" s="42"/>
      <c r="PRQ40" s="38"/>
      <c r="PRR40" s="38"/>
      <c r="PRS40" s="38"/>
      <c r="PRT40" s="39"/>
      <c r="PRU40" s="38"/>
      <c r="PRV40" s="38"/>
      <c r="PRW40" s="38"/>
      <c r="PRX40" s="40"/>
      <c r="PRY40" s="41"/>
      <c r="PRZ40" s="40"/>
      <c r="PSA40" s="38"/>
      <c r="PSB40" s="42"/>
      <c r="PSC40" s="42"/>
      <c r="PSD40" s="42"/>
      <c r="PSE40" s="38"/>
      <c r="PSF40" s="38"/>
      <c r="PSG40" s="38"/>
      <c r="PSH40" s="39"/>
      <c r="PSI40" s="38"/>
      <c r="PSJ40" s="38"/>
      <c r="PSK40" s="38"/>
      <c r="PSL40" s="40"/>
      <c r="PSM40" s="41"/>
      <c r="PSN40" s="40"/>
      <c r="PSO40" s="38"/>
      <c r="PSP40" s="42"/>
      <c r="PSQ40" s="42"/>
      <c r="PSR40" s="42"/>
      <c r="PSS40" s="38"/>
      <c r="PST40" s="38"/>
      <c r="PSU40" s="38"/>
      <c r="PSV40" s="39"/>
      <c r="PSW40" s="38"/>
      <c r="PSX40" s="38"/>
      <c r="PSY40" s="38"/>
      <c r="PSZ40" s="40"/>
      <c r="PTA40" s="41"/>
      <c r="PTB40" s="40"/>
      <c r="PTC40" s="38"/>
      <c r="PTD40" s="42"/>
      <c r="PTE40" s="42"/>
      <c r="PTF40" s="42"/>
      <c r="PTG40" s="38"/>
      <c r="PTH40" s="38"/>
      <c r="PTI40" s="38"/>
      <c r="PTJ40" s="39"/>
      <c r="PTK40" s="38"/>
      <c r="PTL40" s="38"/>
      <c r="PTM40" s="38"/>
      <c r="PTN40" s="40"/>
      <c r="PTO40" s="41"/>
      <c r="PTP40" s="40"/>
      <c r="PTQ40" s="38"/>
      <c r="PTR40" s="42"/>
      <c r="PTS40" s="42"/>
      <c r="PTT40" s="42"/>
      <c r="PTU40" s="38"/>
      <c r="PTV40" s="38"/>
      <c r="PTW40" s="38"/>
      <c r="PTX40" s="39"/>
      <c r="PTY40" s="38"/>
      <c r="PTZ40" s="38"/>
      <c r="PUA40" s="38"/>
      <c r="PUB40" s="40"/>
      <c r="PUC40" s="41"/>
      <c r="PUD40" s="40"/>
      <c r="PUE40" s="38"/>
      <c r="PUF40" s="42"/>
      <c r="PUG40" s="42"/>
      <c r="PUH40" s="42"/>
      <c r="PUI40" s="38"/>
      <c r="PUJ40" s="38"/>
      <c r="PUK40" s="38"/>
      <c r="PUL40" s="39"/>
      <c r="PUM40" s="38"/>
      <c r="PUN40" s="38"/>
      <c r="PUO40" s="38"/>
      <c r="PUP40" s="40"/>
      <c r="PUQ40" s="41"/>
      <c r="PUR40" s="40"/>
      <c r="PUS40" s="38"/>
      <c r="PUT40" s="42"/>
      <c r="PUU40" s="42"/>
      <c r="PUV40" s="42"/>
      <c r="PUW40" s="38"/>
      <c r="PUX40" s="38"/>
      <c r="PUY40" s="38"/>
      <c r="PUZ40" s="39"/>
      <c r="PVA40" s="38"/>
      <c r="PVB40" s="38"/>
      <c r="PVC40" s="38"/>
      <c r="PVD40" s="40"/>
      <c r="PVE40" s="41"/>
      <c r="PVF40" s="40"/>
      <c r="PVG40" s="38"/>
      <c r="PVH40" s="42"/>
      <c r="PVI40" s="42"/>
      <c r="PVJ40" s="42"/>
      <c r="PVK40" s="38"/>
      <c r="PVL40" s="38"/>
      <c r="PVM40" s="38"/>
      <c r="PVN40" s="39"/>
      <c r="PVO40" s="38"/>
      <c r="PVP40" s="38"/>
      <c r="PVQ40" s="38"/>
      <c r="PVR40" s="40"/>
      <c r="PVS40" s="41"/>
      <c r="PVT40" s="40"/>
      <c r="PVU40" s="38"/>
      <c r="PVV40" s="42"/>
      <c r="PVW40" s="42"/>
      <c r="PVX40" s="42"/>
      <c r="PVY40" s="38"/>
      <c r="PVZ40" s="38"/>
      <c r="PWA40" s="38"/>
      <c r="PWB40" s="39"/>
      <c r="PWC40" s="38"/>
      <c r="PWD40" s="38"/>
      <c r="PWE40" s="38"/>
      <c r="PWF40" s="40"/>
      <c r="PWG40" s="41"/>
      <c r="PWH40" s="40"/>
      <c r="PWI40" s="38"/>
      <c r="PWJ40" s="42"/>
      <c r="PWK40" s="42"/>
      <c r="PWL40" s="42"/>
      <c r="PWM40" s="38"/>
      <c r="PWN40" s="38"/>
      <c r="PWO40" s="38"/>
      <c r="PWP40" s="39"/>
      <c r="PWQ40" s="38"/>
      <c r="PWR40" s="38"/>
      <c r="PWS40" s="38"/>
      <c r="PWT40" s="40"/>
      <c r="PWU40" s="41"/>
      <c r="PWV40" s="40"/>
      <c r="PWW40" s="38"/>
      <c r="PWX40" s="42"/>
      <c r="PWY40" s="42"/>
      <c r="PWZ40" s="42"/>
      <c r="PXA40" s="38"/>
      <c r="PXB40" s="38"/>
      <c r="PXC40" s="38"/>
      <c r="PXD40" s="39"/>
      <c r="PXE40" s="38"/>
      <c r="PXF40" s="38"/>
      <c r="PXG40" s="38"/>
      <c r="PXH40" s="40"/>
      <c r="PXI40" s="41"/>
      <c r="PXJ40" s="40"/>
      <c r="PXK40" s="38"/>
      <c r="PXL40" s="42"/>
      <c r="PXM40" s="42"/>
      <c r="PXN40" s="42"/>
      <c r="PXO40" s="38"/>
      <c r="PXP40" s="38"/>
      <c r="PXQ40" s="38"/>
      <c r="PXR40" s="39"/>
      <c r="PXS40" s="38"/>
      <c r="PXT40" s="38"/>
      <c r="PXU40" s="38"/>
      <c r="PXV40" s="40"/>
      <c r="PXW40" s="41"/>
      <c r="PXX40" s="40"/>
      <c r="PXY40" s="38"/>
      <c r="PXZ40" s="42"/>
      <c r="PYA40" s="42"/>
      <c r="PYB40" s="42"/>
      <c r="PYC40" s="38"/>
      <c r="PYD40" s="38"/>
      <c r="PYE40" s="38"/>
      <c r="PYF40" s="39"/>
      <c r="PYG40" s="38"/>
      <c r="PYH40" s="38"/>
      <c r="PYI40" s="38"/>
      <c r="PYJ40" s="40"/>
      <c r="PYK40" s="41"/>
      <c r="PYL40" s="40"/>
      <c r="PYM40" s="38"/>
      <c r="PYN40" s="42"/>
      <c r="PYO40" s="42"/>
      <c r="PYP40" s="42"/>
      <c r="PYQ40" s="38"/>
      <c r="PYR40" s="38"/>
      <c r="PYS40" s="38"/>
      <c r="PYT40" s="39"/>
      <c r="PYU40" s="38"/>
      <c r="PYV40" s="38"/>
      <c r="PYW40" s="38"/>
      <c r="PYX40" s="40"/>
      <c r="PYY40" s="41"/>
      <c r="PYZ40" s="40"/>
      <c r="PZA40" s="38"/>
      <c r="PZB40" s="42"/>
      <c r="PZC40" s="42"/>
      <c r="PZD40" s="42"/>
      <c r="PZE40" s="38"/>
      <c r="PZF40" s="38"/>
      <c r="PZG40" s="38"/>
      <c r="PZH40" s="39"/>
      <c r="PZI40" s="38"/>
      <c r="PZJ40" s="38"/>
      <c r="PZK40" s="38"/>
      <c r="PZL40" s="40"/>
      <c r="PZM40" s="41"/>
      <c r="PZN40" s="40"/>
      <c r="PZO40" s="38"/>
      <c r="PZP40" s="42"/>
      <c r="PZQ40" s="42"/>
      <c r="PZR40" s="42"/>
      <c r="PZS40" s="38"/>
      <c r="PZT40" s="38"/>
      <c r="PZU40" s="38"/>
      <c r="PZV40" s="39"/>
      <c r="PZW40" s="38"/>
      <c r="PZX40" s="38"/>
      <c r="PZY40" s="38"/>
      <c r="PZZ40" s="40"/>
      <c r="QAA40" s="41"/>
      <c r="QAB40" s="40"/>
      <c r="QAC40" s="38"/>
      <c r="QAD40" s="42"/>
      <c r="QAE40" s="42"/>
      <c r="QAF40" s="42"/>
      <c r="QAG40" s="38"/>
      <c r="QAH40" s="38"/>
      <c r="QAI40" s="38"/>
      <c r="QAJ40" s="39"/>
      <c r="QAK40" s="38"/>
      <c r="QAL40" s="38"/>
      <c r="QAM40" s="38"/>
      <c r="QAN40" s="40"/>
      <c r="QAO40" s="41"/>
      <c r="QAP40" s="40"/>
      <c r="QAQ40" s="38"/>
      <c r="QAR40" s="42"/>
      <c r="QAS40" s="42"/>
      <c r="QAT40" s="42"/>
      <c r="QAU40" s="38"/>
      <c r="QAV40" s="38"/>
      <c r="QAW40" s="38"/>
      <c r="QAX40" s="39"/>
      <c r="QAY40" s="38"/>
      <c r="QAZ40" s="38"/>
      <c r="QBA40" s="38"/>
      <c r="QBB40" s="40"/>
      <c r="QBC40" s="41"/>
      <c r="QBD40" s="40"/>
      <c r="QBE40" s="38"/>
      <c r="QBF40" s="42"/>
      <c r="QBG40" s="42"/>
      <c r="QBH40" s="42"/>
      <c r="QBI40" s="38"/>
      <c r="QBJ40" s="38"/>
      <c r="QBK40" s="38"/>
      <c r="QBL40" s="39"/>
      <c r="QBM40" s="38"/>
      <c r="QBN40" s="38"/>
      <c r="QBO40" s="38"/>
      <c r="QBP40" s="40"/>
      <c r="QBQ40" s="41"/>
      <c r="QBR40" s="40"/>
      <c r="QBS40" s="38"/>
      <c r="QBT40" s="42"/>
      <c r="QBU40" s="42"/>
      <c r="QBV40" s="42"/>
      <c r="QBW40" s="38"/>
      <c r="QBX40" s="38"/>
      <c r="QBY40" s="38"/>
      <c r="QBZ40" s="39"/>
      <c r="QCA40" s="38"/>
      <c r="QCB40" s="38"/>
      <c r="QCC40" s="38"/>
      <c r="QCD40" s="40"/>
      <c r="QCE40" s="41"/>
      <c r="QCF40" s="40"/>
      <c r="QCG40" s="38"/>
      <c r="QCH40" s="42"/>
      <c r="QCI40" s="42"/>
      <c r="QCJ40" s="42"/>
      <c r="QCK40" s="38"/>
      <c r="QCL40" s="38"/>
      <c r="QCM40" s="38"/>
      <c r="QCN40" s="39"/>
      <c r="QCO40" s="38"/>
      <c r="QCP40" s="38"/>
      <c r="QCQ40" s="38"/>
      <c r="QCR40" s="40"/>
      <c r="QCS40" s="41"/>
      <c r="QCT40" s="40"/>
      <c r="QCU40" s="38"/>
      <c r="QCV40" s="42"/>
      <c r="QCW40" s="42"/>
      <c r="QCX40" s="42"/>
      <c r="QCY40" s="38"/>
      <c r="QCZ40" s="38"/>
      <c r="QDA40" s="38"/>
      <c r="QDB40" s="39"/>
      <c r="QDC40" s="38"/>
      <c r="QDD40" s="38"/>
      <c r="QDE40" s="38"/>
      <c r="QDF40" s="40"/>
      <c r="QDG40" s="41"/>
      <c r="QDH40" s="40"/>
      <c r="QDI40" s="38"/>
      <c r="QDJ40" s="42"/>
      <c r="QDK40" s="42"/>
      <c r="QDL40" s="42"/>
      <c r="QDM40" s="38"/>
      <c r="QDN40" s="38"/>
      <c r="QDO40" s="38"/>
      <c r="QDP40" s="39"/>
      <c r="QDQ40" s="38"/>
      <c r="QDR40" s="38"/>
      <c r="QDS40" s="38"/>
      <c r="QDT40" s="40"/>
      <c r="QDU40" s="41"/>
      <c r="QDV40" s="40"/>
      <c r="QDW40" s="38"/>
      <c r="QDX40" s="42"/>
      <c r="QDY40" s="42"/>
      <c r="QDZ40" s="42"/>
      <c r="QEA40" s="38"/>
      <c r="QEB40" s="38"/>
      <c r="QEC40" s="38"/>
      <c r="QED40" s="39"/>
      <c r="QEE40" s="38"/>
      <c r="QEF40" s="38"/>
      <c r="QEG40" s="38"/>
      <c r="QEH40" s="40"/>
      <c r="QEI40" s="41"/>
      <c r="QEJ40" s="40"/>
      <c r="QEK40" s="38"/>
      <c r="QEL40" s="42"/>
      <c r="QEM40" s="42"/>
      <c r="QEN40" s="42"/>
      <c r="QEO40" s="38"/>
      <c r="QEP40" s="38"/>
      <c r="QEQ40" s="38"/>
      <c r="QER40" s="39"/>
      <c r="QES40" s="38"/>
      <c r="QET40" s="38"/>
      <c r="QEU40" s="38"/>
      <c r="QEV40" s="40"/>
      <c r="QEW40" s="41"/>
      <c r="QEX40" s="40"/>
      <c r="QEY40" s="38"/>
      <c r="QEZ40" s="42"/>
      <c r="QFA40" s="42"/>
      <c r="QFB40" s="42"/>
      <c r="QFC40" s="38"/>
      <c r="QFD40" s="38"/>
      <c r="QFE40" s="38"/>
      <c r="QFF40" s="39"/>
      <c r="QFG40" s="38"/>
      <c r="QFH40" s="38"/>
      <c r="QFI40" s="38"/>
      <c r="QFJ40" s="40"/>
      <c r="QFK40" s="41"/>
      <c r="QFL40" s="40"/>
      <c r="QFM40" s="38"/>
      <c r="QFN40" s="42"/>
      <c r="QFO40" s="42"/>
      <c r="QFP40" s="42"/>
      <c r="QFQ40" s="38"/>
      <c r="QFR40" s="38"/>
      <c r="QFS40" s="38"/>
      <c r="QFT40" s="39"/>
      <c r="QFU40" s="38"/>
      <c r="QFV40" s="38"/>
      <c r="QFW40" s="38"/>
      <c r="QFX40" s="40"/>
      <c r="QFY40" s="41"/>
      <c r="QFZ40" s="40"/>
      <c r="QGA40" s="38"/>
      <c r="QGB40" s="42"/>
      <c r="QGC40" s="42"/>
      <c r="QGD40" s="42"/>
      <c r="QGE40" s="38"/>
      <c r="QGF40" s="38"/>
      <c r="QGG40" s="38"/>
      <c r="QGH40" s="39"/>
      <c r="QGI40" s="38"/>
      <c r="QGJ40" s="38"/>
      <c r="QGK40" s="38"/>
      <c r="QGL40" s="40"/>
      <c r="QGM40" s="41"/>
      <c r="QGN40" s="40"/>
      <c r="QGO40" s="38"/>
      <c r="QGP40" s="42"/>
      <c r="QGQ40" s="42"/>
      <c r="QGR40" s="42"/>
      <c r="QGS40" s="38"/>
      <c r="QGT40" s="38"/>
      <c r="QGU40" s="38"/>
      <c r="QGV40" s="39"/>
      <c r="QGW40" s="38"/>
      <c r="QGX40" s="38"/>
      <c r="QGY40" s="38"/>
      <c r="QGZ40" s="40"/>
      <c r="QHA40" s="41"/>
      <c r="QHB40" s="40"/>
      <c r="QHC40" s="38"/>
      <c r="QHD40" s="42"/>
      <c r="QHE40" s="42"/>
      <c r="QHF40" s="42"/>
      <c r="QHG40" s="38"/>
      <c r="QHH40" s="38"/>
      <c r="QHI40" s="38"/>
      <c r="QHJ40" s="39"/>
      <c r="QHK40" s="38"/>
      <c r="QHL40" s="38"/>
      <c r="QHM40" s="38"/>
      <c r="QHN40" s="40"/>
      <c r="QHO40" s="41"/>
      <c r="QHP40" s="40"/>
      <c r="QHQ40" s="38"/>
      <c r="QHR40" s="42"/>
      <c r="QHS40" s="42"/>
      <c r="QHT40" s="42"/>
      <c r="QHU40" s="38"/>
      <c r="QHV40" s="38"/>
      <c r="QHW40" s="38"/>
      <c r="QHX40" s="39"/>
      <c r="QHY40" s="38"/>
      <c r="QHZ40" s="38"/>
      <c r="QIA40" s="38"/>
      <c r="QIB40" s="40"/>
      <c r="QIC40" s="41"/>
      <c r="QID40" s="40"/>
      <c r="QIE40" s="38"/>
      <c r="QIF40" s="42"/>
      <c r="QIG40" s="42"/>
      <c r="QIH40" s="42"/>
      <c r="QII40" s="38"/>
      <c r="QIJ40" s="38"/>
      <c r="QIK40" s="38"/>
      <c r="QIL40" s="39"/>
      <c r="QIM40" s="38"/>
      <c r="QIN40" s="38"/>
      <c r="QIO40" s="38"/>
      <c r="QIP40" s="40"/>
      <c r="QIQ40" s="41"/>
      <c r="QIR40" s="40"/>
      <c r="QIS40" s="38"/>
      <c r="QIT40" s="42"/>
      <c r="QIU40" s="42"/>
      <c r="QIV40" s="42"/>
      <c r="QIW40" s="38"/>
      <c r="QIX40" s="38"/>
      <c r="QIY40" s="38"/>
      <c r="QIZ40" s="39"/>
      <c r="QJA40" s="38"/>
      <c r="QJB40" s="38"/>
      <c r="QJC40" s="38"/>
      <c r="QJD40" s="40"/>
      <c r="QJE40" s="41"/>
      <c r="QJF40" s="40"/>
      <c r="QJG40" s="38"/>
      <c r="QJH40" s="42"/>
      <c r="QJI40" s="42"/>
      <c r="QJJ40" s="42"/>
      <c r="QJK40" s="38"/>
      <c r="QJL40" s="38"/>
      <c r="QJM40" s="38"/>
      <c r="QJN40" s="39"/>
      <c r="QJO40" s="38"/>
      <c r="QJP40" s="38"/>
      <c r="QJQ40" s="38"/>
      <c r="QJR40" s="40"/>
      <c r="QJS40" s="41"/>
      <c r="QJT40" s="40"/>
      <c r="QJU40" s="38"/>
      <c r="QJV40" s="42"/>
      <c r="QJW40" s="42"/>
      <c r="QJX40" s="42"/>
      <c r="QJY40" s="38"/>
      <c r="QJZ40" s="38"/>
      <c r="QKA40" s="38"/>
      <c r="QKB40" s="39"/>
      <c r="QKC40" s="38"/>
      <c r="QKD40" s="38"/>
      <c r="QKE40" s="38"/>
      <c r="QKF40" s="40"/>
      <c r="QKG40" s="41"/>
      <c r="QKH40" s="40"/>
      <c r="QKI40" s="38"/>
      <c r="QKJ40" s="42"/>
      <c r="QKK40" s="42"/>
      <c r="QKL40" s="42"/>
      <c r="QKM40" s="38"/>
      <c r="QKN40" s="38"/>
      <c r="QKO40" s="38"/>
      <c r="QKP40" s="39"/>
      <c r="QKQ40" s="38"/>
      <c r="QKR40" s="38"/>
      <c r="QKS40" s="38"/>
      <c r="QKT40" s="40"/>
      <c r="QKU40" s="41"/>
      <c r="QKV40" s="40"/>
      <c r="QKW40" s="38"/>
      <c r="QKX40" s="42"/>
      <c r="QKY40" s="42"/>
      <c r="QKZ40" s="42"/>
      <c r="QLA40" s="38"/>
      <c r="QLB40" s="38"/>
      <c r="QLC40" s="38"/>
      <c r="QLD40" s="39"/>
      <c r="QLE40" s="38"/>
      <c r="QLF40" s="38"/>
      <c r="QLG40" s="38"/>
      <c r="QLH40" s="40"/>
      <c r="QLI40" s="41"/>
      <c r="QLJ40" s="40"/>
      <c r="QLK40" s="38"/>
      <c r="QLL40" s="42"/>
      <c r="QLM40" s="42"/>
      <c r="QLN40" s="42"/>
      <c r="QLO40" s="38"/>
      <c r="QLP40" s="38"/>
      <c r="QLQ40" s="38"/>
      <c r="QLR40" s="39"/>
      <c r="QLS40" s="38"/>
      <c r="QLT40" s="38"/>
      <c r="QLU40" s="38"/>
      <c r="QLV40" s="40"/>
      <c r="QLW40" s="41"/>
      <c r="QLX40" s="40"/>
      <c r="QLY40" s="38"/>
      <c r="QLZ40" s="42"/>
      <c r="QMA40" s="42"/>
      <c r="QMB40" s="42"/>
      <c r="QMC40" s="38"/>
      <c r="QMD40" s="38"/>
      <c r="QME40" s="38"/>
      <c r="QMF40" s="39"/>
      <c r="QMG40" s="38"/>
      <c r="QMH40" s="38"/>
      <c r="QMI40" s="38"/>
      <c r="QMJ40" s="40"/>
      <c r="QMK40" s="41"/>
      <c r="QML40" s="40"/>
      <c r="QMM40" s="38"/>
      <c r="QMN40" s="42"/>
      <c r="QMO40" s="42"/>
      <c r="QMP40" s="42"/>
      <c r="QMQ40" s="38"/>
      <c r="QMR40" s="38"/>
      <c r="QMS40" s="38"/>
      <c r="QMT40" s="39"/>
      <c r="QMU40" s="38"/>
      <c r="QMV40" s="38"/>
      <c r="QMW40" s="38"/>
      <c r="QMX40" s="40"/>
      <c r="QMY40" s="41"/>
      <c r="QMZ40" s="40"/>
      <c r="QNA40" s="38"/>
      <c r="QNB40" s="42"/>
      <c r="QNC40" s="42"/>
      <c r="QND40" s="42"/>
      <c r="QNE40" s="38"/>
      <c r="QNF40" s="38"/>
      <c r="QNG40" s="38"/>
      <c r="QNH40" s="39"/>
      <c r="QNI40" s="38"/>
      <c r="QNJ40" s="38"/>
      <c r="QNK40" s="38"/>
      <c r="QNL40" s="40"/>
      <c r="QNM40" s="41"/>
      <c r="QNN40" s="40"/>
      <c r="QNO40" s="38"/>
      <c r="QNP40" s="42"/>
      <c r="QNQ40" s="42"/>
      <c r="QNR40" s="42"/>
      <c r="QNS40" s="38"/>
      <c r="QNT40" s="38"/>
      <c r="QNU40" s="38"/>
      <c r="QNV40" s="39"/>
      <c r="QNW40" s="38"/>
      <c r="QNX40" s="38"/>
      <c r="QNY40" s="38"/>
      <c r="QNZ40" s="40"/>
      <c r="QOA40" s="41"/>
      <c r="QOB40" s="40"/>
      <c r="QOC40" s="38"/>
      <c r="QOD40" s="42"/>
      <c r="QOE40" s="42"/>
      <c r="QOF40" s="42"/>
      <c r="QOG40" s="38"/>
      <c r="QOH40" s="38"/>
      <c r="QOI40" s="38"/>
      <c r="QOJ40" s="39"/>
      <c r="QOK40" s="38"/>
      <c r="QOL40" s="38"/>
      <c r="QOM40" s="38"/>
      <c r="QON40" s="40"/>
      <c r="QOO40" s="41"/>
      <c r="QOP40" s="40"/>
      <c r="QOQ40" s="38"/>
      <c r="QOR40" s="42"/>
      <c r="QOS40" s="42"/>
      <c r="QOT40" s="42"/>
      <c r="QOU40" s="38"/>
      <c r="QOV40" s="38"/>
      <c r="QOW40" s="38"/>
      <c r="QOX40" s="39"/>
      <c r="QOY40" s="38"/>
      <c r="QOZ40" s="38"/>
      <c r="QPA40" s="38"/>
      <c r="QPB40" s="40"/>
      <c r="QPC40" s="41"/>
      <c r="QPD40" s="40"/>
      <c r="QPE40" s="38"/>
      <c r="QPF40" s="42"/>
      <c r="QPG40" s="42"/>
      <c r="QPH40" s="42"/>
      <c r="QPI40" s="38"/>
      <c r="QPJ40" s="38"/>
      <c r="QPK40" s="38"/>
      <c r="QPL40" s="39"/>
      <c r="QPM40" s="38"/>
      <c r="QPN40" s="38"/>
      <c r="QPO40" s="38"/>
      <c r="QPP40" s="40"/>
      <c r="QPQ40" s="41"/>
      <c r="QPR40" s="40"/>
      <c r="QPS40" s="38"/>
      <c r="QPT40" s="42"/>
      <c r="QPU40" s="42"/>
      <c r="QPV40" s="42"/>
      <c r="QPW40" s="38"/>
      <c r="QPX40" s="38"/>
      <c r="QPY40" s="38"/>
      <c r="QPZ40" s="39"/>
      <c r="QQA40" s="38"/>
      <c r="QQB40" s="38"/>
      <c r="QQC40" s="38"/>
      <c r="QQD40" s="40"/>
      <c r="QQE40" s="41"/>
      <c r="QQF40" s="40"/>
      <c r="QQG40" s="38"/>
      <c r="QQH40" s="42"/>
      <c r="QQI40" s="42"/>
      <c r="QQJ40" s="42"/>
      <c r="QQK40" s="38"/>
      <c r="QQL40" s="38"/>
      <c r="QQM40" s="38"/>
      <c r="QQN40" s="39"/>
      <c r="QQO40" s="38"/>
      <c r="QQP40" s="38"/>
      <c r="QQQ40" s="38"/>
      <c r="QQR40" s="40"/>
      <c r="QQS40" s="41"/>
      <c r="QQT40" s="40"/>
      <c r="QQU40" s="38"/>
      <c r="QQV40" s="42"/>
      <c r="QQW40" s="42"/>
      <c r="QQX40" s="42"/>
      <c r="QQY40" s="38"/>
      <c r="QQZ40" s="38"/>
      <c r="QRA40" s="38"/>
      <c r="QRB40" s="39"/>
      <c r="QRC40" s="38"/>
      <c r="QRD40" s="38"/>
      <c r="QRE40" s="38"/>
      <c r="QRF40" s="40"/>
      <c r="QRG40" s="41"/>
      <c r="QRH40" s="40"/>
      <c r="QRI40" s="38"/>
      <c r="QRJ40" s="42"/>
      <c r="QRK40" s="42"/>
      <c r="QRL40" s="42"/>
      <c r="QRM40" s="38"/>
      <c r="QRN40" s="38"/>
      <c r="QRO40" s="38"/>
      <c r="QRP40" s="39"/>
      <c r="QRQ40" s="38"/>
      <c r="QRR40" s="38"/>
      <c r="QRS40" s="38"/>
      <c r="QRT40" s="40"/>
      <c r="QRU40" s="41"/>
      <c r="QRV40" s="40"/>
      <c r="QRW40" s="38"/>
      <c r="QRX40" s="42"/>
      <c r="QRY40" s="42"/>
      <c r="QRZ40" s="42"/>
      <c r="QSA40" s="38"/>
      <c r="QSB40" s="38"/>
      <c r="QSC40" s="38"/>
      <c r="QSD40" s="39"/>
      <c r="QSE40" s="38"/>
      <c r="QSF40" s="38"/>
      <c r="QSG40" s="38"/>
      <c r="QSH40" s="40"/>
      <c r="QSI40" s="41"/>
      <c r="QSJ40" s="40"/>
      <c r="QSK40" s="38"/>
      <c r="QSL40" s="42"/>
      <c r="QSM40" s="42"/>
      <c r="QSN40" s="42"/>
      <c r="QSO40" s="38"/>
      <c r="QSP40" s="38"/>
      <c r="QSQ40" s="38"/>
      <c r="QSR40" s="39"/>
      <c r="QSS40" s="38"/>
      <c r="QST40" s="38"/>
      <c r="QSU40" s="38"/>
      <c r="QSV40" s="40"/>
      <c r="QSW40" s="41"/>
      <c r="QSX40" s="40"/>
      <c r="QSY40" s="38"/>
      <c r="QSZ40" s="42"/>
      <c r="QTA40" s="42"/>
      <c r="QTB40" s="42"/>
      <c r="QTC40" s="38"/>
      <c r="QTD40" s="38"/>
      <c r="QTE40" s="38"/>
      <c r="QTF40" s="39"/>
      <c r="QTG40" s="38"/>
      <c r="QTH40" s="38"/>
      <c r="QTI40" s="38"/>
      <c r="QTJ40" s="40"/>
      <c r="QTK40" s="41"/>
      <c r="QTL40" s="40"/>
      <c r="QTM40" s="38"/>
      <c r="QTN40" s="42"/>
      <c r="QTO40" s="42"/>
      <c r="QTP40" s="42"/>
      <c r="QTQ40" s="38"/>
      <c r="QTR40" s="38"/>
      <c r="QTS40" s="38"/>
      <c r="QTT40" s="39"/>
      <c r="QTU40" s="38"/>
      <c r="QTV40" s="38"/>
      <c r="QTW40" s="38"/>
      <c r="QTX40" s="40"/>
      <c r="QTY40" s="41"/>
      <c r="QTZ40" s="40"/>
      <c r="QUA40" s="38"/>
      <c r="QUB40" s="42"/>
      <c r="QUC40" s="42"/>
      <c r="QUD40" s="42"/>
      <c r="QUE40" s="38"/>
      <c r="QUF40" s="38"/>
      <c r="QUG40" s="38"/>
      <c r="QUH40" s="39"/>
      <c r="QUI40" s="38"/>
      <c r="QUJ40" s="38"/>
      <c r="QUK40" s="38"/>
      <c r="QUL40" s="40"/>
      <c r="QUM40" s="41"/>
      <c r="QUN40" s="40"/>
      <c r="QUO40" s="38"/>
      <c r="QUP40" s="42"/>
      <c r="QUQ40" s="42"/>
      <c r="QUR40" s="42"/>
      <c r="QUS40" s="38"/>
      <c r="QUT40" s="38"/>
      <c r="QUU40" s="38"/>
      <c r="QUV40" s="39"/>
      <c r="QUW40" s="38"/>
      <c r="QUX40" s="38"/>
      <c r="QUY40" s="38"/>
      <c r="QUZ40" s="40"/>
      <c r="QVA40" s="41"/>
      <c r="QVB40" s="40"/>
      <c r="QVC40" s="38"/>
      <c r="QVD40" s="42"/>
      <c r="QVE40" s="42"/>
      <c r="QVF40" s="42"/>
      <c r="QVG40" s="38"/>
      <c r="QVH40" s="38"/>
      <c r="QVI40" s="38"/>
      <c r="QVJ40" s="39"/>
      <c r="QVK40" s="38"/>
      <c r="QVL40" s="38"/>
      <c r="QVM40" s="38"/>
      <c r="QVN40" s="40"/>
      <c r="QVO40" s="41"/>
      <c r="QVP40" s="40"/>
      <c r="QVQ40" s="38"/>
      <c r="QVR40" s="42"/>
      <c r="QVS40" s="42"/>
      <c r="QVT40" s="42"/>
      <c r="QVU40" s="38"/>
      <c r="QVV40" s="38"/>
      <c r="QVW40" s="38"/>
      <c r="QVX40" s="39"/>
      <c r="QVY40" s="38"/>
      <c r="QVZ40" s="38"/>
      <c r="QWA40" s="38"/>
      <c r="QWB40" s="40"/>
      <c r="QWC40" s="41"/>
      <c r="QWD40" s="40"/>
      <c r="QWE40" s="38"/>
      <c r="QWF40" s="42"/>
      <c r="QWG40" s="42"/>
      <c r="QWH40" s="42"/>
      <c r="QWI40" s="38"/>
      <c r="QWJ40" s="38"/>
      <c r="QWK40" s="38"/>
      <c r="QWL40" s="39"/>
      <c r="QWM40" s="38"/>
      <c r="QWN40" s="38"/>
      <c r="QWO40" s="38"/>
      <c r="QWP40" s="40"/>
      <c r="QWQ40" s="41"/>
      <c r="QWR40" s="40"/>
      <c r="QWS40" s="38"/>
      <c r="QWT40" s="42"/>
      <c r="QWU40" s="42"/>
      <c r="QWV40" s="42"/>
      <c r="QWW40" s="38"/>
      <c r="QWX40" s="38"/>
      <c r="QWY40" s="38"/>
      <c r="QWZ40" s="39"/>
      <c r="QXA40" s="38"/>
      <c r="QXB40" s="38"/>
      <c r="QXC40" s="38"/>
      <c r="QXD40" s="40"/>
      <c r="QXE40" s="41"/>
      <c r="QXF40" s="40"/>
      <c r="QXG40" s="38"/>
      <c r="QXH40" s="42"/>
      <c r="QXI40" s="42"/>
      <c r="QXJ40" s="42"/>
      <c r="QXK40" s="38"/>
      <c r="QXL40" s="38"/>
      <c r="QXM40" s="38"/>
      <c r="QXN40" s="39"/>
      <c r="QXO40" s="38"/>
      <c r="QXP40" s="38"/>
      <c r="QXQ40" s="38"/>
      <c r="QXR40" s="40"/>
      <c r="QXS40" s="41"/>
      <c r="QXT40" s="40"/>
      <c r="QXU40" s="38"/>
      <c r="QXV40" s="42"/>
      <c r="QXW40" s="42"/>
      <c r="QXX40" s="42"/>
      <c r="QXY40" s="38"/>
      <c r="QXZ40" s="38"/>
      <c r="QYA40" s="38"/>
      <c r="QYB40" s="39"/>
      <c r="QYC40" s="38"/>
      <c r="QYD40" s="38"/>
      <c r="QYE40" s="38"/>
      <c r="QYF40" s="40"/>
      <c r="QYG40" s="41"/>
      <c r="QYH40" s="40"/>
      <c r="QYI40" s="38"/>
      <c r="QYJ40" s="42"/>
      <c r="QYK40" s="42"/>
      <c r="QYL40" s="42"/>
      <c r="QYM40" s="38"/>
      <c r="QYN40" s="38"/>
      <c r="QYO40" s="38"/>
      <c r="QYP40" s="39"/>
      <c r="QYQ40" s="38"/>
      <c r="QYR40" s="38"/>
      <c r="QYS40" s="38"/>
      <c r="QYT40" s="40"/>
      <c r="QYU40" s="41"/>
      <c r="QYV40" s="40"/>
      <c r="QYW40" s="38"/>
      <c r="QYX40" s="42"/>
      <c r="QYY40" s="42"/>
      <c r="QYZ40" s="42"/>
      <c r="QZA40" s="38"/>
      <c r="QZB40" s="38"/>
      <c r="QZC40" s="38"/>
      <c r="QZD40" s="39"/>
      <c r="QZE40" s="38"/>
      <c r="QZF40" s="38"/>
      <c r="QZG40" s="38"/>
      <c r="QZH40" s="40"/>
      <c r="QZI40" s="41"/>
      <c r="QZJ40" s="40"/>
      <c r="QZK40" s="38"/>
      <c r="QZL40" s="42"/>
      <c r="QZM40" s="42"/>
      <c r="QZN40" s="42"/>
      <c r="QZO40" s="38"/>
      <c r="QZP40" s="38"/>
      <c r="QZQ40" s="38"/>
      <c r="QZR40" s="39"/>
      <c r="QZS40" s="38"/>
      <c r="QZT40" s="38"/>
      <c r="QZU40" s="38"/>
      <c r="QZV40" s="40"/>
      <c r="QZW40" s="41"/>
      <c r="QZX40" s="40"/>
      <c r="QZY40" s="38"/>
      <c r="QZZ40" s="42"/>
      <c r="RAA40" s="42"/>
      <c r="RAB40" s="42"/>
      <c r="RAC40" s="38"/>
      <c r="RAD40" s="38"/>
      <c r="RAE40" s="38"/>
      <c r="RAF40" s="39"/>
      <c r="RAG40" s="38"/>
      <c r="RAH40" s="38"/>
      <c r="RAI40" s="38"/>
      <c r="RAJ40" s="40"/>
      <c r="RAK40" s="41"/>
      <c r="RAL40" s="40"/>
      <c r="RAM40" s="38"/>
      <c r="RAN40" s="42"/>
      <c r="RAO40" s="42"/>
      <c r="RAP40" s="42"/>
      <c r="RAQ40" s="38"/>
      <c r="RAR40" s="38"/>
      <c r="RAS40" s="38"/>
      <c r="RAT40" s="39"/>
      <c r="RAU40" s="38"/>
      <c r="RAV40" s="38"/>
      <c r="RAW40" s="38"/>
      <c r="RAX40" s="40"/>
      <c r="RAY40" s="41"/>
      <c r="RAZ40" s="40"/>
      <c r="RBA40" s="38"/>
      <c r="RBB40" s="42"/>
      <c r="RBC40" s="42"/>
      <c r="RBD40" s="42"/>
      <c r="RBE40" s="38"/>
      <c r="RBF40" s="38"/>
      <c r="RBG40" s="38"/>
      <c r="RBH40" s="39"/>
      <c r="RBI40" s="38"/>
      <c r="RBJ40" s="38"/>
      <c r="RBK40" s="38"/>
      <c r="RBL40" s="40"/>
      <c r="RBM40" s="41"/>
      <c r="RBN40" s="40"/>
      <c r="RBO40" s="38"/>
      <c r="RBP40" s="42"/>
      <c r="RBQ40" s="42"/>
      <c r="RBR40" s="42"/>
      <c r="RBS40" s="38"/>
      <c r="RBT40" s="38"/>
      <c r="RBU40" s="38"/>
      <c r="RBV40" s="39"/>
      <c r="RBW40" s="38"/>
      <c r="RBX40" s="38"/>
      <c r="RBY40" s="38"/>
      <c r="RBZ40" s="40"/>
      <c r="RCA40" s="41"/>
      <c r="RCB40" s="40"/>
      <c r="RCC40" s="38"/>
      <c r="RCD40" s="42"/>
      <c r="RCE40" s="42"/>
      <c r="RCF40" s="42"/>
      <c r="RCG40" s="38"/>
      <c r="RCH40" s="38"/>
      <c r="RCI40" s="38"/>
      <c r="RCJ40" s="39"/>
      <c r="RCK40" s="38"/>
      <c r="RCL40" s="38"/>
      <c r="RCM40" s="38"/>
      <c r="RCN40" s="40"/>
      <c r="RCO40" s="41"/>
      <c r="RCP40" s="40"/>
      <c r="RCQ40" s="38"/>
      <c r="RCR40" s="42"/>
      <c r="RCS40" s="42"/>
      <c r="RCT40" s="42"/>
      <c r="RCU40" s="38"/>
      <c r="RCV40" s="38"/>
      <c r="RCW40" s="38"/>
      <c r="RCX40" s="39"/>
      <c r="RCY40" s="38"/>
      <c r="RCZ40" s="38"/>
      <c r="RDA40" s="38"/>
      <c r="RDB40" s="40"/>
      <c r="RDC40" s="41"/>
      <c r="RDD40" s="40"/>
      <c r="RDE40" s="38"/>
      <c r="RDF40" s="42"/>
      <c r="RDG40" s="42"/>
      <c r="RDH40" s="42"/>
      <c r="RDI40" s="38"/>
      <c r="RDJ40" s="38"/>
      <c r="RDK40" s="38"/>
      <c r="RDL40" s="39"/>
      <c r="RDM40" s="38"/>
      <c r="RDN40" s="38"/>
      <c r="RDO40" s="38"/>
      <c r="RDP40" s="40"/>
      <c r="RDQ40" s="41"/>
      <c r="RDR40" s="40"/>
      <c r="RDS40" s="38"/>
      <c r="RDT40" s="42"/>
      <c r="RDU40" s="42"/>
      <c r="RDV40" s="42"/>
      <c r="RDW40" s="38"/>
      <c r="RDX40" s="38"/>
      <c r="RDY40" s="38"/>
      <c r="RDZ40" s="39"/>
      <c r="REA40" s="38"/>
      <c r="REB40" s="38"/>
      <c r="REC40" s="38"/>
      <c r="RED40" s="40"/>
      <c r="REE40" s="41"/>
      <c r="REF40" s="40"/>
      <c r="REG40" s="38"/>
      <c r="REH40" s="42"/>
      <c r="REI40" s="42"/>
      <c r="REJ40" s="42"/>
      <c r="REK40" s="38"/>
      <c r="REL40" s="38"/>
      <c r="REM40" s="38"/>
      <c r="REN40" s="39"/>
      <c r="REO40" s="38"/>
      <c r="REP40" s="38"/>
      <c r="REQ40" s="38"/>
      <c r="RER40" s="40"/>
      <c r="RES40" s="41"/>
      <c r="RET40" s="40"/>
      <c r="REU40" s="38"/>
      <c r="REV40" s="42"/>
      <c r="REW40" s="42"/>
      <c r="REX40" s="42"/>
      <c r="REY40" s="38"/>
      <c r="REZ40" s="38"/>
      <c r="RFA40" s="38"/>
      <c r="RFB40" s="39"/>
      <c r="RFC40" s="38"/>
      <c r="RFD40" s="38"/>
      <c r="RFE40" s="38"/>
      <c r="RFF40" s="40"/>
      <c r="RFG40" s="41"/>
      <c r="RFH40" s="40"/>
      <c r="RFI40" s="38"/>
      <c r="RFJ40" s="42"/>
      <c r="RFK40" s="42"/>
      <c r="RFL40" s="42"/>
      <c r="RFM40" s="38"/>
      <c r="RFN40" s="38"/>
      <c r="RFO40" s="38"/>
      <c r="RFP40" s="39"/>
      <c r="RFQ40" s="38"/>
      <c r="RFR40" s="38"/>
      <c r="RFS40" s="38"/>
      <c r="RFT40" s="40"/>
      <c r="RFU40" s="41"/>
      <c r="RFV40" s="40"/>
      <c r="RFW40" s="38"/>
      <c r="RFX40" s="42"/>
      <c r="RFY40" s="42"/>
      <c r="RFZ40" s="42"/>
      <c r="RGA40" s="38"/>
      <c r="RGB40" s="38"/>
      <c r="RGC40" s="38"/>
      <c r="RGD40" s="39"/>
      <c r="RGE40" s="38"/>
      <c r="RGF40" s="38"/>
      <c r="RGG40" s="38"/>
      <c r="RGH40" s="40"/>
      <c r="RGI40" s="41"/>
      <c r="RGJ40" s="40"/>
      <c r="RGK40" s="38"/>
      <c r="RGL40" s="42"/>
      <c r="RGM40" s="42"/>
      <c r="RGN40" s="42"/>
      <c r="RGO40" s="38"/>
      <c r="RGP40" s="38"/>
      <c r="RGQ40" s="38"/>
      <c r="RGR40" s="39"/>
      <c r="RGS40" s="38"/>
      <c r="RGT40" s="38"/>
      <c r="RGU40" s="38"/>
      <c r="RGV40" s="40"/>
      <c r="RGW40" s="41"/>
      <c r="RGX40" s="40"/>
      <c r="RGY40" s="38"/>
      <c r="RGZ40" s="42"/>
      <c r="RHA40" s="42"/>
      <c r="RHB40" s="42"/>
      <c r="RHC40" s="38"/>
      <c r="RHD40" s="38"/>
      <c r="RHE40" s="38"/>
      <c r="RHF40" s="39"/>
      <c r="RHG40" s="38"/>
      <c r="RHH40" s="38"/>
      <c r="RHI40" s="38"/>
      <c r="RHJ40" s="40"/>
      <c r="RHK40" s="41"/>
      <c r="RHL40" s="40"/>
      <c r="RHM40" s="38"/>
      <c r="RHN40" s="42"/>
      <c r="RHO40" s="42"/>
      <c r="RHP40" s="42"/>
      <c r="RHQ40" s="38"/>
      <c r="RHR40" s="38"/>
      <c r="RHS40" s="38"/>
      <c r="RHT40" s="39"/>
      <c r="RHU40" s="38"/>
      <c r="RHV40" s="38"/>
      <c r="RHW40" s="38"/>
      <c r="RHX40" s="40"/>
      <c r="RHY40" s="41"/>
      <c r="RHZ40" s="40"/>
      <c r="RIA40" s="38"/>
      <c r="RIB40" s="42"/>
      <c r="RIC40" s="42"/>
      <c r="RID40" s="42"/>
      <c r="RIE40" s="38"/>
      <c r="RIF40" s="38"/>
      <c r="RIG40" s="38"/>
      <c r="RIH40" s="39"/>
      <c r="RII40" s="38"/>
      <c r="RIJ40" s="38"/>
      <c r="RIK40" s="38"/>
      <c r="RIL40" s="40"/>
      <c r="RIM40" s="41"/>
      <c r="RIN40" s="40"/>
      <c r="RIO40" s="38"/>
      <c r="RIP40" s="42"/>
      <c r="RIQ40" s="42"/>
      <c r="RIR40" s="42"/>
      <c r="RIS40" s="38"/>
      <c r="RIT40" s="38"/>
      <c r="RIU40" s="38"/>
      <c r="RIV40" s="39"/>
      <c r="RIW40" s="38"/>
      <c r="RIX40" s="38"/>
      <c r="RIY40" s="38"/>
      <c r="RIZ40" s="40"/>
      <c r="RJA40" s="41"/>
      <c r="RJB40" s="40"/>
      <c r="RJC40" s="38"/>
      <c r="RJD40" s="42"/>
      <c r="RJE40" s="42"/>
      <c r="RJF40" s="42"/>
      <c r="RJG40" s="38"/>
      <c r="RJH40" s="38"/>
      <c r="RJI40" s="38"/>
      <c r="RJJ40" s="39"/>
      <c r="RJK40" s="38"/>
      <c r="RJL40" s="38"/>
      <c r="RJM40" s="38"/>
      <c r="RJN40" s="40"/>
      <c r="RJO40" s="41"/>
      <c r="RJP40" s="40"/>
      <c r="RJQ40" s="38"/>
      <c r="RJR40" s="42"/>
      <c r="RJS40" s="42"/>
      <c r="RJT40" s="42"/>
      <c r="RJU40" s="38"/>
      <c r="RJV40" s="38"/>
      <c r="RJW40" s="38"/>
      <c r="RJX40" s="39"/>
      <c r="RJY40" s="38"/>
      <c r="RJZ40" s="38"/>
      <c r="RKA40" s="38"/>
      <c r="RKB40" s="40"/>
      <c r="RKC40" s="41"/>
      <c r="RKD40" s="40"/>
      <c r="RKE40" s="38"/>
      <c r="RKF40" s="42"/>
      <c r="RKG40" s="42"/>
      <c r="RKH40" s="42"/>
      <c r="RKI40" s="38"/>
      <c r="RKJ40" s="38"/>
      <c r="RKK40" s="38"/>
      <c r="RKL40" s="39"/>
      <c r="RKM40" s="38"/>
      <c r="RKN40" s="38"/>
      <c r="RKO40" s="38"/>
      <c r="RKP40" s="40"/>
      <c r="RKQ40" s="41"/>
      <c r="RKR40" s="40"/>
      <c r="RKS40" s="38"/>
      <c r="RKT40" s="42"/>
      <c r="RKU40" s="42"/>
      <c r="RKV40" s="42"/>
      <c r="RKW40" s="38"/>
      <c r="RKX40" s="38"/>
      <c r="RKY40" s="38"/>
      <c r="RKZ40" s="39"/>
      <c r="RLA40" s="38"/>
      <c r="RLB40" s="38"/>
      <c r="RLC40" s="38"/>
      <c r="RLD40" s="40"/>
      <c r="RLE40" s="41"/>
      <c r="RLF40" s="40"/>
      <c r="RLG40" s="38"/>
      <c r="RLH40" s="42"/>
      <c r="RLI40" s="42"/>
      <c r="RLJ40" s="42"/>
      <c r="RLK40" s="38"/>
      <c r="RLL40" s="38"/>
      <c r="RLM40" s="38"/>
      <c r="RLN40" s="39"/>
      <c r="RLO40" s="38"/>
      <c r="RLP40" s="38"/>
      <c r="RLQ40" s="38"/>
      <c r="RLR40" s="40"/>
      <c r="RLS40" s="41"/>
      <c r="RLT40" s="40"/>
      <c r="RLU40" s="38"/>
      <c r="RLV40" s="42"/>
      <c r="RLW40" s="42"/>
      <c r="RLX40" s="42"/>
      <c r="RLY40" s="38"/>
      <c r="RLZ40" s="38"/>
      <c r="RMA40" s="38"/>
      <c r="RMB40" s="39"/>
      <c r="RMC40" s="38"/>
      <c r="RMD40" s="38"/>
      <c r="RME40" s="38"/>
      <c r="RMF40" s="40"/>
      <c r="RMG40" s="41"/>
      <c r="RMH40" s="40"/>
      <c r="RMI40" s="38"/>
      <c r="RMJ40" s="42"/>
      <c r="RMK40" s="42"/>
      <c r="RML40" s="42"/>
      <c r="RMM40" s="38"/>
      <c r="RMN40" s="38"/>
      <c r="RMO40" s="38"/>
      <c r="RMP40" s="39"/>
      <c r="RMQ40" s="38"/>
      <c r="RMR40" s="38"/>
      <c r="RMS40" s="38"/>
      <c r="RMT40" s="40"/>
      <c r="RMU40" s="41"/>
      <c r="RMV40" s="40"/>
      <c r="RMW40" s="38"/>
      <c r="RMX40" s="42"/>
      <c r="RMY40" s="42"/>
      <c r="RMZ40" s="42"/>
      <c r="RNA40" s="38"/>
      <c r="RNB40" s="38"/>
      <c r="RNC40" s="38"/>
      <c r="RND40" s="39"/>
      <c r="RNE40" s="38"/>
      <c r="RNF40" s="38"/>
      <c r="RNG40" s="38"/>
      <c r="RNH40" s="40"/>
      <c r="RNI40" s="41"/>
      <c r="RNJ40" s="40"/>
      <c r="RNK40" s="38"/>
      <c r="RNL40" s="42"/>
      <c r="RNM40" s="42"/>
      <c r="RNN40" s="42"/>
      <c r="RNO40" s="38"/>
      <c r="RNP40" s="38"/>
      <c r="RNQ40" s="38"/>
      <c r="RNR40" s="39"/>
      <c r="RNS40" s="38"/>
      <c r="RNT40" s="38"/>
      <c r="RNU40" s="38"/>
      <c r="RNV40" s="40"/>
      <c r="RNW40" s="41"/>
      <c r="RNX40" s="40"/>
      <c r="RNY40" s="38"/>
      <c r="RNZ40" s="42"/>
      <c r="ROA40" s="42"/>
      <c r="ROB40" s="42"/>
      <c r="ROC40" s="38"/>
      <c r="ROD40" s="38"/>
      <c r="ROE40" s="38"/>
      <c r="ROF40" s="39"/>
      <c r="ROG40" s="38"/>
      <c r="ROH40" s="38"/>
      <c r="ROI40" s="38"/>
      <c r="ROJ40" s="40"/>
      <c r="ROK40" s="41"/>
      <c r="ROL40" s="40"/>
      <c r="ROM40" s="38"/>
      <c r="RON40" s="42"/>
      <c r="ROO40" s="42"/>
      <c r="ROP40" s="42"/>
      <c r="ROQ40" s="38"/>
      <c r="ROR40" s="38"/>
      <c r="ROS40" s="38"/>
      <c r="ROT40" s="39"/>
      <c r="ROU40" s="38"/>
      <c r="ROV40" s="38"/>
      <c r="ROW40" s="38"/>
      <c r="ROX40" s="40"/>
      <c r="ROY40" s="41"/>
      <c r="ROZ40" s="40"/>
      <c r="RPA40" s="38"/>
      <c r="RPB40" s="42"/>
      <c r="RPC40" s="42"/>
      <c r="RPD40" s="42"/>
      <c r="RPE40" s="38"/>
      <c r="RPF40" s="38"/>
      <c r="RPG40" s="38"/>
      <c r="RPH40" s="39"/>
      <c r="RPI40" s="38"/>
      <c r="RPJ40" s="38"/>
      <c r="RPK40" s="38"/>
      <c r="RPL40" s="40"/>
      <c r="RPM40" s="41"/>
      <c r="RPN40" s="40"/>
      <c r="RPO40" s="38"/>
      <c r="RPP40" s="42"/>
      <c r="RPQ40" s="42"/>
      <c r="RPR40" s="42"/>
      <c r="RPS40" s="38"/>
      <c r="RPT40" s="38"/>
      <c r="RPU40" s="38"/>
      <c r="RPV40" s="39"/>
      <c r="RPW40" s="38"/>
      <c r="RPX40" s="38"/>
      <c r="RPY40" s="38"/>
      <c r="RPZ40" s="40"/>
      <c r="RQA40" s="41"/>
      <c r="RQB40" s="40"/>
      <c r="RQC40" s="38"/>
      <c r="RQD40" s="42"/>
      <c r="RQE40" s="42"/>
      <c r="RQF40" s="42"/>
      <c r="RQG40" s="38"/>
      <c r="RQH40" s="38"/>
      <c r="RQI40" s="38"/>
      <c r="RQJ40" s="39"/>
      <c r="RQK40" s="38"/>
      <c r="RQL40" s="38"/>
      <c r="RQM40" s="38"/>
      <c r="RQN40" s="40"/>
      <c r="RQO40" s="41"/>
      <c r="RQP40" s="40"/>
      <c r="RQQ40" s="38"/>
      <c r="RQR40" s="42"/>
      <c r="RQS40" s="42"/>
      <c r="RQT40" s="42"/>
      <c r="RQU40" s="38"/>
      <c r="RQV40" s="38"/>
      <c r="RQW40" s="38"/>
      <c r="RQX40" s="39"/>
      <c r="RQY40" s="38"/>
      <c r="RQZ40" s="38"/>
      <c r="RRA40" s="38"/>
      <c r="RRB40" s="40"/>
      <c r="RRC40" s="41"/>
      <c r="RRD40" s="40"/>
      <c r="RRE40" s="38"/>
      <c r="RRF40" s="42"/>
      <c r="RRG40" s="42"/>
      <c r="RRH40" s="42"/>
      <c r="RRI40" s="38"/>
      <c r="RRJ40" s="38"/>
      <c r="RRK40" s="38"/>
      <c r="RRL40" s="39"/>
      <c r="RRM40" s="38"/>
      <c r="RRN40" s="38"/>
      <c r="RRO40" s="38"/>
      <c r="RRP40" s="40"/>
      <c r="RRQ40" s="41"/>
      <c r="RRR40" s="40"/>
      <c r="RRS40" s="38"/>
      <c r="RRT40" s="42"/>
      <c r="RRU40" s="42"/>
      <c r="RRV40" s="42"/>
      <c r="RRW40" s="38"/>
      <c r="RRX40" s="38"/>
      <c r="RRY40" s="38"/>
      <c r="RRZ40" s="39"/>
      <c r="RSA40" s="38"/>
      <c r="RSB40" s="38"/>
      <c r="RSC40" s="38"/>
      <c r="RSD40" s="40"/>
      <c r="RSE40" s="41"/>
      <c r="RSF40" s="40"/>
      <c r="RSG40" s="38"/>
      <c r="RSH40" s="42"/>
      <c r="RSI40" s="42"/>
      <c r="RSJ40" s="42"/>
      <c r="RSK40" s="38"/>
      <c r="RSL40" s="38"/>
      <c r="RSM40" s="38"/>
      <c r="RSN40" s="39"/>
      <c r="RSO40" s="38"/>
      <c r="RSP40" s="38"/>
      <c r="RSQ40" s="38"/>
      <c r="RSR40" s="40"/>
      <c r="RSS40" s="41"/>
      <c r="RST40" s="40"/>
      <c r="RSU40" s="38"/>
      <c r="RSV40" s="42"/>
      <c r="RSW40" s="42"/>
      <c r="RSX40" s="42"/>
      <c r="RSY40" s="38"/>
      <c r="RSZ40" s="38"/>
      <c r="RTA40" s="38"/>
      <c r="RTB40" s="39"/>
      <c r="RTC40" s="38"/>
      <c r="RTD40" s="38"/>
      <c r="RTE40" s="38"/>
      <c r="RTF40" s="40"/>
      <c r="RTG40" s="41"/>
      <c r="RTH40" s="40"/>
      <c r="RTI40" s="38"/>
      <c r="RTJ40" s="42"/>
      <c r="RTK40" s="42"/>
      <c r="RTL40" s="42"/>
      <c r="RTM40" s="38"/>
      <c r="RTN40" s="38"/>
      <c r="RTO40" s="38"/>
      <c r="RTP40" s="39"/>
      <c r="RTQ40" s="38"/>
      <c r="RTR40" s="38"/>
      <c r="RTS40" s="38"/>
      <c r="RTT40" s="40"/>
      <c r="RTU40" s="41"/>
      <c r="RTV40" s="40"/>
      <c r="RTW40" s="38"/>
      <c r="RTX40" s="42"/>
      <c r="RTY40" s="42"/>
      <c r="RTZ40" s="42"/>
      <c r="RUA40" s="38"/>
      <c r="RUB40" s="38"/>
      <c r="RUC40" s="38"/>
      <c r="RUD40" s="39"/>
      <c r="RUE40" s="38"/>
      <c r="RUF40" s="38"/>
      <c r="RUG40" s="38"/>
      <c r="RUH40" s="40"/>
      <c r="RUI40" s="41"/>
      <c r="RUJ40" s="40"/>
      <c r="RUK40" s="38"/>
      <c r="RUL40" s="42"/>
      <c r="RUM40" s="42"/>
      <c r="RUN40" s="42"/>
      <c r="RUO40" s="38"/>
      <c r="RUP40" s="38"/>
      <c r="RUQ40" s="38"/>
      <c r="RUR40" s="39"/>
      <c r="RUS40" s="38"/>
      <c r="RUT40" s="38"/>
      <c r="RUU40" s="38"/>
      <c r="RUV40" s="40"/>
      <c r="RUW40" s="41"/>
      <c r="RUX40" s="40"/>
      <c r="RUY40" s="38"/>
      <c r="RUZ40" s="42"/>
      <c r="RVA40" s="42"/>
      <c r="RVB40" s="42"/>
      <c r="RVC40" s="38"/>
      <c r="RVD40" s="38"/>
      <c r="RVE40" s="38"/>
      <c r="RVF40" s="39"/>
      <c r="RVG40" s="38"/>
      <c r="RVH40" s="38"/>
      <c r="RVI40" s="38"/>
      <c r="RVJ40" s="40"/>
      <c r="RVK40" s="41"/>
      <c r="RVL40" s="40"/>
      <c r="RVM40" s="38"/>
      <c r="RVN40" s="42"/>
      <c r="RVO40" s="42"/>
      <c r="RVP40" s="42"/>
      <c r="RVQ40" s="38"/>
      <c r="RVR40" s="38"/>
      <c r="RVS40" s="38"/>
      <c r="RVT40" s="39"/>
      <c r="RVU40" s="38"/>
      <c r="RVV40" s="38"/>
      <c r="RVW40" s="38"/>
      <c r="RVX40" s="40"/>
      <c r="RVY40" s="41"/>
      <c r="RVZ40" s="40"/>
      <c r="RWA40" s="38"/>
      <c r="RWB40" s="42"/>
      <c r="RWC40" s="42"/>
      <c r="RWD40" s="42"/>
      <c r="RWE40" s="38"/>
      <c r="RWF40" s="38"/>
      <c r="RWG40" s="38"/>
      <c r="RWH40" s="39"/>
      <c r="RWI40" s="38"/>
      <c r="RWJ40" s="38"/>
      <c r="RWK40" s="38"/>
      <c r="RWL40" s="40"/>
      <c r="RWM40" s="41"/>
      <c r="RWN40" s="40"/>
      <c r="RWO40" s="38"/>
      <c r="RWP40" s="42"/>
      <c r="RWQ40" s="42"/>
      <c r="RWR40" s="42"/>
      <c r="RWS40" s="38"/>
      <c r="RWT40" s="38"/>
      <c r="RWU40" s="38"/>
      <c r="RWV40" s="39"/>
      <c r="RWW40" s="38"/>
      <c r="RWX40" s="38"/>
      <c r="RWY40" s="38"/>
      <c r="RWZ40" s="40"/>
      <c r="RXA40" s="41"/>
      <c r="RXB40" s="40"/>
      <c r="RXC40" s="38"/>
      <c r="RXD40" s="42"/>
      <c r="RXE40" s="42"/>
      <c r="RXF40" s="42"/>
      <c r="RXG40" s="38"/>
      <c r="RXH40" s="38"/>
      <c r="RXI40" s="38"/>
      <c r="RXJ40" s="39"/>
      <c r="RXK40" s="38"/>
      <c r="RXL40" s="38"/>
      <c r="RXM40" s="38"/>
      <c r="RXN40" s="40"/>
      <c r="RXO40" s="41"/>
      <c r="RXP40" s="40"/>
      <c r="RXQ40" s="38"/>
      <c r="RXR40" s="42"/>
      <c r="RXS40" s="42"/>
      <c r="RXT40" s="42"/>
      <c r="RXU40" s="38"/>
      <c r="RXV40" s="38"/>
      <c r="RXW40" s="38"/>
      <c r="RXX40" s="39"/>
      <c r="RXY40" s="38"/>
      <c r="RXZ40" s="38"/>
      <c r="RYA40" s="38"/>
      <c r="RYB40" s="40"/>
      <c r="RYC40" s="41"/>
      <c r="RYD40" s="40"/>
      <c r="RYE40" s="38"/>
      <c r="RYF40" s="42"/>
      <c r="RYG40" s="42"/>
      <c r="RYH40" s="42"/>
      <c r="RYI40" s="38"/>
      <c r="RYJ40" s="38"/>
      <c r="RYK40" s="38"/>
      <c r="RYL40" s="39"/>
      <c r="RYM40" s="38"/>
      <c r="RYN40" s="38"/>
      <c r="RYO40" s="38"/>
      <c r="RYP40" s="40"/>
      <c r="RYQ40" s="41"/>
      <c r="RYR40" s="40"/>
      <c r="RYS40" s="38"/>
      <c r="RYT40" s="42"/>
      <c r="RYU40" s="42"/>
      <c r="RYV40" s="42"/>
      <c r="RYW40" s="38"/>
      <c r="RYX40" s="38"/>
      <c r="RYY40" s="38"/>
      <c r="RYZ40" s="39"/>
      <c r="RZA40" s="38"/>
      <c r="RZB40" s="38"/>
      <c r="RZC40" s="38"/>
      <c r="RZD40" s="40"/>
      <c r="RZE40" s="41"/>
      <c r="RZF40" s="40"/>
      <c r="RZG40" s="38"/>
      <c r="RZH40" s="42"/>
      <c r="RZI40" s="42"/>
      <c r="RZJ40" s="42"/>
      <c r="RZK40" s="38"/>
      <c r="RZL40" s="38"/>
      <c r="RZM40" s="38"/>
      <c r="RZN40" s="39"/>
      <c r="RZO40" s="38"/>
      <c r="RZP40" s="38"/>
      <c r="RZQ40" s="38"/>
      <c r="RZR40" s="40"/>
      <c r="RZS40" s="41"/>
      <c r="RZT40" s="40"/>
      <c r="RZU40" s="38"/>
      <c r="RZV40" s="42"/>
      <c r="RZW40" s="42"/>
      <c r="RZX40" s="42"/>
      <c r="RZY40" s="38"/>
      <c r="RZZ40" s="38"/>
      <c r="SAA40" s="38"/>
      <c r="SAB40" s="39"/>
      <c r="SAC40" s="38"/>
      <c r="SAD40" s="38"/>
      <c r="SAE40" s="38"/>
      <c r="SAF40" s="40"/>
      <c r="SAG40" s="41"/>
      <c r="SAH40" s="40"/>
      <c r="SAI40" s="38"/>
      <c r="SAJ40" s="42"/>
      <c r="SAK40" s="42"/>
      <c r="SAL40" s="42"/>
      <c r="SAM40" s="38"/>
      <c r="SAN40" s="38"/>
      <c r="SAO40" s="38"/>
      <c r="SAP40" s="39"/>
      <c r="SAQ40" s="38"/>
      <c r="SAR40" s="38"/>
      <c r="SAS40" s="38"/>
      <c r="SAT40" s="40"/>
      <c r="SAU40" s="41"/>
      <c r="SAV40" s="40"/>
      <c r="SAW40" s="38"/>
      <c r="SAX40" s="42"/>
      <c r="SAY40" s="42"/>
      <c r="SAZ40" s="42"/>
      <c r="SBA40" s="38"/>
      <c r="SBB40" s="38"/>
      <c r="SBC40" s="38"/>
      <c r="SBD40" s="39"/>
      <c r="SBE40" s="38"/>
      <c r="SBF40" s="38"/>
      <c r="SBG40" s="38"/>
      <c r="SBH40" s="40"/>
      <c r="SBI40" s="41"/>
      <c r="SBJ40" s="40"/>
      <c r="SBK40" s="38"/>
      <c r="SBL40" s="42"/>
      <c r="SBM40" s="42"/>
      <c r="SBN40" s="42"/>
      <c r="SBO40" s="38"/>
      <c r="SBP40" s="38"/>
      <c r="SBQ40" s="38"/>
      <c r="SBR40" s="39"/>
      <c r="SBS40" s="38"/>
      <c r="SBT40" s="38"/>
      <c r="SBU40" s="38"/>
      <c r="SBV40" s="40"/>
      <c r="SBW40" s="41"/>
      <c r="SBX40" s="40"/>
      <c r="SBY40" s="38"/>
      <c r="SBZ40" s="42"/>
      <c r="SCA40" s="42"/>
      <c r="SCB40" s="42"/>
      <c r="SCC40" s="38"/>
      <c r="SCD40" s="38"/>
      <c r="SCE40" s="38"/>
      <c r="SCF40" s="39"/>
      <c r="SCG40" s="38"/>
      <c r="SCH40" s="38"/>
      <c r="SCI40" s="38"/>
      <c r="SCJ40" s="40"/>
      <c r="SCK40" s="41"/>
      <c r="SCL40" s="40"/>
      <c r="SCM40" s="38"/>
      <c r="SCN40" s="42"/>
      <c r="SCO40" s="42"/>
      <c r="SCP40" s="42"/>
      <c r="SCQ40" s="38"/>
      <c r="SCR40" s="38"/>
      <c r="SCS40" s="38"/>
      <c r="SCT40" s="39"/>
      <c r="SCU40" s="38"/>
      <c r="SCV40" s="38"/>
      <c r="SCW40" s="38"/>
      <c r="SCX40" s="40"/>
      <c r="SCY40" s="41"/>
      <c r="SCZ40" s="40"/>
      <c r="SDA40" s="38"/>
      <c r="SDB40" s="42"/>
      <c r="SDC40" s="42"/>
      <c r="SDD40" s="42"/>
      <c r="SDE40" s="38"/>
      <c r="SDF40" s="38"/>
      <c r="SDG40" s="38"/>
      <c r="SDH40" s="39"/>
      <c r="SDI40" s="38"/>
      <c r="SDJ40" s="38"/>
      <c r="SDK40" s="38"/>
      <c r="SDL40" s="40"/>
      <c r="SDM40" s="41"/>
      <c r="SDN40" s="40"/>
      <c r="SDO40" s="38"/>
      <c r="SDP40" s="42"/>
      <c r="SDQ40" s="42"/>
      <c r="SDR40" s="42"/>
      <c r="SDS40" s="38"/>
      <c r="SDT40" s="38"/>
      <c r="SDU40" s="38"/>
      <c r="SDV40" s="39"/>
      <c r="SDW40" s="38"/>
      <c r="SDX40" s="38"/>
      <c r="SDY40" s="38"/>
      <c r="SDZ40" s="40"/>
      <c r="SEA40" s="41"/>
      <c r="SEB40" s="40"/>
      <c r="SEC40" s="38"/>
      <c r="SED40" s="42"/>
      <c r="SEE40" s="42"/>
      <c r="SEF40" s="42"/>
      <c r="SEG40" s="38"/>
      <c r="SEH40" s="38"/>
      <c r="SEI40" s="38"/>
      <c r="SEJ40" s="39"/>
      <c r="SEK40" s="38"/>
      <c r="SEL40" s="38"/>
      <c r="SEM40" s="38"/>
      <c r="SEN40" s="40"/>
      <c r="SEO40" s="41"/>
      <c r="SEP40" s="40"/>
      <c r="SEQ40" s="38"/>
      <c r="SER40" s="42"/>
      <c r="SES40" s="42"/>
      <c r="SET40" s="42"/>
      <c r="SEU40" s="38"/>
      <c r="SEV40" s="38"/>
      <c r="SEW40" s="38"/>
      <c r="SEX40" s="39"/>
      <c r="SEY40" s="38"/>
      <c r="SEZ40" s="38"/>
      <c r="SFA40" s="38"/>
      <c r="SFB40" s="40"/>
      <c r="SFC40" s="41"/>
      <c r="SFD40" s="40"/>
      <c r="SFE40" s="38"/>
      <c r="SFF40" s="42"/>
      <c r="SFG40" s="42"/>
      <c r="SFH40" s="42"/>
      <c r="SFI40" s="38"/>
      <c r="SFJ40" s="38"/>
      <c r="SFK40" s="38"/>
      <c r="SFL40" s="39"/>
      <c r="SFM40" s="38"/>
      <c r="SFN40" s="38"/>
      <c r="SFO40" s="38"/>
      <c r="SFP40" s="40"/>
      <c r="SFQ40" s="41"/>
      <c r="SFR40" s="40"/>
      <c r="SFS40" s="38"/>
      <c r="SFT40" s="42"/>
      <c r="SFU40" s="42"/>
      <c r="SFV40" s="42"/>
      <c r="SFW40" s="38"/>
      <c r="SFX40" s="38"/>
      <c r="SFY40" s="38"/>
      <c r="SFZ40" s="39"/>
      <c r="SGA40" s="38"/>
      <c r="SGB40" s="38"/>
      <c r="SGC40" s="38"/>
      <c r="SGD40" s="40"/>
      <c r="SGE40" s="41"/>
      <c r="SGF40" s="40"/>
      <c r="SGG40" s="38"/>
      <c r="SGH40" s="42"/>
      <c r="SGI40" s="42"/>
      <c r="SGJ40" s="42"/>
      <c r="SGK40" s="38"/>
      <c r="SGL40" s="38"/>
      <c r="SGM40" s="38"/>
      <c r="SGN40" s="39"/>
      <c r="SGO40" s="38"/>
      <c r="SGP40" s="38"/>
      <c r="SGQ40" s="38"/>
      <c r="SGR40" s="40"/>
      <c r="SGS40" s="41"/>
      <c r="SGT40" s="40"/>
      <c r="SGU40" s="38"/>
      <c r="SGV40" s="42"/>
      <c r="SGW40" s="42"/>
      <c r="SGX40" s="42"/>
      <c r="SGY40" s="38"/>
      <c r="SGZ40" s="38"/>
      <c r="SHA40" s="38"/>
      <c r="SHB40" s="39"/>
      <c r="SHC40" s="38"/>
      <c r="SHD40" s="38"/>
      <c r="SHE40" s="38"/>
      <c r="SHF40" s="40"/>
      <c r="SHG40" s="41"/>
      <c r="SHH40" s="40"/>
      <c r="SHI40" s="38"/>
      <c r="SHJ40" s="42"/>
      <c r="SHK40" s="42"/>
      <c r="SHL40" s="42"/>
      <c r="SHM40" s="38"/>
      <c r="SHN40" s="38"/>
      <c r="SHO40" s="38"/>
      <c r="SHP40" s="39"/>
      <c r="SHQ40" s="38"/>
      <c r="SHR40" s="38"/>
      <c r="SHS40" s="38"/>
      <c r="SHT40" s="40"/>
      <c r="SHU40" s="41"/>
      <c r="SHV40" s="40"/>
      <c r="SHW40" s="38"/>
      <c r="SHX40" s="42"/>
      <c r="SHY40" s="42"/>
      <c r="SHZ40" s="42"/>
      <c r="SIA40" s="38"/>
      <c r="SIB40" s="38"/>
      <c r="SIC40" s="38"/>
      <c r="SID40" s="39"/>
      <c r="SIE40" s="38"/>
      <c r="SIF40" s="38"/>
      <c r="SIG40" s="38"/>
      <c r="SIH40" s="40"/>
      <c r="SII40" s="41"/>
      <c r="SIJ40" s="40"/>
      <c r="SIK40" s="38"/>
      <c r="SIL40" s="42"/>
      <c r="SIM40" s="42"/>
      <c r="SIN40" s="42"/>
      <c r="SIO40" s="38"/>
      <c r="SIP40" s="38"/>
      <c r="SIQ40" s="38"/>
      <c r="SIR40" s="39"/>
      <c r="SIS40" s="38"/>
      <c r="SIT40" s="38"/>
      <c r="SIU40" s="38"/>
      <c r="SIV40" s="40"/>
      <c r="SIW40" s="41"/>
      <c r="SIX40" s="40"/>
      <c r="SIY40" s="38"/>
      <c r="SIZ40" s="42"/>
      <c r="SJA40" s="42"/>
      <c r="SJB40" s="42"/>
      <c r="SJC40" s="38"/>
      <c r="SJD40" s="38"/>
      <c r="SJE40" s="38"/>
      <c r="SJF40" s="39"/>
      <c r="SJG40" s="38"/>
      <c r="SJH40" s="38"/>
      <c r="SJI40" s="38"/>
      <c r="SJJ40" s="40"/>
      <c r="SJK40" s="41"/>
      <c r="SJL40" s="40"/>
      <c r="SJM40" s="38"/>
      <c r="SJN40" s="42"/>
      <c r="SJO40" s="42"/>
      <c r="SJP40" s="42"/>
      <c r="SJQ40" s="38"/>
      <c r="SJR40" s="38"/>
      <c r="SJS40" s="38"/>
      <c r="SJT40" s="39"/>
      <c r="SJU40" s="38"/>
      <c r="SJV40" s="38"/>
      <c r="SJW40" s="38"/>
      <c r="SJX40" s="40"/>
      <c r="SJY40" s="41"/>
      <c r="SJZ40" s="40"/>
      <c r="SKA40" s="38"/>
      <c r="SKB40" s="42"/>
      <c r="SKC40" s="42"/>
      <c r="SKD40" s="42"/>
      <c r="SKE40" s="38"/>
      <c r="SKF40" s="38"/>
      <c r="SKG40" s="38"/>
      <c r="SKH40" s="39"/>
      <c r="SKI40" s="38"/>
      <c r="SKJ40" s="38"/>
      <c r="SKK40" s="38"/>
      <c r="SKL40" s="40"/>
      <c r="SKM40" s="41"/>
      <c r="SKN40" s="40"/>
      <c r="SKO40" s="38"/>
      <c r="SKP40" s="42"/>
      <c r="SKQ40" s="42"/>
      <c r="SKR40" s="42"/>
      <c r="SKS40" s="38"/>
      <c r="SKT40" s="38"/>
      <c r="SKU40" s="38"/>
      <c r="SKV40" s="39"/>
      <c r="SKW40" s="38"/>
      <c r="SKX40" s="38"/>
      <c r="SKY40" s="38"/>
      <c r="SKZ40" s="40"/>
      <c r="SLA40" s="41"/>
      <c r="SLB40" s="40"/>
      <c r="SLC40" s="38"/>
      <c r="SLD40" s="42"/>
      <c r="SLE40" s="42"/>
      <c r="SLF40" s="42"/>
      <c r="SLG40" s="38"/>
      <c r="SLH40" s="38"/>
      <c r="SLI40" s="38"/>
      <c r="SLJ40" s="39"/>
      <c r="SLK40" s="38"/>
      <c r="SLL40" s="38"/>
      <c r="SLM40" s="38"/>
      <c r="SLN40" s="40"/>
      <c r="SLO40" s="41"/>
      <c r="SLP40" s="40"/>
      <c r="SLQ40" s="38"/>
      <c r="SLR40" s="42"/>
      <c r="SLS40" s="42"/>
      <c r="SLT40" s="42"/>
      <c r="SLU40" s="38"/>
      <c r="SLV40" s="38"/>
      <c r="SLW40" s="38"/>
      <c r="SLX40" s="39"/>
      <c r="SLY40" s="38"/>
      <c r="SLZ40" s="38"/>
      <c r="SMA40" s="38"/>
      <c r="SMB40" s="40"/>
      <c r="SMC40" s="41"/>
      <c r="SMD40" s="40"/>
      <c r="SME40" s="38"/>
      <c r="SMF40" s="42"/>
      <c r="SMG40" s="42"/>
      <c r="SMH40" s="42"/>
      <c r="SMI40" s="38"/>
      <c r="SMJ40" s="38"/>
      <c r="SMK40" s="38"/>
      <c r="SML40" s="39"/>
      <c r="SMM40" s="38"/>
      <c r="SMN40" s="38"/>
      <c r="SMO40" s="38"/>
      <c r="SMP40" s="40"/>
      <c r="SMQ40" s="41"/>
      <c r="SMR40" s="40"/>
      <c r="SMS40" s="38"/>
      <c r="SMT40" s="42"/>
      <c r="SMU40" s="42"/>
      <c r="SMV40" s="42"/>
      <c r="SMW40" s="38"/>
      <c r="SMX40" s="38"/>
      <c r="SMY40" s="38"/>
      <c r="SMZ40" s="39"/>
      <c r="SNA40" s="38"/>
      <c r="SNB40" s="38"/>
      <c r="SNC40" s="38"/>
      <c r="SND40" s="40"/>
      <c r="SNE40" s="41"/>
      <c r="SNF40" s="40"/>
      <c r="SNG40" s="38"/>
      <c r="SNH40" s="42"/>
      <c r="SNI40" s="42"/>
      <c r="SNJ40" s="42"/>
      <c r="SNK40" s="38"/>
      <c r="SNL40" s="38"/>
      <c r="SNM40" s="38"/>
      <c r="SNN40" s="39"/>
      <c r="SNO40" s="38"/>
      <c r="SNP40" s="38"/>
      <c r="SNQ40" s="38"/>
      <c r="SNR40" s="40"/>
      <c r="SNS40" s="41"/>
      <c r="SNT40" s="40"/>
      <c r="SNU40" s="38"/>
      <c r="SNV40" s="42"/>
      <c r="SNW40" s="42"/>
      <c r="SNX40" s="42"/>
      <c r="SNY40" s="38"/>
      <c r="SNZ40" s="38"/>
      <c r="SOA40" s="38"/>
      <c r="SOB40" s="39"/>
      <c r="SOC40" s="38"/>
      <c r="SOD40" s="38"/>
      <c r="SOE40" s="38"/>
      <c r="SOF40" s="40"/>
      <c r="SOG40" s="41"/>
      <c r="SOH40" s="40"/>
      <c r="SOI40" s="38"/>
      <c r="SOJ40" s="42"/>
      <c r="SOK40" s="42"/>
      <c r="SOL40" s="42"/>
      <c r="SOM40" s="38"/>
      <c r="SON40" s="38"/>
      <c r="SOO40" s="38"/>
      <c r="SOP40" s="39"/>
      <c r="SOQ40" s="38"/>
      <c r="SOR40" s="38"/>
      <c r="SOS40" s="38"/>
      <c r="SOT40" s="40"/>
      <c r="SOU40" s="41"/>
      <c r="SOV40" s="40"/>
      <c r="SOW40" s="38"/>
      <c r="SOX40" s="42"/>
      <c r="SOY40" s="42"/>
      <c r="SOZ40" s="42"/>
      <c r="SPA40" s="38"/>
      <c r="SPB40" s="38"/>
      <c r="SPC40" s="38"/>
      <c r="SPD40" s="39"/>
      <c r="SPE40" s="38"/>
      <c r="SPF40" s="38"/>
      <c r="SPG40" s="38"/>
      <c r="SPH40" s="40"/>
      <c r="SPI40" s="41"/>
      <c r="SPJ40" s="40"/>
      <c r="SPK40" s="38"/>
      <c r="SPL40" s="42"/>
      <c r="SPM40" s="42"/>
      <c r="SPN40" s="42"/>
      <c r="SPO40" s="38"/>
      <c r="SPP40" s="38"/>
      <c r="SPQ40" s="38"/>
      <c r="SPR40" s="39"/>
      <c r="SPS40" s="38"/>
      <c r="SPT40" s="38"/>
      <c r="SPU40" s="38"/>
      <c r="SPV40" s="40"/>
      <c r="SPW40" s="41"/>
      <c r="SPX40" s="40"/>
      <c r="SPY40" s="38"/>
      <c r="SPZ40" s="42"/>
      <c r="SQA40" s="42"/>
      <c r="SQB40" s="42"/>
      <c r="SQC40" s="38"/>
      <c r="SQD40" s="38"/>
      <c r="SQE40" s="38"/>
      <c r="SQF40" s="39"/>
      <c r="SQG40" s="38"/>
      <c r="SQH40" s="38"/>
      <c r="SQI40" s="38"/>
      <c r="SQJ40" s="40"/>
      <c r="SQK40" s="41"/>
      <c r="SQL40" s="40"/>
      <c r="SQM40" s="38"/>
      <c r="SQN40" s="42"/>
      <c r="SQO40" s="42"/>
      <c r="SQP40" s="42"/>
      <c r="SQQ40" s="38"/>
      <c r="SQR40" s="38"/>
      <c r="SQS40" s="38"/>
      <c r="SQT40" s="39"/>
      <c r="SQU40" s="38"/>
      <c r="SQV40" s="38"/>
      <c r="SQW40" s="38"/>
      <c r="SQX40" s="40"/>
      <c r="SQY40" s="41"/>
      <c r="SQZ40" s="40"/>
      <c r="SRA40" s="38"/>
      <c r="SRB40" s="42"/>
      <c r="SRC40" s="42"/>
      <c r="SRD40" s="42"/>
      <c r="SRE40" s="38"/>
      <c r="SRF40" s="38"/>
      <c r="SRG40" s="38"/>
      <c r="SRH40" s="39"/>
      <c r="SRI40" s="38"/>
      <c r="SRJ40" s="38"/>
      <c r="SRK40" s="38"/>
      <c r="SRL40" s="40"/>
      <c r="SRM40" s="41"/>
      <c r="SRN40" s="40"/>
      <c r="SRO40" s="38"/>
      <c r="SRP40" s="42"/>
      <c r="SRQ40" s="42"/>
      <c r="SRR40" s="42"/>
      <c r="SRS40" s="38"/>
      <c r="SRT40" s="38"/>
      <c r="SRU40" s="38"/>
      <c r="SRV40" s="39"/>
      <c r="SRW40" s="38"/>
      <c r="SRX40" s="38"/>
      <c r="SRY40" s="38"/>
      <c r="SRZ40" s="40"/>
      <c r="SSA40" s="41"/>
      <c r="SSB40" s="40"/>
      <c r="SSC40" s="38"/>
      <c r="SSD40" s="42"/>
      <c r="SSE40" s="42"/>
      <c r="SSF40" s="42"/>
      <c r="SSG40" s="38"/>
      <c r="SSH40" s="38"/>
      <c r="SSI40" s="38"/>
      <c r="SSJ40" s="39"/>
      <c r="SSK40" s="38"/>
      <c r="SSL40" s="38"/>
      <c r="SSM40" s="38"/>
      <c r="SSN40" s="40"/>
      <c r="SSO40" s="41"/>
      <c r="SSP40" s="40"/>
      <c r="SSQ40" s="38"/>
      <c r="SSR40" s="42"/>
      <c r="SSS40" s="42"/>
      <c r="SST40" s="42"/>
      <c r="SSU40" s="38"/>
      <c r="SSV40" s="38"/>
      <c r="SSW40" s="38"/>
      <c r="SSX40" s="39"/>
      <c r="SSY40" s="38"/>
      <c r="SSZ40" s="38"/>
      <c r="STA40" s="38"/>
      <c r="STB40" s="40"/>
      <c r="STC40" s="41"/>
      <c r="STD40" s="40"/>
      <c r="STE40" s="38"/>
      <c r="STF40" s="42"/>
      <c r="STG40" s="42"/>
      <c r="STH40" s="42"/>
      <c r="STI40" s="38"/>
      <c r="STJ40" s="38"/>
      <c r="STK40" s="38"/>
      <c r="STL40" s="39"/>
      <c r="STM40" s="38"/>
      <c r="STN40" s="38"/>
      <c r="STO40" s="38"/>
      <c r="STP40" s="40"/>
      <c r="STQ40" s="41"/>
      <c r="STR40" s="40"/>
      <c r="STS40" s="38"/>
      <c r="STT40" s="42"/>
      <c r="STU40" s="42"/>
      <c r="STV40" s="42"/>
      <c r="STW40" s="38"/>
      <c r="STX40" s="38"/>
      <c r="STY40" s="38"/>
      <c r="STZ40" s="39"/>
      <c r="SUA40" s="38"/>
      <c r="SUB40" s="38"/>
      <c r="SUC40" s="38"/>
      <c r="SUD40" s="40"/>
      <c r="SUE40" s="41"/>
      <c r="SUF40" s="40"/>
      <c r="SUG40" s="38"/>
      <c r="SUH40" s="42"/>
      <c r="SUI40" s="42"/>
      <c r="SUJ40" s="42"/>
      <c r="SUK40" s="38"/>
      <c r="SUL40" s="38"/>
      <c r="SUM40" s="38"/>
      <c r="SUN40" s="39"/>
      <c r="SUO40" s="38"/>
      <c r="SUP40" s="38"/>
      <c r="SUQ40" s="38"/>
      <c r="SUR40" s="40"/>
      <c r="SUS40" s="41"/>
      <c r="SUT40" s="40"/>
      <c r="SUU40" s="38"/>
      <c r="SUV40" s="42"/>
      <c r="SUW40" s="42"/>
      <c r="SUX40" s="42"/>
      <c r="SUY40" s="38"/>
      <c r="SUZ40" s="38"/>
      <c r="SVA40" s="38"/>
      <c r="SVB40" s="39"/>
      <c r="SVC40" s="38"/>
      <c r="SVD40" s="38"/>
      <c r="SVE40" s="38"/>
      <c r="SVF40" s="40"/>
      <c r="SVG40" s="41"/>
      <c r="SVH40" s="40"/>
      <c r="SVI40" s="38"/>
      <c r="SVJ40" s="42"/>
      <c r="SVK40" s="42"/>
      <c r="SVL40" s="42"/>
      <c r="SVM40" s="38"/>
      <c r="SVN40" s="38"/>
      <c r="SVO40" s="38"/>
      <c r="SVP40" s="39"/>
      <c r="SVQ40" s="38"/>
      <c r="SVR40" s="38"/>
      <c r="SVS40" s="38"/>
      <c r="SVT40" s="40"/>
      <c r="SVU40" s="41"/>
      <c r="SVV40" s="40"/>
      <c r="SVW40" s="38"/>
      <c r="SVX40" s="42"/>
      <c r="SVY40" s="42"/>
      <c r="SVZ40" s="42"/>
      <c r="SWA40" s="38"/>
      <c r="SWB40" s="38"/>
      <c r="SWC40" s="38"/>
      <c r="SWD40" s="39"/>
      <c r="SWE40" s="38"/>
      <c r="SWF40" s="38"/>
      <c r="SWG40" s="38"/>
      <c r="SWH40" s="40"/>
      <c r="SWI40" s="41"/>
      <c r="SWJ40" s="40"/>
      <c r="SWK40" s="38"/>
      <c r="SWL40" s="42"/>
      <c r="SWM40" s="42"/>
      <c r="SWN40" s="42"/>
      <c r="SWO40" s="38"/>
      <c r="SWP40" s="38"/>
      <c r="SWQ40" s="38"/>
      <c r="SWR40" s="39"/>
      <c r="SWS40" s="38"/>
      <c r="SWT40" s="38"/>
      <c r="SWU40" s="38"/>
      <c r="SWV40" s="40"/>
      <c r="SWW40" s="41"/>
      <c r="SWX40" s="40"/>
      <c r="SWY40" s="38"/>
      <c r="SWZ40" s="42"/>
      <c r="SXA40" s="42"/>
      <c r="SXB40" s="42"/>
      <c r="SXC40" s="38"/>
      <c r="SXD40" s="38"/>
      <c r="SXE40" s="38"/>
      <c r="SXF40" s="39"/>
      <c r="SXG40" s="38"/>
      <c r="SXH40" s="38"/>
      <c r="SXI40" s="38"/>
      <c r="SXJ40" s="40"/>
      <c r="SXK40" s="41"/>
      <c r="SXL40" s="40"/>
      <c r="SXM40" s="38"/>
      <c r="SXN40" s="42"/>
      <c r="SXO40" s="42"/>
      <c r="SXP40" s="42"/>
      <c r="SXQ40" s="38"/>
      <c r="SXR40" s="38"/>
      <c r="SXS40" s="38"/>
      <c r="SXT40" s="39"/>
      <c r="SXU40" s="38"/>
      <c r="SXV40" s="38"/>
      <c r="SXW40" s="38"/>
      <c r="SXX40" s="40"/>
      <c r="SXY40" s="41"/>
      <c r="SXZ40" s="40"/>
      <c r="SYA40" s="38"/>
      <c r="SYB40" s="42"/>
      <c r="SYC40" s="42"/>
      <c r="SYD40" s="42"/>
      <c r="SYE40" s="38"/>
      <c r="SYF40" s="38"/>
      <c r="SYG40" s="38"/>
      <c r="SYH40" s="39"/>
      <c r="SYI40" s="38"/>
      <c r="SYJ40" s="38"/>
      <c r="SYK40" s="38"/>
      <c r="SYL40" s="40"/>
      <c r="SYM40" s="41"/>
      <c r="SYN40" s="40"/>
      <c r="SYO40" s="38"/>
      <c r="SYP40" s="42"/>
      <c r="SYQ40" s="42"/>
      <c r="SYR40" s="42"/>
      <c r="SYS40" s="38"/>
      <c r="SYT40" s="38"/>
      <c r="SYU40" s="38"/>
      <c r="SYV40" s="39"/>
      <c r="SYW40" s="38"/>
      <c r="SYX40" s="38"/>
      <c r="SYY40" s="38"/>
      <c r="SYZ40" s="40"/>
      <c r="SZA40" s="41"/>
      <c r="SZB40" s="40"/>
      <c r="SZC40" s="38"/>
      <c r="SZD40" s="42"/>
      <c r="SZE40" s="42"/>
      <c r="SZF40" s="42"/>
      <c r="SZG40" s="38"/>
      <c r="SZH40" s="38"/>
      <c r="SZI40" s="38"/>
      <c r="SZJ40" s="39"/>
      <c r="SZK40" s="38"/>
      <c r="SZL40" s="38"/>
      <c r="SZM40" s="38"/>
      <c r="SZN40" s="40"/>
      <c r="SZO40" s="41"/>
      <c r="SZP40" s="40"/>
      <c r="SZQ40" s="38"/>
      <c r="SZR40" s="42"/>
      <c r="SZS40" s="42"/>
      <c r="SZT40" s="42"/>
      <c r="SZU40" s="38"/>
      <c r="SZV40" s="38"/>
      <c r="SZW40" s="38"/>
      <c r="SZX40" s="39"/>
      <c r="SZY40" s="38"/>
      <c r="SZZ40" s="38"/>
      <c r="TAA40" s="38"/>
      <c r="TAB40" s="40"/>
      <c r="TAC40" s="41"/>
      <c r="TAD40" s="40"/>
      <c r="TAE40" s="38"/>
      <c r="TAF40" s="42"/>
      <c r="TAG40" s="42"/>
      <c r="TAH40" s="42"/>
      <c r="TAI40" s="38"/>
      <c r="TAJ40" s="38"/>
      <c r="TAK40" s="38"/>
      <c r="TAL40" s="39"/>
      <c r="TAM40" s="38"/>
      <c r="TAN40" s="38"/>
      <c r="TAO40" s="38"/>
      <c r="TAP40" s="40"/>
      <c r="TAQ40" s="41"/>
      <c r="TAR40" s="40"/>
      <c r="TAS40" s="38"/>
      <c r="TAT40" s="42"/>
      <c r="TAU40" s="42"/>
      <c r="TAV40" s="42"/>
      <c r="TAW40" s="38"/>
      <c r="TAX40" s="38"/>
      <c r="TAY40" s="38"/>
      <c r="TAZ40" s="39"/>
      <c r="TBA40" s="38"/>
      <c r="TBB40" s="38"/>
      <c r="TBC40" s="38"/>
      <c r="TBD40" s="40"/>
      <c r="TBE40" s="41"/>
      <c r="TBF40" s="40"/>
      <c r="TBG40" s="38"/>
      <c r="TBH40" s="42"/>
      <c r="TBI40" s="42"/>
      <c r="TBJ40" s="42"/>
      <c r="TBK40" s="38"/>
      <c r="TBL40" s="38"/>
      <c r="TBM40" s="38"/>
      <c r="TBN40" s="39"/>
      <c r="TBO40" s="38"/>
      <c r="TBP40" s="38"/>
      <c r="TBQ40" s="38"/>
      <c r="TBR40" s="40"/>
      <c r="TBS40" s="41"/>
      <c r="TBT40" s="40"/>
      <c r="TBU40" s="38"/>
      <c r="TBV40" s="42"/>
      <c r="TBW40" s="42"/>
      <c r="TBX40" s="42"/>
      <c r="TBY40" s="38"/>
      <c r="TBZ40" s="38"/>
      <c r="TCA40" s="38"/>
      <c r="TCB40" s="39"/>
      <c r="TCC40" s="38"/>
      <c r="TCD40" s="38"/>
      <c r="TCE40" s="38"/>
      <c r="TCF40" s="40"/>
      <c r="TCG40" s="41"/>
      <c r="TCH40" s="40"/>
      <c r="TCI40" s="38"/>
      <c r="TCJ40" s="42"/>
      <c r="TCK40" s="42"/>
      <c r="TCL40" s="42"/>
      <c r="TCM40" s="38"/>
      <c r="TCN40" s="38"/>
      <c r="TCO40" s="38"/>
      <c r="TCP40" s="39"/>
      <c r="TCQ40" s="38"/>
      <c r="TCR40" s="38"/>
      <c r="TCS40" s="38"/>
      <c r="TCT40" s="40"/>
      <c r="TCU40" s="41"/>
      <c r="TCV40" s="40"/>
      <c r="TCW40" s="38"/>
      <c r="TCX40" s="42"/>
      <c r="TCY40" s="42"/>
      <c r="TCZ40" s="42"/>
      <c r="TDA40" s="38"/>
      <c r="TDB40" s="38"/>
      <c r="TDC40" s="38"/>
      <c r="TDD40" s="39"/>
      <c r="TDE40" s="38"/>
      <c r="TDF40" s="38"/>
      <c r="TDG40" s="38"/>
      <c r="TDH40" s="40"/>
      <c r="TDI40" s="41"/>
      <c r="TDJ40" s="40"/>
      <c r="TDK40" s="38"/>
      <c r="TDL40" s="42"/>
      <c r="TDM40" s="42"/>
      <c r="TDN40" s="42"/>
      <c r="TDO40" s="38"/>
      <c r="TDP40" s="38"/>
      <c r="TDQ40" s="38"/>
      <c r="TDR40" s="39"/>
      <c r="TDS40" s="38"/>
      <c r="TDT40" s="38"/>
      <c r="TDU40" s="38"/>
      <c r="TDV40" s="40"/>
      <c r="TDW40" s="41"/>
      <c r="TDX40" s="40"/>
      <c r="TDY40" s="38"/>
      <c r="TDZ40" s="42"/>
      <c r="TEA40" s="42"/>
      <c r="TEB40" s="42"/>
      <c r="TEC40" s="38"/>
      <c r="TED40" s="38"/>
      <c r="TEE40" s="38"/>
      <c r="TEF40" s="39"/>
      <c r="TEG40" s="38"/>
      <c r="TEH40" s="38"/>
      <c r="TEI40" s="38"/>
      <c r="TEJ40" s="40"/>
      <c r="TEK40" s="41"/>
      <c r="TEL40" s="40"/>
      <c r="TEM40" s="38"/>
      <c r="TEN40" s="42"/>
      <c r="TEO40" s="42"/>
      <c r="TEP40" s="42"/>
      <c r="TEQ40" s="38"/>
      <c r="TER40" s="38"/>
      <c r="TES40" s="38"/>
      <c r="TET40" s="39"/>
      <c r="TEU40" s="38"/>
      <c r="TEV40" s="38"/>
      <c r="TEW40" s="38"/>
      <c r="TEX40" s="40"/>
      <c r="TEY40" s="41"/>
      <c r="TEZ40" s="40"/>
      <c r="TFA40" s="38"/>
      <c r="TFB40" s="42"/>
      <c r="TFC40" s="42"/>
      <c r="TFD40" s="42"/>
      <c r="TFE40" s="38"/>
      <c r="TFF40" s="38"/>
      <c r="TFG40" s="38"/>
      <c r="TFH40" s="39"/>
      <c r="TFI40" s="38"/>
      <c r="TFJ40" s="38"/>
      <c r="TFK40" s="38"/>
      <c r="TFL40" s="40"/>
      <c r="TFM40" s="41"/>
      <c r="TFN40" s="40"/>
      <c r="TFO40" s="38"/>
      <c r="TFP40" s="42"/>
      <c r="TFQ40" s="42"/>
      <c r="TFR40" s="42"/>
      <c r="TFS40" s="38"/>
      <c r="TFT40" s="38"/>
      <c r="TFU40" s="38"/>
      <c r="TFV40" s="39"/>
      <c r="TFW40" s="38"/>
      <c r="TFX40" s="38"/>
      <c r="TFY40" s="38"/>
      <c r="TFZ40" s="40"/>
      <c r="TGA40" s="41"/>
      <c r="TGB40" s="40"/>
      <c r="TGC40" s="38"/>
      <c r="TGD40" s="42"/>
      <c r="TGE40" s="42"/>
      <c r="TGF40" s="42"/>
      <c r="TGG40" s="38"/>
      <c r="TGH40" s="38"/>
      <c r="TGI40" s="38"/>
      <c r="TGJ40" s="39"/>
      <c r="TGK40" s="38"/>
      <c r="TGL40" s="38"/>
      <c r="TGM40" s="38"/>
      <c r="TGN40" s="40"/>
      <c r="TGO40" s="41"/>
      <c r="TGP40" s="40"/>
      <c r="TGQ40" s="38"/>
      <c r="TGR40" s="42"/>
      <c r="TGS40" s="42"/>
      <c r="TGT40" s="42"/>
      <c r="TGU40" s="38"/>
      <c r="TGV40" s="38"/>
      <c r="TGW40" s="38"/>
      <c r="TGX40" s="39"/>
      <c r="TGY40" s="38"/>
      <c r="TGZ40" s="38"/>
      <c r="THA40" s="38"/>
      <c r="THB40" s="40"/>
      <c r="THC40" s="41"/>
      <c r="THD40" s="40"/>
      <c r="THE40" s="38"/>
      <c r="THF40" s="42"/>
      <c r="THG40" s="42"/>
      <c r="THH40" s="42"/>
      <c r="THI40" s="38"/>
      <c r="THJ40" s="38"/>
      <c r="THK40" s="38"/>
      <c r="THL40" s="39"/>
      <c r="THM40" s="38"/>
      <c r="THN40" s="38"/>
      <c r="THO40" s="38"/>
      <c r="THP40" s="40"/>
      <c r="THQ40" s="41"/>
      <c r="THR40" s="40"/>
      <c r="THS40" s="38"/>
      <c r="THT40" s="42"/>
      <c r="THU40" s="42"/>
      <c r="THV40" s="42"/>
      <c r="THW40" s="38"/>
      <c r="THX40" s="38"/>
      <c r="THY40" s="38"/>
      <c r="THZ40" s="39"/>
      <c r="TIA40" s="38"/>
      <c r="TIB40" s="38"/>
      <c r="TIC40" s="38"/>
      <c r="TID40" s="40"/>
      <c r="TIE40" s="41"/>
      <c r="TIF40" s="40"/>
      <c r="TIG40" s="38"/>
      <c r="TIH40" s="42"/>
      <c r="TII40" s="42"/>
      <c r="TIJ40" s="42"/>
      <c r="TIK40" s="38"/>
      <c r="TIL40" s="38"/>
      <c r="TIM40" s="38"/>
      <c r="TIN40" s="39"/>
      <c r="TIO40" s="38"/>
      <c r="TIP40" s="38"/>
      <c r="TIQ40" s="38"/>
      <c r="TIR40" s="40"/>
      <c r="TIS40" s="41"/>
      <c r="TIT40" s="40"/>
      <c r="TIU40" s="38"/>
      <c r="TIV40" s="42"/>
      <c r="TIW40" s="42"/>
      <c r="TIX40" s="42"/>
      <c r="TIY40" s="38"/>
      <c r="TIZ40" s="38"/>
      <c r="TJA40" s="38"/>
      <c r="TJB40" s="39"/>
      <c r="TJC40" s="38"/>
      <c r="TJD40" s="38"/>
      <c r="TJE40" s="38"/>
      <c r="TJF40" s="40"/>
      <c r="TJG40" s="41"/>
      <c r="TJH40" s="40"/>
      <c r="TJI40" s="38"/>
      <c r="TJJ40" s="42"/>
      <c r="TJK40" s="42"/>
      <c r="TJL40" s="42"/>
      <c r="TJM40" s="38"/>
      <c r="TJN40" s="38"/>
      <c r="TJO40" s="38"/>
      <c r="TJP40" s="39"/>
      <c r="TJQ40" s="38"/>
      <c r="TJR40" s="38"/>
      <c r="TJS40" s="38"/>
      <c r="TJT40" s="40"/>
      <c r="TJU40" s="41"/>
      <c r="TJV40" s="40"/>
      <c r="TJW40" s="38"/>
      <c r="TJX40" s="42"/>
      <c r="TJY40" s="42"/>
      <c r="TJZ40" s="42"/>
      <c r="TKA40" s="38"/>
      <c r="TKB40" s="38"/>
      <c r="TKC40" s="38"/>
      <c r="TKD40" s="39"/>
      <c r="TKE40" s="38"/>
      <c r="TKF40" s="38"/>
      <c r="TKG40" s="38"/>
      <c r="TKH40" s="40"/>
      <c r="TKI40" s="41"/>
      <c r="TKJ40" s="40"/>
      <c r="TKK40" s="38"/>
      <c r="TKL40" s="42"/>
      <c r="TKM40" s="42"/>
      <c r="TKN40" s="42"/>
      <c r="TKO40" s="38"/>
      <c r="TKP40" s="38"/>
      <c r="TKQ40" s="38"/>
      <c r="TKR40" s="39"/>
      <c r="TKS40" s="38"/>
      <c r="TKT40" s="38"/>
      <c r="TKU40" s="38"/>
      <c r="TKV40" s="40"/>
      <c r="TKW40" s="41"/>
      <c r="TKX40" s="40"/>
      <c r="TKY40" s="38"/>
      <c r="TKZ40" s="42"/>
      <c r="TLA40" s="42"/>
      <c r="TLB40" s="42"/>
      <c r="TLC40" s="38"/>
      <c r="TLD40" s="38"/>
      <c r="TLE40" s="38"/>
      <c r="TLF40" s="39"/>
      <c r="TLG40" s="38"/>
      <c r="TLH40" s="38"/>
      <c r="TLI40" s="38"/>
      <c r="TLJ40" s="40"/>
      <c r="TLK40" s="41"/>
      <c r="TLL40" s="40"/>
      <c r="TLM40" s="38"/>
      <c r="TLN40" s="42"/>
      <c r="TLO40" s="42"/>
      <c r="TLP40" s="42"/>
      <c r="TLQ40" s="38"/>
      <c r="TLR40" s="38"/>
      <c r="TLS40" s="38"/>
      <c r="TLT40" s="39"/>
      <c r="TLU40" s="38"/>
      <c r="TLV40" s="38"/>
      <c r="TLW40" s="38"/>
      <c r="TLX40" s="40"/>
      <c r="TLY40" s="41"/>
      <c r="TLZ40" s="40"/>
      <c r="TMA40" s="38"/>
      <c r="TMB40" s="42"/>
      <c r="TMC40" s="42"/>
      <c r="TMD40" s="42"/>
      <c r="TME40" s="38"/>
      <c r="TMF40" s="38"/>
      <c r="TMG40" s="38"/>
      <c r="TMH40" s="39"/>
      <c r="TMI40" s="38"/>
      <c r="TMJ40" s="38"/>
      <c r="TMK40" s="38"/>
      <c r="TML40" s="40"/>
      <c r="TMM40" s="41"/>
      <c r="TMN40" s="40"/>
      <c r="TMO40" s="38"/>
      <c r="TMP40" s="42"/>
      <c r="TMQ40" s="42"/>
      <c r="TMR40" s="42"/>
      <c r="TMS40" s="38"/>
      <c r="TMT40" s="38"/>
      <c r="TMU40" s="38"/>
      <c r="TMV40" s="39"/>
      <c r="TMW40" s="38"/>
      <c r="TMX40" s="38"/>
      <c r="TMY40" s="38"/>
      <c r="TMZ40" s="40"/>
      <c r="TNA40" s="41"/>
      <c r="TNB40" s="40"/>
      <c r="TNC40" s="38"/>
      <c r="TND40" s="42"/>
      <c r="TNE40" s="42"/>
      <c r="TNF40" s="42"/>
      <c r="TNG40" s="38"/>
      <c r="TNH40" s="38"/>
      <c r="TNI40" s="38"/>
      <c r="TNJ40" s="39"/>
      <c r="TNK40" s="38"/>
      <c r="TNL40" s="38"/>
      <c r="TNM40" s="38"/>
      <c r="TNN40" s="40"/>
      <c r="TNO40" s="41"/>
      <c r="TNP40" s="40"/>
      <c r="TNQ40" s="38"/>
      <c r="TNR40" s="42"/>
      <c r="TNS40" s="42"/>
      <c r="TNT40" s="42"/>
      <c r="TNU40" s="38"/>
      <c r="TNV40" s="38"/>
      <c r="TNW40" s="38"/>
      <c r="TNX40" s="39"/>
      <c r="TNY40" s="38"/>
      <c r="TNZ40" s="38"/>
      <c r="TOA40" s="38"/>
      <c r="TOB40" s="40"/>
      <c r="TOC40" s="41"/>
      <c r="TOD40" s="40"/>
      <c r="TOE40" s="38"/>
      <c r="TOF40" s="42"/>
      <c r="TOG40" s="42"/>
      <c r="TOH40" s="42"/>
      <c r="TOI40" s="38"/>
      <c r="TOJ40" s="38"/>
      <c r="TOK40" s="38"/>
      <c r="TOL40" s="39"/>
      <c r="TOM40" s="38"/>
      <c r="TON40" s="38"/>
      <c r="TOO40" s="38"/>
      <c r="TOP40" s="40"/>
      <c r="TOQ40" s="41"/>
      <c r="TOR40" s="40"/>
      <c r="TOS40" s="38"/>
      <c r="TOT40" s="42"/>
      <c r="TOU40" s="42"/>
      <c r="TOV40" s="42"/>
      <c r="TOW40" s="38"/>
      <c r="TOX40" s="38"/>
      <c r="TOY40" s="38"/>
      <c r="TOZ40" s="39"/>
      <c r="TPA40" s="38"/>
      <c r="TPB40" s="38"/>
      <c r="TPC40" s="38"/>
      <c r="TPD40" s="40"/>
      <c r="TPE40" s="41"/>
      <c r="TPF40" s="40"/>
      <c r="TPG40" s="38"/>
      <c r="TPH40" s="42"/>
      <c r="TPI40" s="42"/>
      <c r="TPJ40" s="42"/>
      <c r="TPK40" s="38"/>
      <c r="TPL40" s="38"/>
      <c r="TPM40" s="38"/>
      <c r="TPN40" s="39"/>
      <c r="TPO40" s="38"/>
      <c r="TPP40" s="38"/>
      <c r="TPQ40" s="38"/>
      <c r="TPR40" s="40"/>
      <c r="TPS40" s="41"/>
      <c r="TPT40" s="40"/>
      <c r="TPU40" s="38"/>
      <c r="TPV40" s="42"/>
      <c r="TPW40" s="42"/>
      <c r="TPX40" s="42"/>
      <c r="TPY40" s="38"/>
      <c r="TPZ40" s="38"/>
      <c r="TQA40" s="38"/>
      <c r="TQB40" s="39"/>
      <c r="TQC40" s="38"/>
      <c r="TQD40" s="38"/>
      <c r="TQE40" s="38"/>
      <c r="TQF40" s="40"/>
      <c r="TQG40" s="41"/>
      <c r="TQH40" s="40"/>
      <c r="TQI40" s="38"/>
      <c r="TQJ40" s="42"/>
      <c r="TQK40" s="42"/>
      <c r="TQL40" s="42"/>
      <c r="TQM40" s="38"/>
      <c r="TQN40" s="38"/>
      <c r="TQO40" s="38"/>
      <c r="TQP40" s="39"/>
      <c r="TQQ40" s="38"/>
      <c r="TQR40" s="38"/>
      <c r="TQS40" s="38"/>
      <c r="TQT40" s="40"/>
      <c r="TQU40" s="41"/>
      <c r="TQV40" s="40"/>
      <c r="TQW40" s="38"/>
      <c r="TQX40" s="42"/>
      <c r="TQY40" s="42"/>
      <c r="TQZ40" s="42"/>
      <c r="TRA40" s="38"/>
      <c r="TRB40" s="38"/>
      <c r="TRC40" s="38"/>
      <c r="TRD40" s="39"/>
      <c r="TRE40" s="38"/>
      <c r="TRF40" s="38"/>
      <c r="TRG40" s="38"/>
      <c r="TRH40" s="40"/>
      <c r="TRI40" s="41"/>
      <c r="TRJ40" s="40"/>
      <c r="TRK40" s="38"/>
      <c r="TRL40" s="42"/>
      <c r="TRM40" s="42"/>
      <c r="TRN40" s="42"/>
      <c r="TRO40" s="38"/>
      <c r="TRP40" s="38"/>
      <c r="TRQ40" s="38"/>
      <c r="TRR40" s="39"/>
      <c r="TRS40" s="38"/>
      <c r="TRT40" s="38"/>
      <c r="TRU40" s="38"/>
      <c r="TRV40" s="40"/>
      <c r="TRW40" s="41"/>
      <c r="TRX40" s="40"/>
      <c r="TRY40" s="38"/>
      <c r="TRZ40" s="42"/>
      <c r="TSA40" s="42"/>
      <c r="TSB40" s="42"/>
      <c r="TSC40" s="38"/>
      <c r="TSD40" s="38"/>
      <c r="TSE40" s="38"/>
      <c r="TSF40" s="39"/>
      <c r="TSG40" s="38"/>
      <c r="TSH40" s="38"/>
      <c r="TSI40" s="38"/>
      <c r="TSJ40" s="40"/>
      <c r="TSK40" s="41"/>
      <c r="TSL40" s="40"/>
      <c r="TSM40" s="38"/>
      <c r="TSN40" s="42"/>
      <c r="TSO40" s="42"/>
      <c r="TSP40" s="42"/>
      <c r="TSQ40" s="38"/>
      <c r="TSR40" s="38"/>
      <c r="TSS40" s="38"/>
      <c r="TST40" s="39"/>
      <c r="TSU40" s="38"/>
      <c r="TSV40" s="38"/>
      <c r="TSW40" s="38"/>
      <c r="TSX40" s="40"/>
      <c r="TSY40" s="41"/>
      <c r="TSZ40" s="40"/>
      <c r="TTA40" s="38"/>
      <c r="TTB40" s="42"/>
      <c r="TTC40" s="42"/>
      <c r="TTD40" s="42"/>
      <c r="TTE40" s="38"/>
      <c r="TTF40" s="38"/>
      <c r="TTG40" s="38"/>
      <c r="TTH40" s="39"/>
      <c r="TTI40" s="38"/>
      <c r="TTJ40" s="38"/>
      <c r="TTK40" s="38"/>
      <c r="TTL40" s="40"/>
      <c r="TTM40" s="41"/>
      <c r="TTN40" s="40"/>
      <c r="TTO40" s="38"/>
      <c r="TTP40" s="42"/>
      <c r="TTQ40" s="42"/>
      <c r="TTR40" s="42"/>
      <c r="TTS40" s="38"/>
      <c r="TTT40" s="38"/>
      <c r="TTU40" s="38"/>
      <c r="TTV40" s="39"/>
      <c r="TTW40" s="38"/>
      <c r="TTX40" s="38"/>
      <c r="TTY40" s="38"/>
      <c r="TTZ40" s="40"/>
      <c r="TUA40" s="41"/>
      <c r="TUB40" s="40"/>
      <c r="TUC40" s="38"/>
      <c r="TUD40" s="42"/>
      <c r="TUE40" s="42"/>
      <c r="TUF40" s="42"/>
      <c r="TUG40" s="38"/>
      <c r="TUH40" s="38"/>
      <c r="TUI40" s="38"/>
      <c r="TUJ40" s="39"/>
      <c r="TUK40" s="38"/>
      <c r="TUL40" s="38"/>
      <c r="TUM40" s="38"/>
      <c r="TUN40" s="40"/>
      <c r="TUO40" s="41"/>
      <c r="TUP40" s="40"/>
      <c r="TUQ40" s="38"/>
      <c r="TUR40" s="42"/>
      <c r="TUS40" s="42"/>
      <c r="TUT40" s="42"/>
      <c r="TUU40" s="38"/>
      <c r="TUV40" s="38"/>
      <c r="TUW40" s="38"/>
      <c r="TUX40" s="39"/>
      <c r="TUY40" s="38"/>
      <c r="TUZ40" s="38"/>
      <c r="TVA40" s="38"/>
      <c r="TVB40" s="40"/>
      <c r="TVC40" s="41"/>
      <c r="TVD40" s="40"/>
      <c r="TVE40" s="38"/>
      <c r="TVF40" s="42"/>
      <c r="TVG40" s="42"/>
      <c r="TVH40" s="42"/>
      <c r="TVI40" s="38"/>
      <c r="TVJ40" s="38"/>
      <c r="TVK40" s="38"/>
      <c r="TVL40" s="39"/>
      <c r="TVM40" s="38"/>
      <c r="TVN40" s="38"/>
      <c r="TVO40" s="38"/>
      <c r="TVP40" s="40"/>
      <c r="TVQ40" s="41"/>
      <c r="TVR40" s="40"/>
      <c r="TVS40" s="38"/>
      <c r="TVT40" s="42"/>
      <c r="TVU40" s="42"/>
      <c r="TVV40" s="42"/>
      <c r="TVW40" s="38"/>
      <c r="TVX40" s="38"/>
      <c r="TVY40" s="38"/>
      <c r="TVZ40" s="39"/>
      <c r="TWA40" s="38"/>
      <c r="TWB40" s="38"/>
      <c r="TWC40" s="38"/>
      <c r="TWD40" s="40"/>
      <c r="TWE40" s="41"/>
      <c r="TWF40" s="40"/>
      <c r="TWG40" s="38"/>
      <c r="TWH40" s="42"/>
      <c r="TWI40" s="42"/>
      <c r="TWJ40" s="42"/>
      <c r="TWK40" s="38"/>
      <c r="TWL40" s="38"/>
      <c r="TWM40" s="38"/>
      <c r="TWN40" s="39"/>
      <c r="TWO40" s="38"/>
      <c r="TWP40" s="38"/>
      <c r="TWQ40" s="38"/>
      <c r="TWR40" s="40"/>
      <c r="TWS40" s="41"/>
      <c r="TWT40" s="40"/>
      <c r="TWU40" s="38"/>
      <c r="TWV40" s="42"/>
      <c r="TWW40" s="42"/>
      <c r="TWX40" s="42"/>
      <c r="TWY40" s="38"/>
      <c r="TWZ40" s="38"/>
      <c r="TXA40" s="38"/>
      <c r="TXB40" s="39"/>
      <c r="TXC40" s="38"/>
      <c r="TXD40" s="38"/>
      <c r="TXE40" s="38"/>
      <c r="TXF40" s="40"/>
      <c r="TXG40" s="41"/>
      <c r="TXH40" s="40"/>
      <c r="TXI40" s="38"/>
      <c r="TXJ40" s="42"/>
      <c r="TXK40" s="42"/>
      <c r="TXL40" s="42"/>
      <c r="TXM40" s="38"/>
      <c r="TXN40" s="38"/>
      <c r="TXO40" s="38"/>
      <c r="TXP40" s="39"/>
      <c r="TXQ40" s="38"/>
      <c r="TXR40" s="38"/>
      <c r="TXS40" s="38"/>
      <c r="TXT40" s="40"/>
      <c r="TXU40" s="41"/>
      <c r="TXV40" s="40"/>
      <c r="TXW40" s="38"/>
      <c r="TXX40" s="42"/>
      <c r="TXY40" s="42"/>
      <c r="TXZ40" s="42"/>
      <c r="TYA40" s="38"/>
      <c r="TYB40" s="38"/>
      <c r="TYC40" s="38"/>
      <c r="TYD40" s="39"/>
      <c r="TYE40" s="38"/>
      <c r="TYF40" s="38"/>
      <c r="TYG40" s="38"/>
      <c r="TYH40" s="40"/>
      <c r="TYI40" s="41"/>
      <c r="TYJ40" s="40"/>
      <c r="TYK40" s="38"/>
      <c r="TYL40" s="42"/>
      <c r="TYM40" s="42"/>
      <c r="TYN40" s="42"/>
      <c r="TYO40" s="38"/>
      <c r="TYP40" s="38"/>
      <c r="TYQ40" s="38"/>
      <c r="TYR40" s="39"/>
      <c r="TYS40" s="38"/>
      <c r="TYT40" s="38"/>
      <c r="TYU40" s="38"/>
      <c r="TYV40" s="40"/>
      <c r="TYW40" s="41"/>
      <c r="TYX40" s="40"/>
      <c r="TYY40" s="38"/>
      <c r="TYZ40" s="42"/>
      <c r="TZA40" s="42"/>
      <c r="TZB40" s="42"/>
      <c r="TZC40" s="38"/>
      <c r="TZD40" s="38"/>
      <c r="TZE40" s="38"/>
      <c r="TZF40" s="39"/>
      <c r="TZG40" s="38"/>
      <c r="TZH40" s="38"/>
      <c r="TZI40" s="38"/>
      <c r="TZJ40" s="40"/>
      <c r="TZK40" s="41"/>
      <c r="TZL40" s="40"/>
      <c r="TZM40" s="38"/>
      <c r="TZN40" s="42"/>
      <c r="TZO40" s="42"/>
      <c r="TZP40" s="42"/>
      <c r="TZQ40" s="38"/>
      <c r="TZR40" s="38"/>
      <c r="TZS40" s="38"/>
      <c r="TZT40" s="39"/>
      <c r="TZU40" s="38"/>
      <c r="TZV40" s="38"/>
      <c r="TZW40" s="38"/>
      <c r="TZX40" s="40"/>
      <c r="TZY40" s="41"/>
      <c r="TZZ40" s="40"/>
      <c r="UAA40" s="38"/>
      <c r="UAB40" s="42"/>
      <c r="UAC40" s="42"/>
      <c r="UAD40" s="42"/>
      <c r="UAE40" s="38"/>
      <c r="UAF40" s="38"/>
      <c r="UAG40" s="38"/>
      <c r="UAH40" s="39"/>
      <c r="UAI40" s="38"/>
      <c r="UAJ40" s="38"/>
      <c r="UAK40" s="38"/>
      <c r="UAL40" s="40"/>
      <c r="UAM40" s="41"/>
      <c r="UAN40" s="40"/>
      <c r="UAO40" s="38"/>
      <c r="UAP40" s="42"/>
      <c r="UAQ40" s="42"/>
      <c r="UAR40" s="42"/>
      <c r="UAS40" s="38"/>
      <c r="UAT40" s="38"/>
      <c r="UAU40" s="38"/>
      <c r="UAV40" s="39"/>
      <c r="UAW40" s="38"/>
      <c r="UAX40" s="38"/>
      <c r="UAY40" s="38"/>
      <c r="UAZ40" s="40"/>
      <c r="UBA40" s="41"/>
      <c r="UBB40" s="40"/>
      <c r="UBC40" s="38"/>
      <c r="UBD40" s="42"/>
      <c r="UBE40" s="42"/>
      <c r="UBF40" s="42"/>
      <c r="UBG40" s="38"/>
      <c r="UBH40" s="38"/>
      <c r="UBI40" s="38"/>
      <c r="UBJ40" s="39"/>
      <c r="UBK40" s="38"/>
      <c r="UBL40" s="38"/>
      <c r="UBM40" s="38"/>
      <c r="UBN40" s="40"/>
      <c r="UBO40" s="41"/>
      <c r="UBP40" s="40"/>
      <c r="UBQ40" s="38"/>
      <c r="UBR40" s="42"/>
      <c r="UBS40" s="42"/>
      <c r="UBT40" s="42"/>
      <c r="UBU40" s="38"/>
      <c r="UBV40" s="38"/>
      <c r="UBW40" s="38"/>
      <c r="UBX40" s="39"/>
      <c r="UBY40" s="38"/>
      <c r="UBZ40" s="38"/>
      <c r="UCA40" s="38"/>
      <c r="UCB40" s="40"/>
      <c r="UCC40" s="41"/>
      <c r="UCD40" s="40"/>
      <c r="UCE40" s="38"/>
      <c r="UCF40" s="42"/>
      <c r="UCG40" s="42"/>
      <c r="UCH40" s="42"/>
      <c r="UCI40" s="38"/>
      <c r="UCJ40" s="38"/>
      <c r="UCK40" s="38"/>
      <c r="UCL40" s="39"/>
      <c r="UCM40" s="38"/>
      <c r="UCN40" s="38"/>
      <c r="UCO40" s="38"/>
      <c r="UCP40" s="40"/>
      <c r="UCQ40" s="41"/>
      <c r="UCR40" s="40"/>
      <c r="UCS40" s="38"/>
      <c r="UCT40" s="42"/>
      <c r="UCU40" s="42"/>
      <c r="UCV40" s="42"/>
      <c r="UCW40" s="38"/>
      <c r="UCX40" s="38"/>
      <c r="UCY40" s="38"/>
      <c r="UCZ40" s="39"/>
      <c r="UDA40" s="38"/>
      <c r="UDB40" s="38"/>
      <c r="UDC40" s="38"/>
      <c r="UDD40" s="40"/>
      <c r="UDE40" s="41"/>
      <c r="UDF40" s="40"/>
      <c r="UDG40" s="38"/>
      <c r="UDH40" s="42"/>
      <c r="UDI40" s="42"/>
      <c r="UDJ40" s="42"/>
      <c r="UDK40" s="38"/>
      <c r="UDL40" s="38"/>
      <c r="UDM40" s="38"/>
      <c r="UDN40" s="39"/>
      <c r="UDO40" s="38"/>
      <c r="UDP40" s="38"/>
      <c r="UDQ40" s="38"/>
      <c r="UDR40" s="40"/>
      <c r="UDS40" s="41"/>
      <c r="UDT40" s="40"/>
      <c r="UDU40" s="38"/>
      <c r="UDV40" s="42"/>
      <c r="UDW40" s="42"/>
      <c r="UDX40" s="42"/>
      <c r="UDY40" s="38"/>
      <c r="UDZ40" s="38"/>
      <c r="UEA40" s="38"/>
      <c r="UEB40" s="39"/>
      <c r="UEC40" s="38"/>
      <c r="UED40" s="38"/>
      <c r="UEE40" s="38"/>
      <c r="UEF40" s="40"/>
      <c r="UEG40" s="41"/>
      <c r="UEH40" s="40"/>
      <c r="UEI40" s="38"/>
      <c r="UEJ40" s="42"/>
      <c r="UEK40" s="42"/>
      <c r="UEL40" s="42"/>
      <c r="UEM40" s="38"/>
      <c r="UEN40" s="38"/>
      <c r="UEO40" s="38"/>
      <c r="UEP40" s="39"/>
      <c r="UEQ40" s="38"/>
      <c r="UER40" s="38"/>
      <c r="UES40" s="38"/>
      <c r="UET40" s="40"/>
      <c r="UEU40" s="41"/>
      <c r="UEV40" s="40"/>
      <c r="UEW40" s="38"/>
      <c r="UEX40" s="42"/>
      <c r="UEY40" s="42"/>
      <c r="UEZ40" s="42"/>
      <c r="UFA40" s="38"/>
      <c r="UFB40" s="38"/>
      <c r="UFC40" s="38"/>
      <c r="UFD40" s="39"/>
      <c r="UFE40" s="38"/>
      <c r="UFF40" s="38"/>
      <c r="UFG40" s="38"/>
      <c r="UFH40" s="40"/>
      <c r="UFI40" s="41"/>
      <c r="UFJ40" s="40"/>
      <c r="UFK40" s="38"/>
      <c r="UFL40" s="42"/>
      <c r="UFM40" s="42"/>
      <c r="UFN40" s="42"/>
      <c r="UFO40" s="38"/>
      <c r="UFP40" s="38"/>
      <c r="UFQ40" s="38"/>
      <c r="UFR40" s="39"/>
      <c r="UFS40" s="38"/>
      <c r="UFT40" s="38"/>
      <c r="UFU40" s="38"/>
      <c r="UFV40" s="40"/>
      <c r="UFW40" s="41"/>
      <c r="UFX40" s="40"/>
      <c r="UFY40" s="38"/>
      <c r="UFZ40" s="42"/>
      <c r="UGA40" s="42"/>
      <c r="UGB40" s="42"/>
      <c r="UGC40" s="38"/>
      <c r="UGD40" s="38"/>
      <c r="UGE40" s="38"/>
      <c r="UGF40" s="39"/>
      <c r="UGG40" s="38"/>
      <c r="UGH40" s="38"/>
      <c r="UGI40" s="38"/>
      <c r="UGJ40" s="40"/>
      <c r="UGK40" s="41"/>
      <c r="UGL40" s="40"/>
      <c r="UGM40" s="38"/>
      <c r="UGN40" s="42"/>
      <c r="UGO40" s="42"/>
      <c r="UGP40" s="42"/>
      <c r="UGQ40" s="38"/>
      <c r="UGR40" s="38"/>
      <c r="UGS40" s="38"/>
      <c r="UGT40" s="39"/>
      <c r="UGU40" s="38"/>
      <c r="UGV40" s="38"/>
      <c r="UGW40" s="38"/>
      <c r="UGX40" s="40"/>
      <c r="UGY40" s="41"/>
      <c r="UGZ40" s="40"/>
      <c r="UHA40" s="38"/>
      <c r="UHB40" s="42"/>
      <c r="UHC40" s="42"/>
      <c r="UHD40" s="42"/>
      <c r="UHE40" s="38"/>
      <c r="UHF40" s="38"/>
      <c r="UHG40" s="38"/>
      <c r="UHH40" s="39"/>
      <c r="UHI40" s="38"/>
      <c r="UHJ40" s="38"/>
      <c r="UHK40" s="38"/>
      <c r="UHL40" s="40"/>
      <c r="UHM40" s="41"/>
      <c r="UHN40" s="40"/>
      <c r="UHO40" s="38"/>
      <c r="UHP40" s="42"/>
      <c r="UHQ40" s="42"/>
      <c r="UHR40" s="42"/>
      <c r="UHS40" s="38"/>
      <c r="UHT40" s="38"/>
      <c r="UHU40" s="38"/>
      <c r="UHV40" s="39"/>
      <c r="UHW40" s="38"/>
      <c r="UHX40" s="38"/>
      <c r="UHY40" s="38"/>
      <c r="UHZ40" s="40"/>
      <c r="UIA40" s="41"/>
      <c r="UIB40" s="40"/>
      <c r="UIC40" s="38"/>
      <c r="UID40" s="42"/>
      <c r="UIE40" s="42"/>
      <c r="UIF40" s="42"/>
      <c r="UIG40" s="38"/>
      <c r="UIH40" s="38"/>
      <c r="UII40" s="38"/>
      <c r="UIJ40" s="39"/>
      <c r="UIK40" s="38"/>
      <c r="UIL40" s="38"/>
      <c r="UIM40" s="38"/>
      <c r="UIN40" s="40"/>
      <c r="UIO40" s="41"/>
      <c r="UIP40" s="40"/>
      <c r="UIQ40" s="38"/>
      <c r="UIR40" s="42"/>
      <c r="UIS40" s="42"/>
      <c r="UIT40" s="42"/>
      <c r="UIU40" s="38"/>
      <c r="UIV40" s="38"/>
      <c r="UIW40" s="38"/>
      <c r="UIX40" s="39"/>
      <c r="UIY40" s="38"/>
      <c r="UIZ40" s="38"/>
      <c r="UJA40" s="38"/>
      <c r="UJB40" s="40"/>
      <c r="UJC40" s="41"/>
      <c r="UJD40" s="40"/>
      <c r="UJE40" s="38"/>
      <c r="UJF40" s="42"/>
      <c r="UJG40" s="42"/>
      <c r="UJH40" s="42"/>
      <c r="UJI40" s="38"/>
      <c r="UJJ40" s="38"/>
      <c r="UJK40" s="38"/>
      <c r="UJL40" s="39"/>
      <c r="UJM40" s="38"/>
      <c r="UJN40" s="38"/>
      <c r="UJO40" s="38"/>
      <c r="UJP40" s="40"/>
      <c r="UJQ40" s="41"/>
      <c r="UJR40" s="40"/>
      <c r="UJS40" s="38"/>
      <c r="UJT40" s="42"/>
      <c r="UJU40" s="42"/>
      <c r="UJV40" s="42"/>
      <c r="UJW40" s="38"/>
      <c r="UJX40" s="38"/>
      <c r="UJY40" s="38"/>
      <c r="UJZ40" s="39"/>
      <c r="UKA40" s="38"/>
      <c r="UKB40" s="38"/>
      <c r="UKC40" s="38"/>
      <c r="UKD40" s="40"/>
      <c r="UKE40" s="41"/>
      <c r="UKF40" s="40"/>
      <c r="UKG40" s="38"/>
      <c r="UKH40" s="42"/>
      <c r="UKI40" s="42"/>
      <c r="UKJ40" s="42"/>
      <c r="UKK40" s="38"/>
      <c r="UKL40" s="38"/>
      <c r="UKM40" s="38"/>
      <c r="UKN40" s="39"/>
      <c r="UKO40" s="38"/>
      <c r="UKP40" s="38"/>
      <c r="UKQ40" s="38"/>
      <c r="UKR40" s="40"/>
      <c r="UKS40" s="41"/>
      <c r="UKT40" s="40"/>
      <c r="UKU40" s="38"/>
      <c r="UKV40" s="42"/>
      <c r="UKW40" s="42"/>
      <c r="UKX40" s="42"/>
      <c r="UKY40" s="38"/>
      <c r="UKZ40" s="38"/>
      <c r="ULA40" s="38"/>
      <c r="ULB40" s="39"/>
      <c r="ULC40" s="38"/>
      <c r="ULD40" s="38"/>
      <c r="ULE40" s="38"/>
      <c r="ULF40" s="40"/>
      <c r="ULG40" s="41"/>
      <c r="ULH40" s="40"/>
      <c r="ULI40" s="38"/>
      <c r="ULJ40" s="42"/>
      <c r="ULK40" s="42"/>
      <c r="ULL40" s="42"/>
      <c r="ULM40" s="38"/>
      <c r="ULN40" s="38"/>
      <c r="ULO40" s="38"/>
      <c r="ULP40" s="39"/>
      <c r="ULQ40" s="38"/>
      <c r="ULR40" s="38"/>
      <c r="ULS40" s="38"/>
      <c r="ULT40" s="40"/>
      <c r="ULU40" s="41"/>
      <c r="ULV40" s="40"/>
      <c r="ULW40" s="38"/>
      <c r="ULX40" s="42"/>
      <c r="ULY40" s="42"/>
      <c r="ULZ40" s="42"/>
      <c r="UMA40" s="38"/>
      <c r="UMB40" s="38"/>
      <c r="UMC40" s="38"/>
      <c r="UMD40" s="39"/>
      <c r="UME40" s="38"/>
      <c r="UMF40" s="38"/>
      <c r="UMG40" s="38"/>
      <c r="UMH40" s="40"/>
      <c r="UMI40" s="41"/>
      <c r="UMJ40" s="40"/>
      <c r="UMK40" s="38"/>
      <c r="UML40" s="42"/>
      <c r="UMM40" s="42"/>
      <c r="UMN40" s="42"/>
      <c r="UMO40" s="38"/>
      <c r="UMP40" s="38"/>
      <c r="UMQ40" s="38"/>
      <c r="UMR40" s="39"/>
      <c r="UMS40" s="38"/>
      <c r="UMT40" s="38"/>
      <c r="UMU40" s="38"/>
      <c r="UMV40" s="40"/>
      <c r="UMW40" s="41"/>
      <c r="UMX40" s="40"/>
      <c r="UMY40" s="38"/>
      <c r="UMZ40" s="42"/>
      <c r="UNA40" s="42"/>
      <c r="UNB40" s="42"/>
      <c r="UNC40" s="38"/>
      <c r="UND40" s="38"/>
      <c r="UNE40" s="38"/>
      <c r="UNF40" s="39"/>
      <c r="UNG40" s="38"/>
      <c r="UNH40" s="38"/>
      <c r="UNI40" s="38"/>
      <c r="UNJ40" s="40"/>
      <c r="UNK40" s="41"/>
      <c r="UNL40" s="40"/>
      <c r="UNM40" s="38"/>
      <c r="UNN40" s="42"/>
      <c r="UNO40" s="42"/>
      <c r="UNP40" s="42"/>
      <c r="UNQ40" s="38"/>
      <c r="UNR40" s="38"/>
      <c r="UNS40" s="38"/>
      <c r="UNT40" s="39"/>
      <c r="UNU40" s="38"/>
      <c r="UNV40" s="38"/>
      <c r="UNW40" s="38"/>
      <c r="UNX40" s="40"/>
      <c r="UNY40" s="41"/>
      <c r="UNZ40" s="40"/>
      <c r="UOA40" s="38"/>
      <c r="UOB40" s="42"/>
      <c r="UOC40" s="42"/>
      <c r="UOD40" s="42"/>
      <c r="UOE40" s="38"/>
      <c r="UOF40" s="38"/>
      <c r="UOG40" s="38"/>
      <c r="UOH40" s="39"/>
      <c r="UOI40" s="38"/>
      <c r="UOJ40" s="38"/>
      <c r="UOK40" s="38"/>
      <c r="UOL40" s="40"/>
      <c r="UOM40" s="41"/>
      <c r="UON40" s="40"/>
      <c r="UOO40" s="38"/>
      <c r="UOP40" s="42"/>
      <c r="UOQ40" s="42"/>
      <c r="UOR40" s="42"/>
      <c r="UOS40" s="38"/>
      <c r="UOT40" s="38"/>
      <c r="UOU40" s="38"/>
      <c r="UOV40" s="39"/>
      <c r="UOW40" s="38"/>
      <c r="UOX40" s="38"/>
      <c r="UOY40" s="38"/>
      <c r="UOZ40" s="40"/>
      <c r="UPA40" s="41"/>
      <c r="UPB40" s="40"/>
      <c r="UPC40" s="38"/>
      <c r="UPD40" s="42"/>
      <c r="UPE40" s="42"/>
      <c r="UPF40" s="42"/>
      <c r="UPG40" s="38"/>
      <c r="UPH40" s="38"/>
      <c r="UPI40" s="38"/>
      <c r="UPJ40" s="39"/>
      <c r="UPK40" s="38"/>
      <c r="UPL40" s="38"/>
      <c r="UPM40" s="38"/>
      <c r="UPN40" s="40"/>
      <c r="UPO40" s="41"/>
      <c r="UPP40" s="40"/>
      <c r="UPQ40" s="38"/>
      <c r="UPR40" s="42"/>
      <c r="UPS40" s="42"/>
      <c r="UPT40" s="42"/>
      <c r="UPU40" s="38"/>
      <c r="UPV40" s="38"/>
      <c r="UPW40" s="38"/>
      <c r="UPX40" s="39"/>
      <c r="UPY40" s="38"/>
      <c r="UPZ40" s="38"/>
      <c r="UQA40" s="38"/>
      <c r="UQB40" s="40"/>
      <c r="UQC40" s="41"/>
      <c r="UQD40" s="40"/>
      <c r="UQE40" s="38"/>
      <c r="UQF40" s="42"/>
      <c r="UQG40" s="42"/>
      <c r="UQH40" s="42"/>
      <c r="UQI40" s="38"/>
      <c r="UQJ40" s="38"/>
      <c r="UQK40" s="38"/>
      <c r="UQL40" s="39"/>
      <c r="UQM40" s="38"/>
      <c r="UQN40" s="38"/>
      <c r="UQO40" s="38"/>
      <c r="UQP40" s="40"/>
      <c r="UQQ40" s="41"/>
      <c r="UQR40" s="40"/>
      <c r="UQS40" s="38"/>
      <c r="UQT40" s="42"/>
      <c r="UQU40" s="42"/>
      <c r="UQV40" s="42"/>
      <c r="UQW40" s="38"/>
      <c r="UQX40" s="38"/>
      <c r="UQY40" s="38"/>
      <c r="UQZ40" s="39"/>
      <c r="URA40" s="38"/>
      <c r="URB40" s="38"/>
      <c r="URC40" s="38"/>
      <c r="URD40" s="40"/>
      <c r="URE40" s="41"/>
      <c r="URF40" s="40"/>
      <c r="URG40" s="38"/>
      <c r="URH40" s="42"/>
      <c r="URI40" s="42"/>
      <c r="URJ40" s="42"/>
      <c r="URK40" s="38"/>
      <c r="URL40" s="38"/>
      <c r="URM40" s="38"/>
      <c r="URN40" s="39"/>
      <c r="URO40" s="38"/>
      <c r="URP40" s="38"/>
      <c r="URQ40" s="38"/>
      <c r="URR40" s="40"/>
      <c r="URS40" s="41"/>
      <c r="URT40" s="40"/>
      <c r="URU40" s="38"/>
      <c r="URV40" s="42"/>
      <c r="URW40" s="42"/>
      <c r="URX40" s="42"/>
      <c r="URY40" s="38"/>
      <c r="URZ40" s="38"/>
      <c r="USA40" s="38"/>
      <c r="USB40" s="39"/>
      <c r="USC40" s="38"/>
      <c r="USD40" s="38"/>
      <c r="USE40" s="38"/>
      <c r="USF40" s="40"/>
      <c r="USG40" s="41"/>
      <c r="USH40" s="40"/>
      <c r="USI40" s="38"/>
      <c r="USJ40" s="42"/>
      <c r="USK40" s="42"/>
      <c r="USL40" s="42"/>
      <c r="USM40" s="38"/>
      <c r="USN40" s="38"/>
      <c r="USO40" s="38"/>
      <c r="USP40" s="39"/>
      <c r="USQ40" s="38"/>
      <c r="USR40" s="38"/>
      <c r="USS40" s="38"/>
      <c r="UST40" s="40"/>
      <c r="USU40" s="41"/>
      <c r="USV40" s="40"/>
      <c r="USW40" s="38"/>
      <c r="USX40" s="42"/>
      <c r="USY40" s="42"/>
      <c r="USZ40" s="42"/>
      <c r="UTA40" s="38"/>
      <c r="UTB40" s="38"/>
      <c r="UTC40" s="38"/>
      <c r="UTD40" s="39"/>
      <c r="UTE40" s="38"/>
      <c r="UTF40" s="38"/>
      <c r="UTG40" s="38"/>
      <c r="UTH40" s="40"/>
      <c r="UTI40" s="41"/>
      <c r="UTJ40" s="40"/>
      <c r="UTK40" s="38"/>
      <c r="UTL40" s="42"/>
      <c r="UTM40" s="42"/>
      <c r="UTN40" s="42"/>
      <c r="UTO40" s="38"/>
      <c r="UTP40" s="38"/>
      <c r="UTQ40" s="38"/>
      <c r="UTR40" s="39"/>
      <c r="UTS40" s="38"/>
      <c r="UTT40" s="38"/>
      <c r="UTU40" s="38"/>
      <c r="UTV40" s="40"/>
      <c r="UTW40" s="41"/>
      <c r="UTX40" s="40"/>
      <c r="UTY40" s="38"/>
      <c r="UTZ40" s="42"/>
      <c r="UUA40" s="42"/>
      <c r="UUB40" s="42"/>
      <c r="UUC40" s="38"/>
      <c r="UUD40" s="38"/>
      <c r="UUE40" s="38"/>
      <c r="UUF40" s="39"/>
      <c r="UUG40" s="38"/>
      <c r="UUH40" s="38"/>
      <c r="UUI40" s="38"/>
      <c r="UUJ40" s="40"/>
      <c r="UUK40" s="41"/>
      <c r="UUL40" s="40"/>
      <c r="UUM40" s="38"/>
      <c r="UUN40" s="42"/>
      <c r="UUO40" s="42"/>
      <c r="UUP40" s="42"/>
      <c r="UUQ40" s="38"/>
      <c r="UUR40" s="38"/>
      <c r="UUS40" s="38"/>
      <c r="UUT40" s="39"/>
      <c r="UUU40" s="38"/>
      <c r="UUV40" s="38"/>
      <c r="UUW40" s="38"/>
      <c r="UUX40" s="40"/>
      <c r="UUY40" s="41"/>
      <c r="UUZ40" s="40"/>
      <c r="UVA40" s="38"/>
      <c r="UVB40" s="42"/>
      <c r="UVC40" s="42"/>
      <c r="UVD40" s="42"/>
      <c r="UVE40" s="38"/>
      <c r="UVF40" s="38"/>
      <c r="UVG40" s="38"/>
      <c r="UVH40" s="39"/>
      <c r="UVI40" s="38"/>
      <c r="UVJ40" s="38"/>
      <c r="UVK40" s="38"/>
      <c r="UVL40" s="40"/>
      <c r="UVM40" s="41"/>
      <c r="UVN40" s="40"/>
      <c r="UVO40" s="38"/>
      <c r="UVP40" s="42"/>
      <c r="UVQ40" s="42"/>
      <c r="UVR40" s="42"/>
      <c r="UVS40" s="38"/>
      <c r="UVT40" s="38"/>
      <c r="UVU40" s="38"/>
      <c r="UVV40" s="39"/>
      <c r="UVW40" s="38"/>
      <c r="UVX40" s="38"/>
      <c r="UVY40" s="38"/>
      <c r="UVZ40" s="40"/>
      <c r="UWA40" s="41"/>
      <c r="UWB40" s="40"/>
      <c r="UWC40" s="38"/>
      <c r="UWD40" s="42"/>
      <c r="UWE40" s="42"/>
      <c r="UWF40" s="42"/>
      <c r="UWG40" s="38"/>
      <c r="UWH40" s="38"/>
      <c r="UWI40" s="38"/>
      <c r="UWJ40" s="39"/>
      <c r="UWK40" s="38"/>
      <c r="UWL40" s="38"/>
      <c r="UWM40" s="38"/>
      <c r="UWN40" s="40"/>
      <c r="UWO40" s="41"/>
      <c r="UWP40" s="40"/>
      <c r="UWQ40" s="38"/>
      <c r="UWR40" s="42"/>
      <c r="UWS40" s="42"/>
      <c r="UWT40" s="42"/>
      <c r="UWU40" s="38"/>
      <c r="UWV40" s="38"/>
      <c r="UWW40" s="38"/>
      <c r="UWX40" s="39"/>
      <c r="UWY40" s="38"/>
      <c r="UWZ40" s="38"/>
      <c r="UXA40" s="38"/>
      <c r="UXB40" s="40"/>
      <c r="UXC40" s="41"/>
      <c r="UXD40" s="40"/>
      <c r="UXE40" s="38"/>
      <c r="UXF40" s="42"/>
      <c r="UXG40" s="42"/>
      <c r="UXH40" s="42"/>
      <c r="UXI40" s="38"/>
      <c r="UXJ40" s="38"/>
      <c r="UXK40" s="38"/>
      <c r="UXL40" s="39"/>
      <c r="UXM40" s="38"/>
      <c r="UXN40" s="38"/>
      <c r="UXO40" s="38"/>
      <c r="UXP40" s="40"/>
      <c r="UXQ40" s="41"/>
      <c r="UXR40" s="40"/>
      <c r="UXS40" s="38"/>
      <c r="UXT40" s="42"/>
      <c r="UXU40" s="42"/>
      <c r="UXV40" s="42"/>
      <c r="UXW40" s="38"/>
      <c r="UXX40" s="38"/>
      <c r="UXY40" s="38"/>
      <c r="UXZ40" s="39"/>
      <c r="UYA40" s="38"/>
      <c r="UYB40" s="38"/>
      <c r="UYC40" s="38"/>
      <c r="UYD40" s="40"/>
      <c r="UYE40" s="41"/>
      <c r="UYF40" s="40"/>
      <c r="UYG40" s="38"/>
      <c r="UYH40" s="42"/>
      <c r="UYI40" s="42"/>
      <c r="UYJ40" s="42"/>
      <c r="UYK40" s="38"/>
      <c r="UYL40" s="38"/>
      <c r="UYM40" s="38"/>
      <c r="UYN40" s="39"/>
      <c r="UYO40" s="38"/>
      <c r="UYP40" s="38"/>
      <c r="UYQ40" s="38"/>
      <c r="UYR40" s="40"/>
      <c r="UYS40" s="41"/>
      <c r="UYT40" s="40"/>
      <c r="UYU40" s="38"/>
      <c r="UYV40" s="42"/>
      <c r="UYW40" s="42"/>
      <c r="UYX40" s="42"/>
      <c r="UYY40" s="38"/>
      <c r="UYZ40" s="38"/>
      <c r="UZA40" s="38"/>
      <c r="UZB40" s="39"/>
      <c r="UZC40" s="38"/>
      <c r="UZD40" s="38"/>
      <c r="UZE40" s="38"/>
      <c r="UZF40" s="40"/>
      <c r="UZG40" s="41"/>
      <c r="UZH40" s="40"/>
      <c r="UZI40" s="38"/>
      <c r="UZJ40" s="42"/>
      <c r="UZK40" s="42"/>
      <c r="UZL40" s="42"/>
      <c r="UZM40" s="38"/>
      <c r="UZN40" s="38"/>
      <c r="UZO40" s="38"/>
      <c r="UZP40" s="39"/>
      <c r="UZQ40" s="38"/>
      <c r="UZR40" s="38"/>
      <c r="UZS40" s="38"/>
      <c r="UZT40" s="40"/>
      <c r="UZU40" s="41"/>
      <c r="UZV40" s="40"/>
      <c r="UZW40" s="38"/>
      <c r="UZX40" s="42"/>
      <c r="UZY40" s="42"/>
      <c r="UZZ40" s="42"/>
      <c r="VAA40" s="38"/>
      <c r="VAB40" s="38"/>
      <c r="VAC40" s="38"/>
      <c r="VAD40" s="39"/>
      <c r="VAE40" s="38"/>
      <c r="VAF40" s="38"/>
      <c r="VAG40" s="38"/>
      <c r="VAH40" s="40"/>
      <c r="VAI40" s="41"/>
      <c r="VAJ40" s="40"/>
      <c r="VAK40" s="38"/>
      <c r="VAL40" s="42"/>
      <c r="VAM40" s="42"/>
      <c r="VAN40" s="42"/>
      <c r="VAO40" s="38"/>
      <c r="VAP40" s="38"/>
      <c r="VAQ40" s="38"/>
      <c r="VAR40" s="39"/>
      <c r="VAS40" s="38"/>
      <c r="VAT40" s="38"/>
      <c r="VAU40" s="38"/>
      <c r="VAV40" s="40"/>
      <c r="VAW40" s="41"/>
      <c r="VAX40" s="40"/>
      <c r="VAY40" s="38"/>
      <c r="VAZ40" s="42"/>
      <c r="VBA40" s="42"/>
      <c r="VBB40" s="42"/>
      <c r="VBC40" s="38"/>
      <c r="VBD40" s="38"/>
      <c r="VBE40" s="38"/>
      <c r="VBF40" s="39"/>
      <c r="VBG40" s="38"/>
      <c r="VBH40" s="38"/>
      <c r="VBI40" s="38"/>
      <c r="VBJ40" s="40"/>
      <c r="VBK40" s="41"/>
      <c r="VBL40" s="40"/>
      <c r="VBM40" s="38"/>
      <c r="VBN40" s="42"/>
      <c r="VBO40" s="42"/>
      <c r="VBP40" s="42"/>
      <c r="VBQ40" s="38"/>
      <c r="VBR40" s="38"/>
      <c r="VBS40" s="38"/>
      <c r="VBT40" s="39"/>
      <c r="VBU40" s="38"/>
      <c r="VBV40" s="38"/>
      <c r="VBW40" s="38"/>
      <c r="VBX40" s="40"/>
      <c r="VBY40" s="41"/>
      <c r="VBZ40" s="40"/>
      <c r="VCA40" s="38"/>
      <c r="VCB40" s="42"/>
      <c r="VCC40" s="42"/>
      <c r="VCD40" s="42"/>
      <c r="VCE40" s="38"/>
      <c r="VCF40" s="38"/>
      <c r="VCG40" s="38"/>
      <c r="VCH40" s="39"/>
      <c r="VCI40" s="38"/>
      <c r="VCJ40" s="38"/>
      <c r="VCK40" s="38"/>
      <c r="VCL40" s="40"/>
      <c r="VCM40" s="41"/>
      <c r="VCN40" s="40"/>
      <c r="VCO40" s="38"/>
      <c r="VCP40" s="42"/>
      <c r="VCQ40" s="42"/>
      <c r="VCR40" s="42"/>
      <c r="VCS40" s="38"/>
      <c r="VCT40" s="38"/>
      <c r="VCU40" s="38"/>
      <c r="VCV40" s="39"/>
      <c r="VCW40" s="38"/>
      <c r="VCX40" s="38"/>
      <c r="VCY40" s="38"/>
      <c r="VCZ40" s="40"/>
      <c r="VDA40" s="41"/>
      <c r="VDB40" s="40"/>
      <c r="VDC40" s="38"/>
      <c r="VDD40" s="42"/>
      <c r="VDE40" s="42"/>
      <c r="VDF40" s="42"/>
      <c r="VDG40" s="38"/>
      <c r="VDH40" s="38"/>
      <c r="VDI40" s="38"/>
      <c r="VDJ40" s="39"/>
      <c r="VDK40" s="38"/>
      <c r="VDL40" s="38"/>
      <c r="VDM40" s="38"/>
      <c r="VDN40" s="40"/>
      <c r="VDO40" s="41"/>
      <c r="VDP40" s="40"/>
      <c r="VDQ40" s="38"/>
      <c r="VDR40" s="42"/>
      <c r="VDS40" s="42"/>
      <c r="VDT40" s="42"/>
      <c r="VDU40" s="38"/>
      <c r="VDV40" s="38"/>
      <c r="VDW40" s="38"/>
      <c r="VDX40" s="39"/>
      <c r="VDY40" s="38"/>
      <c r="VDZ40" s="38"/>
      <c r="VEA40" s="38"/>
      <c r="VEB40" s="40"/>
      <c r="VEC40" s="41"/>
      <c r="VED40" s="40"/>
      <c r="VEE40" s="38"/>
      <c r="VEF40" s="42"/>
      <c r="VEG40" s="42"/>
      <c r="VEH40" s="42"/>
      <c r="VEI40" s="38"/>
      <c r="VEJ40" s="38"/>
      <c r="VEK40" s="38"/>
      <c r="VEL40" s="39"/>
      <c r="VEM40" s="38"/>
      <c r="VEN40" s="38"/>
      <c r="VEO40" s="38"/>
      <c r="VEP40" s="40"/>
      <c r="VEQ40" s="41"/>
      <c r="VER40" s="40"/>
      <c r="VES40" s="38"/>
      <c r="VET40" s="42"/>
      <c r="VEU40" s="42"/>
      <c r="VEV40" s="42"/>
      <c r="VEW40" s="38"/>
      <c r="VEX40" s="38"/>
      <c r="VEY40" s="38"/>
      <c r="VEZ40" s="39"/>
      <c r="VFA40" s="38"/>
      <c r="VFB40" s="38"/>
      <c r="VFC40" s="38"/>
      <c r="VFD40" s="40"/>
      <c r="VFE40" s="41"/>
      <c r="VFF40" s="40"/>
      <c r="VFG40" s="38"/>
      <c r="VFH40" s="42"/>
      <c r="VFI40" s="42"/>
      <c r="VFJ40" s="42"/>
      <c r="VFK40" s="38"/>
      <c r="VFL40" s="38"/>
      <c r="VFM40" s="38"/>
      <c r="VFN40" s="39"/>
      <c r="VFO40" s="38"/>
      <c r="VFP40" s="38"/>
      <c r="VFQ40" s="38"/>
      <c r="VFR40" s="40"/>
      <c r="VFS40" s="41"/>
      <c r="VFT40" s="40"/>
      <c r="VFU40" s="38"/>
      <c r="VFV40" s="42"/>
      <c r="VFW40" s="42"/>
      <c r="VFX40" s="42"/>
      <c r="VFY40" s="38"/>
      <c r="VFZ40" s="38"/>
      <c r="VGA40" s="38"/>
      <c r="VGB40" s="39"/>
      <c r="VGC40" s="38"/>
      <c r="VGD40" s="38"/>
      <c r="VGE40" s="38"/>
      <c r="VGF40" s="40"/>
      <c r="VGG40" s="41"/>
      <c r="VGH40" s="40"/>
      <c r="VGI40" s="38"/>
      <c r="VGJ40" s="42"/>
      <c r="VGK40" s="42"/>
      <c r="VGL40" s="42"/>
      <c r="VGM40" s="38"/>
      <c r="VGN40" s="38"/>
      <c r="VGO40" s="38"/>
      <c r="VGP40" s="39"/>
      <c r="VGQ40" s="38"/>
      <c r="VGR40" s="38"/>
      <c r="VGS40" s="38"/>
      <c r="VGT40" s="40"/>
      <c r="VGU40" s="41"/>
      <c r="VGV40" s="40"/>
      <c r="VGW40" s="38"/>
      <c r="VGX40" s="42"/>
      <c r="VGY40" s="42"/>
      <c r="VGZ40" s="42"/>
      <c r="VHA40" s="38"/>
      <c r="VHB40" s="38"/>
      <c r="VHC40" s="38"/>
      <c r="VHD40" s="39"/>
      <c r="VHE40" s="38"/>
      <c r="VHF40" s="38"/>
      <c r="VHG40" s="38"/>
      <c r="VHH40" s="40"/>
      <c r="VHI40" s="41"/>
      <c r="VHJ40" s="40"/>
      <c r="VHK40" s="38"/>
      <c r="VHL40" s="42"/>
      <c r="VHM40" s="42"/>
      <c r="VHN40" s="42"/>
      <c r="VHO40" s="38"/>
      <c r="VHP40" s="38"/>
      <c r="VHQ40" s="38"/>
      <c r="VHR40" s="39"/>
      <c r="VHS40" s="38"/>
      <c r="VHT40" s="38"/>
      <c r="VHU40" s="38"/>
      <c r="VHV40" s="40"/>
      <c r="VHW40" s="41"/>
      <c r="VHX40" s="40"/>
      <c r="VHY40" s="38"/>
      <c r="VHZ40" s="42"/>
      <c r="VIA40" s="42"/>
      <c r="VIB40" s="42"/>
      <c r="VIC40" s="38"/>
      <c r="VID40" s="38"/>
      <c r="VIE40" s="38"/>
      <c r="VIF40" s="39"/>
      <c r="VIG40" s="38"/>
      <c r="VIH40" s="38"/>
      <c r="VII40" s="38"/>
      <c r="VIJ40" s="40"/>
      <c r="VIK40" s="41"/>
      <c r="VIL40" s="40"/>
      <c r="VIM40" s="38"/>
      <c r="VIN40" s="42"/>
      <c r="VIO40" s="42"/>
      <c r="VIP40" s="42"/>
      <c r="VIQ40" s="38"/>
      <c r="VIR40" s="38"/>
      <c r="VIS40" s="38"/>
      <c r="VIT40" s="39"/>
      <c r="VIU40" s="38"/>
      <c r="VIV40" s="38"/>
      <c r="VIW40" s="38"/>
      <c r="VIX40" s="40"/>
      <c r="VIY40" s="41"/>
      <c r="VIZ40" s="40"/>
      <c r="VJA40" s="38"/>
      <c r="VJB40" s="42"/>
      <c r="VJC40" s="42"/>
      <c r="VJD40" s="42"/>
      <c r="VJE40" s="38"/>
      <c r="VJF40" s="38"/>
      <c r="VJG40" s="38"/>
      <c r="VJH40" s="39"/>
      <c r="VJI40" s="38"/>
      <c r="VJJ40" s="38"/>
      <c r="VJK40" s="38"/>
      <c r="VJL40" s="40"/>
      <c r="VJM40" s="41"/>
      <c r="VJN40" s="40"/>
      <c r="VJO40" s="38"/>
      <c r="VJP40" s="42"/>
      <c r="VJQ40" s="42"/>
      <c r="VJR40" s="42"/>
      <c r="VJS40" s="38"/>
      <c r="VJT40" s="38"/>
      <c r="VJU40" s="38"/>
      <c r="VJV40" s="39"/>
      <c r="VJW40" s="38"/>
      <c r="VJX40" s="38"/>
      <c r="VJY40" s="38"/>
      <c r="VJZ40" s="40"/>
      <c r="VKA40" s="41"/>
      <c r="VKB40" s="40"/>
      <c r="VKC40" s="38"/>
      <c r="VKD40" s="42"/>
      <c r="VKE40" s="42"/>
      <c r="VKF40" s="42"/>
      <c r="VKG40" s="38"/>
      <c r="VKH40" s="38"/>
      <c r="VKI40" s="38"/>
      <c r="VKJ40" s="39"/>
      <c r="VKK40" s="38"/>
      <c r="VKL40" s="38"/>
      <c r="VKM40" s="38"/>
      <c r="VKN40" s="40"/>
      <c r="VKO40" s="41"/>
      <c r="VKP40" s="40"/>
      <c r="VKQ40" s="38"/>
      <c r="VKR40" s="42"/>
      <c r="VKS40" s="42"/>
      <c r="VKT40" s="42"/>
      <c r="VKU40" s="38"/>
      <c r="VKV40" s="38"/>
      <c r="VKW40" s="38"/>
      <c r="VKX40" s="39"/>
      <c r="VKY40" s="38"/>
      <c r="VKZ40" s="38"/>
      <c r="VLA40" s="38"/>
      <c r="VLB40" s="40"/>
      <c r="VLC40" s="41"/>
      <c r="VLD40" s="40"/>
      <c r="VLE40" s="38"/>
      <c r="VLF40" s="42"/>
      <c r="VLG40" s="42"/>
      <c r="VLH40" s="42"/>
      <c r="VLI40" s="38"/>
      <c r="VLJ40" s="38"/>
      <c r="VLK40" s="38"/>
      <c r="VLL40" s="39"/>
      <c r="VLM40" s="38"/>
      <c r="VLN40" s="38"/>
      <c r="VLO40" s="38"/>
      <c r="VLP40" s="40"/>
      <c r="VLQ40" s="41"/>
      <c r="VLR40" s="40"/>
      <c r="VLS40" s="38"/>
      <c r="VLT40" s="42"/>
      <c r="VLU40" s="42"/>
      <c r="VLV40" s="42"/>
      <c r="VLW40" s="38"/>
      <c r="VLX40" s="38"/>
      <c r="VLY40" s="38"/>
      <c r="VLZ40" s="39"/>
      <c r="VMA40" s="38"/>
      <c r="VMB40" s="38"/>
      <c r="VMC40" s="38"/>
      <c r="VMD40" s="40"/>
      <c r="VME40" s="41"/>
      <c r="VMF40" s="40"/>
      <c r="VMG40" s="38"/>
      <c r="VMH40" s="42"/>
      <c r="VMI40" s="42"/>
      <c r="VMJ40" s="42"/>
      <c r="VMK40" s="38"/>
      <c r="VML40" s="38"/>
      <c r="VMM40" s="38"/>
      <c r="VMN40" s="39"/>
      <c r="VMO40" s="38"/>
      <c r="VMP40" s="38"/>
      <c r="VMQ40" s="38"/>
      <c r="VMR40" s="40"/>
      <c r="VMS40" s="41"/>
      <c r="VMT40" s="40"/>
      <c r="VMU40" s="38"/>
      <c r="VMV40" s="42"/>
      <c r="VMW40" s="42"/>
      <c r="VMX40" s="42"/>
      <c r="VMY40" s="38"/>
      <c r="VMZ40" s="38"/>
      <c r="VNA40" s="38"/>
      <c r="VNB40" s="39"/>
      <c r="VNC40" s="38"/>
      <c r="VND40" s="38"/>
      <c r="VNE40" s="38"/>
      <c r="VNF40" s="40"/>
      <c r="VNG40" s="41"/>
      <c r="VNH40" s="40"/>
      <c r="VNI40" s="38"/>
      <c r="VNJ40" s="42"/>
      <c r="VNK40" s="42"/>
      <c r="VNL40" s="42"/>
      <c r="VNM40" s="38"/>
      <c r="VNN40" s="38"/>
      <c r="VNO40" s="38"/>
      <c r="VNP40" s="39"/>
      <c r="VNQ40" s="38"/>
      <c r="VNR40" s="38"/>
      <c r="VNS40" s="38"/>
      <c r="VNT40" s="40"/>
      <c r="VNU40" s="41"/>
      <c r="VNV40" s="40"/>
      <c r="VNW40" s="38"/>
      <c r="VNX40" s="42"/>
      <c r="VNY40" s="42"/>
      <c r="VNZ40" s="42"/>
      <c r="VOA40" s="38"/>
      <c r="VOB40" s="38"/>
      <c r="VOC40" s="38"/>
      <c r="VOD40" s="39"/>
      <c r="VOE40" s="38"/>
      <c r="VOF40" s="38"/>
      <c r="VOG40" s="38"/>
      <c r="VOH40" s="40"/>
      <c r="VOI40" s="41"/>
      <c r="VOJ40" s="40"/>
      <c r="VOK40" s="38"/>
      <c r="VOL40" s="42"/>
      <c r="VOM40" s="42"/>
      <c r="VON40" s="42"/>
      <c r="VOO40" s="38"/>
      <c r="VOP40" s="38"/>
      <c r="VOQ40" s="38"/>
      <c r="VOR40" s="39"/>
      <c r="VOS40" s="38"/>
      <c r="VOT40" s="38"/>
      <c r="VOU40" s="38"/>
      <c r="VOV40" s="40"/>
      <c r="VOW40" s="41"/>
      <c r="VOX40" s="40"/>
      <c r="VOY40" s="38"/>
      <c r="VOZ40" s="42"/>
      <c r="VPA40" s="42"/>
      <c r="VPB40" s="42"/>
      <c r="VPC40" s="38"/>
      <c r="VPD40" s="38"/>
      <c r="VPE40" s="38"/>
      <c r="VPF40" s="39"/>
      <c r="VPG40" s="38"/>
      <c r="VPH40" s="38"/>
      <c r="VPI40" s="38"/>
      <c r="VPJ40" s="40"/>
      <c r="VPK40" s="41"/>
      <c r="VPL40" s="40"/>
      <c r="VPM40" s="38"/>
      <c r="VPN40" s="42"/>
      <c r="VPO40" s="42"/>
      <c r="VPP40" s="42"/>
      <c r="VPQ40" s="38"/>
      <c r="VPR40" s="38"/>
      <c r="VPS40" s="38"/>
      <c r="VPT40" s="39"/>
      <c r="VPU40" s="38"/>
      <c r="VPV40" s="38"/>
      <c r="VPW40" s="38"/>
      <c r="VPX40" s="40"/>
      <c r="VPY40" s="41"/>
      <c r="VPZ40" s="40"/>
      <c r="VQA40" s="38"/>
      <c r="VQB40" s="42"/>
      <c r="VQC40" s="42"/>
      <c r="VQD40" s="42"/>
      <c r="VQE40" s="38"/>
      <c r="VQF40" s="38"/>
      <c r="VQG40" s="38"/>
      <c r="VQH40" s="39"/>
      <c r="VQI40" s="38"/>
      <c r="VQJ40" s="38"/>
      <c r="VQK40" s="38"/>
      <c r="VQL40" s="40"/>
      <c r="VQM40" s="41"/>
      <c r="VQN40" s="40"/>
      <c r="VQO40" s="38"/>
      <c r="VQP40" s="42"/>
      <c r="VQQ40" s="42"/>
      <c r="VQR40" s="42"/>
      <c r="VQS40" s="38"/>
      <c r="VQT40" s="38"/>
      <c r="VQU40" s="38"/>
      <c r="VQV40" s="39"/>
      <c r="VQW40" s="38"/>
      <c r="VQX40" s="38"/>
      <c r="VQY40" s="38"/>
      <c r="VQZ40" s="40"/>
      <c r="VRA40" s="41"/>
      <c r="VRB40" s="40"/>
      <c r="VRC40" s="38"/>
      <c r="VRD40" s="42"/>
      <c r="VRE40" s="42"/>
      <c r="VRF40" s="42"/>
      <c r="VRG40" s="38"/>
      <c r="VRH40" s="38"/>
      <c r="VRI40" s="38"/>
      <c r="VRJ40" s="39"/>
      <c r="VRK40" s="38"/>
      <c r="VRL40" s="38"/>
      <c r="VRM40" s="38"/>
      <c r="VRN40" s="40"/>
      <c r="VRO40" s="41"/>
      <c r="VRP40" s="40"/>
      <c r="VRQ40" s="38"/>
      <c r="VRR40" s="42"/>
      <c r="VRS40" s="42"/>
      <c r="VRT40" s="42"/>
      <c r="VRU40" s="38"/>
      <c r="VRV40" s="38"/>
      <c r="VRW40" s="38"/>
      <c r="VRX40" s="39"/>
      <c r="VRY40" s="38"/>
      <c r="VRZ40" s="38"/>
      <c r="VSA40" s="38"/>
      <c r="VSB40" s="40"/>
      <c r="VSC40" s="41"/>
      <c r="VSD40" s="40"/>
      <c r="VSE40" s="38"/>
      <c r="VSF40" s="42"/>
      <c r="VSG40" s="42"/>
      <c r="VSH40" s="42"/>
      <c r="VSI40" s="38"/>
      <c r="VSJ40" s="38"/>
      <c r="VSK40" s="38"/>
      <c r="VSL40" s="39"/>
      <c r="VSM40" s="38"/>
      <c r="VSN40" s="38"/>
      <c r="VSO40" s="38"/>
      <c r="VSP40" s="40"/>
      <c r="VSQ40" s="41"/>
      <c r="VSR40" s="40"/>
      <c r="VSS40" s="38"/>
      <c r="VST40" s="42"/>
      <c r="VSU40" s="42"/>
      <c r="VSV40" s="42"/>
      <c r="VSW40" s="38"/>
      <c r="VSX40" s="38"/>
      <c r="VSY40" s="38"/>
      <c r="VSZ40" s="39"/>
      <c r="VTA40" s="38"/>
      <c r="VTB40" s="38"/>
      <c r="VTC40" s="38"/>
      <c r="VTD40" s="40"/>
      <c r="VTE40" s="41"/>
      <c r="VTF40" s="40"/>
      <c r="VTG40" s="38"/>
      <c r="VTH40" s="42"/>
      <c r="VTI40" s="42"/>
      <c r="VTJ40" s="42"/>
      <c r="VTK40" s="38"/>
      <c r="VTL40" s="38"/>
      <c r="VTM40" s="38"/>
      <c r="VTN40" s="39"/>
      <c r="VTO40" s="38"/>
      <c r="VTP40" s="38"/>
      <c r="VTQ40" s="38"/>
      <c r="VTR40" s="40"/>
      <c r="VTS40" s="41"/>
      <c r="VTT40" s="40"/>
      <c r="VTU40" s="38"/>
      <c r="VTV40" s="42"/>
      <c r="VTW40" s="42"/>
      <c r="VTX40" s="42"/>
      <c r="VTY40" s="38"/>
      <c r="VTZ40" s="38"/>
      <c r="VUA40" s="38"/>
      <c r="VUB40" s="39"/>
      <c r="VUC40" s="38"/>
      <c r="VUD40" s="38"/>
      <c r="VUE40" s="38"/>
      <c r="VUF40" s="40"/>
      <c r="VUG40" s="41"/>
      <c r="VUH40" s="40"/>
      <c r="VUI40" s="38"/>
      <c r="VUJ40" s="42"/>
      <c r="VUK40" s="42"/>
      <c r="VUL40" s="42"/>
      <c r="VUM40" s="38"/>
      <c r="VUN40" s="38"/>
      <c r="VUO40" s="38"/>
      <c r="VUP40" s="39"/>
      <c r="VUQ40" s="38"/>
      <c r="VUR40" s="38"/>
      <c r="VUS40" s="38"/>
      <c r="VUT40" s="40"/>
      <c r="VUU40" s="41"/>
      <c r="VUV40" s="40"/>
      <c r="VUW40" s="38"/>
      <c r="VUX40" s="42"/>
      <c r="VUY40" s="42"/>
      <c r="VUZ40" s="42"/>
      <c r="VVA40" s="38"/>
      <c r="VVB40" s="38"/>
      <c r="VVC40" s="38"/>
      <c r="VVD40" s="39"/>
      <c r="VVE40" s="38"/>
      <c r="VVF40" s="38"/>
      <c r="VVG40" s="38"/>
      <c r="VVH40" s="40"/>
      <c r="VVI40" s="41"/>
      <c r="VVJ40" s="40"/>
      <c r="VVK40" s="38"/>
      <c r="VVL40" s="42"/>
      <c r="VVM40" s="42"/>
      <c r="VVN40" s="42"/>
      <c r="VVO40" s="38"/>
      <c r="VVP40" s="38"/>
      <c r="VVQ40" s="38"/>
      <c r="VVR40" s="39"/>
      <c r="VVS40" s="38"/>
      <c r="VVT40" s="38"/>
      <c r="VVU40" s="38"/>
      <c r="VVV40" s="40"/>
      <c r="VVW40" s="41"/>
      <c r="VVX40" s="40"/>
      <c r="VVY40" s="38"/>
      <c r="VVZ40" s="42"/>
      <c r="VWA40" s="42"/>
      <c r="VWB40" s="42"/>
      <c r="VWC40" s="38"/>
      <c r="VWD40" s="38"/>
      <c r="VWE40" s="38"/>
      <c r="VWF40" s="39"/>
      <c r="VWG40" s="38"/>
      <c r="VWH40" s="38"/>
      <c r="VWI40" s="38"/>
      <c r="VWJ40" s="40"/>
      <c r="VWK40" s="41"/>
      <c r="VWL40" s="40"/>
      <c r="VWM40" s="38"/>
      <c r="VWN40" s="42"/>
      <c r="VWO40" s="42"/>
      <c r="VWP40" s="42"/>
      <c r="VWQ40" s="38"/>
      <c r="VWR40" s="38"/>
      <c r="VWS40" s="38"/>
      <c r="VWT40" s="39"/>
      <c r="VWU40" s="38"/>
      <c r="VWV40" s="38"/>
      <c r="VWW40" s="38"/>
      <c r="VWX40" s="40"/>
      <c r="VWY40" s="41"/>
      <c r="VWZ40" s="40"/>
      <c r="VXA40" s="38"/>
      <c r="VXB40" s="42"/>
      <c r="VXC40" s="42"/>
      <c r="VXD40" s="42"/>
      <c r="VXE40" s="38"/>
      <c r="VXF40" s="38"/>
      <c r="VXG40" s="38"/>
      <c r="VXH40" s="39"/>
      <c r="VXI40" s="38"/>
      <c r="VXJ40" s="38"/>
      <c r="VXK40" s="38"/>
      <c r="VXL40" s="40"/>
      <c r="VXM40" s="41"/>
      <c r="VXN40" s="40"/>
      <c r="VXO40" s="38"/>
      <c r="VXP40" s="42"/>
      <c r="VXQ40" s="42"/>
      <c r="VXR40" s="42"/>
      <c r="VXS40" s="38"/>
      <c r="VXT40" s="38"/>
      <c r="VXU40" s="38"/>
      <c r="VXV40" s="39"/>
      <c r="VXW40" s="38"/>
      <c r="VXX40" s="38"/>
      <c r="VXY40" s="38"/>
      <c r="VXZ40" s="40"/>
      <c r="VYA40" s="41"/>
      <c r="VYB40" s="40"/>
      <c r="VYC40" s="38"/>
      <c r="VYD40" s="42"/>
      <c r="VYE40" s="42"/>
      <c r="VYF40" s="42"/>
      <c r="VYG40" s="38"/>
      <c r="VYH40" s="38"/>
      <c r="VYI40" s="38"/>
      <c r="VYJ40" s="39"/>
      <c r="VYK40" s="38"/>
      <c r="VYL40" s="38"/>
      <c r="VYM40" s="38"/>
      <c r="VYN40" s="40"/>
      <c r="VYO40" s="41"/>
      <c r="VYP40" s="40"/>
      <c r="VYQ40" s="38"/>
      <c r="VYR40" s="42"/>
      <c r="VYS40" s="42"/>
      <c r="VYT40" s="42"/>
      <c r="VYU40" s="38"/>
      <c r="VYV40" s="38"/>
      <c r="VYW40" s="38"/>
      <c r="VYX40" s="39"/>
      <c r="VYY40" s="38"/>
      <c r="VYZ40" s="38"/>
      <c r="VZA40" s="38"/>
      <c r="VZB40" s="40"/>
      <c r="VZC40" s="41"/>
      <c r="VZD40" s="40"/>
      <c r="VZE40" s="38"/>
      <c r="VZF40" s="42"/>
      <c r="VZG40" s="42"/>
      <c r="VZH40" s="42"/>
      <c r="VZI40" s="38"/>
      <c r="VZJ40" s="38"/>
      <c r="VZK40" s="38"/>
      <c r="VZL40" s="39"/>
      <c r="VZM40" s="38"/>
      <c r="VZN40" s="38"/>
      <c r="VZO40" s="38"/>
      <c r="VZP40" s="40"/>
      <c r="VZQ40" s="41"/>
      <c r="VZR40" s="40"/>
      <c r="VZS40" s="38"/>
      <c r="VZT40" s="42"/>
      <c r="VZU40" s="42"/>
      <c r="VZV40" s="42"/>
      <c r="VZW40" s="38"/>
      <c r="VZX40" s="38"/>
      <c r="VZY40" s="38"/>
      <c r="VZZ40" s="39"/>
      <c r="WAA40" s="38"/>
      <c r="WAB40" s="38"/>
      <c r="WAC40" s="38"/>
      <c r="WAD40" s="40"/>
      <c r="WAE40" s="41"/>
      <c r="WAF40" s="40"/>
      <c r="WAG40" s="38"/>
      <c r="WAH40" s="42"/>
      <c r="WAI40" s="42"/>
      <c r="WAJ40" s="42"/>
      <c r="WAK40" s="38"/>
      <c r="WAL40" s="38"/>
      <c r="WAM40" s="38"/>
      <c r="WAN40" s="39"/>
      <c r="WAO40" s="38"/>
      <c r="WAP40" s="38"/>
      <c r="WAQ40" s="38"/>
      <c r="WAR40" s="40"/>
      <c r="WAS40" s="41"/>
      <c r="WAT40" s="40"/>
      <c r="WAU40" s="38"/>
      <c r="WAV40" s="42"/>
      <c r="WAW40" s="42"/>
      <c r="WAX40" s="42"/>
      <c r="WAY40" s="38"/>
      <c r="WAZ40" s="38"/>
      <c r="WBA40" s="38"/>
      <c r="WBB40" s="39"/>
      <c r="WBC40" s="38"/>
      <c r="WBD40" s="38"/>
      <c r="WBE40" s="38"/>
      <c r="WBF40" s="40"/>
      <c r="WBG40" s="41"/>
      <c r="WBH40" s="40"/>
      <c r="WBI40" s="38"/>
      <c r="WBJ40" s="42"/>
      <c r="WBK40" s="42"/>
      <c r="WBL40" s="42"/>
      <c r="WBM40" s="38"/>
      <c r="WBN40" s="38"/>
      <c r="WBO40" s="38"/>
      <c r="WBP40" s="39"/>
      <c r="WBQ40" s="38"/>
      <c r="WBR40" s="38"/>
      <c r="WBS40" s="38"/>
      <c r="WBT40" s="40"/>
      <c r="WBU40" s="41"/>
      <c r="WBV40" s="40"/>
      <c r="WBW40" s="38"/>
      <c r="WBX40" s="42"/>
      <c r="WBY40" s="42"/>
      <c r="WBZ40" s="42"/>
      <c r="WCA40" s="38"/>
      <c r="WCB40" s="38"/>
      <c r="WCC40" s="38"/>
      <c r="WCD40" s="39"/>
      <c r="WCE40" s="38"/>
      <c r="WCF40" s="38"/>
      <c r="WCG40" s="38"/>
      <c r="WCH40" s="40"/>
      <c r="WCI40" s="41"/>
      <c r="WCJ40" s="40"/>
      <c r="WCK40" s="38"/>
      <c r="WCL40" s="42"/>
      <c r="WCM40" s="42"/>
      <c r="WCN40" s="42"/>
      <c r="WCO40" s="38"/>
      <c r="WCP40" s="38"/>
      <c r="WCQ40" s="38"/>
      <c r="WCR40" s="39"/>
      <c r="WCS40" s="38"/>
      <c r="WCT40" s="38"/>
      <c r="WCU40" s="38"/>
      <c r="WCV40" s="40"/>
      <c r="WCW40" s="41"/>
      <c r="WCX40" s="40"/>
      <c r="WCY40" s="38"/>
      <c r="WCZ40" s="42"/>
      <c r="WDA40" s="42"/>
      <c r="WDB40" s="42"/>
      <c r="WDC40" s="38"/>
      <c r="WDD40" s="38"/>
      <c r="WDE40" s="38"/>
      <c r="WDF40" s="39"/>
      <c r="WDG40" s="38"/>
      <c r="WDH40" s="38"/>
      <c r="WDI40" s="38"/>
      <c r="WDJ40" s="40"/>
      <c r="WDK40" s="41"/>
      <c r="WDL40" s="40"/>
      <c r="WDM40" s="38"/>
      <c r="WDN40" s="42"/>
      <c r="WDO40" s="42"/>
      <c r="WDP40" s="42"/>
      <c r="WDQ40" s="38"/>
      <c r="WDR40" s="38"/>
      <c r="WDS40" s="38"/>
      <c r="WDT40" s="39"/>
      <c r="WDU40" s="38"/>
      <c r="WDV40" s="38"/>
      <c r="WDW40" s="38"/>
      <c r="WDX40" s="40"/>
      <c r="WDY40" s="41"/>
      <c r="WDZ40" s="40"/>
      <c r="WEA40" s="38"/>
      <c r="WEB40" s="42"/>
      <c r="WEC40" s="42"/>
      <c r="WED40" s="42"/>
      <c r="WEE40" s="38"/>
      <c r="WEF40" s="38"/>
      <c r="WEG40" s="38"/>
      <c r="WEH40" s="39"/>
      <c r="WEI40" s="38"/>
      <c r="WEJ40" s="38"/>
      <c r="WEK40" s="38"/>
      <c r="WEL40" s="40"/>
      <c r="WEM40" s="41"/>
      <c r="WEN40" s="40"/>
      <c r="WEO40" s="38"/>
      <c r="WEP40" s="42"/>
      <c r="WEQ40" s="42"/>
      <c r="WER40" s="42"/>
      <c r="WES40" s="38"/>
      <c r="WET40" s="38"/>
      <c r="WEU40" s="38"/>
      <c r="WEV40" s="39"/>
      <c r="WEW40" s="38"/>
      <c r="WEX40" s="38"/>
      <c r="WEY40" s="38"/>
      <c r="WEZ40" s="40"/>
      <c r="WFA40" s="41"/>
      <c r="WFB40" s="40"/>
      <c r="WFC40" s="38"/>
      <c r="WFD40" s="42"/>
      <c r="WFE40" s="42"/>
      <c r="WFF40" s="42"/>
      <c r="WFG40" s="38"/>
      <c r="WFH40" s="38"/>
      <c r="WFI40" s="38"/>
      <c r="WFJ40" s="39"/>
      <c r="WFK40" s="38"/>
      <c r="WFL40" s="38"/>
      <c r="WFM40" s="38"/>
      <c r="WFN40" s="40"/>
      <c r="WFO40" s="41"/>
      <c r="WFP40" s="40"/>
      <c r="WFQ40" s="38"/>
      <c r="WFR40" s="42"/>
      <c r="WFS40" s="42"/>
      <c r="WFT40" s="42"/>
      <c r="WFU40" s="38"/>
      <c r="WFV40" s="38"/>
      <c r="WFW40" s="38"/>
      <c r="WFX40" s="39"/>
      <c r="WFY40" s="38"/>
      <c r="WFZ40" s="38"/>
      <c r="WGA40" s="38"/>
      <c r="WGB40" s="40"/>
      <c r="WGC40" s="41"/>
      <c r="WGD40" s="40"/>
      <c r="WGE40" s="38"/>
      <c r="WGF40" s="42"/>
      <c r="WGG40" s="42"/>
      <c r="WGH40" s="42"/>
      <c r="WGI40" s="38"/>
      <c r="WGJ40" s="38"/>
      <c r="WGK40" s="38"/>
      <c r="WGL40" s="39"/>
      <c r="WGM40" s="38"/>
      <c r="WGN40" s="38"/>
      <c r="WGO40" s="38"/>
      <c r="WGP40" s="40"/>
      <c r="WGQ40" s="41"/>
      <c r="WGR40" s="40"/>
      <c r="WGS40" s="38"/>
      <c r="WGT40" s="42"/>
      <c r="WGU40" s="42"/>
      <c r="WGV40" s="42"/>
      <c r="WGW40" s="38"/>
      <c r="WGX40" s="38"/>
      <c r="WGY40" s="38"/>
      <c r="WGZ40" s="39"/>
      <c r="WHA40" s="38"/>
      <c r="WHB40" s="38"/>
      <c r="WHC40" s="38"/>
      <c r="WHD40" s="40"/>
      <c r="WHE40" s="41"/>
      <c r="WHF40" s="40"/>
      <c r="WHG40" s="38"/>
      <c r="WHH40" s="42"/>
      <c r="WHI40" s="42"/>
      <c r="WHJ40" s="42"/>
      <c r="WHK40" s="38"/>
      <c r="WHL40" s="38"/>
      <c r="WHM40" s="38"/>
      <c r="WHN40" s="39"/>
      <c r="WHO40" s="38"/>
      <c r="WHP40" s="38"/>
      <c r="WHQ40" s="38"/>
      <c r="WHR40" s="40"/>
      <c r="WHS40" s="41"/>
      <c r="WHT40" s="40"/>
      <c r="WHU40" s="38"/>
      <c r="WHV40" s="42"/>
      <c r="WHW40" s="42"/>
      <c r="WHX40" s="42"/>
      <c r="WHY40" s="38"/>
      <c r="WHZ40" s="38"/>
      <c r="WIA40" s="38"/>
      <c r="WIB40" s="39"/>
      <c r="WIC40" s="38"/>
      <c r="WID40" s="38"/>
      <c r="WIE40" s="38"/>
      <c r="WIF40" s="40"/>
      <c r="WIG40" s="41"/>
      <c r="WIH40" s="40"/>
      <c r="WII40" s="38"/>
      <c r="WIJ40" s="42"/>
      <c r="WIK40" s="42"/>
      <c r="WIL40" s="42"/>
      <c r="WIM40" s="38"/>
      <c r="WIN40" s="38"/>
      <c r="WIO40" s="38"/>
      <c r="WIP40" s="39"/>
      <c r="WIQ40" s="38"/>
      <c r="WIR40" s="38"/>
      <c r="WIS40" s="38"/>
      <c r="WIT40" s="40"/>
      <c r="WIU40" s="41"/>
      <c r="WIV40" s="40"/>
      <c r="WIW40" s="38"/>
      <c r="WIX40" s="42"/>
      <c r="WIY40" s="42"/>
      <c r="WIZ40" s="42"/>
      <c r="WJA40" s="38"/>
      <c r="WJB40" s="38"/>
      <c r="WJC40" s="38"/>
      <c r="WJD40" s="39"/>
      <c r="WJE40" s="38"/>
      <c r="WJF40" s="38"/>
      <c r="WJG40" s="38"/>
      <c r="WJH40" s="40"/>
      <c r="WJI40" s="41"/>
      <c r="WJJ40" s="40"/>
      <c r="WJK40" s="38"/>
      <c r="WJL40" s="42"/>
      <c r="WJM40" s="42"/>
      <c r="WJN40" s="42"/>
      <c r="WJO40" s="38"/>
      <c r="WJP40" s="38"/>
      <c r="WJQ40" s="38"/>
      <c r="WJR40" s="39"/>
      <c r="WJS40" s="38"/>
      <c r="WJT40" s="38"/>
      <c r="WJU40" s="38"/>
      <c r="WJV40" s="40"/>
      <c r="WJW40" s="41"/>
      <c r="WJX40" s="40"/>
      <c r="WJY40" s="38"/>
      <c r="WJZ40" s="42"/>
      <c r="WKA40" s="42"/>
      <c r="WKB40" s="42"/>
      <c r="WKC40" s="38"/>
      <c r="WKD40" s="38"/>
      <c r="WKE40" s="38"/>
      <c r="WKF40" s="39"/>
      <c r="WKG40" s="38"/>
      <c r="WKH40" s="38"/>
      <c r="WKI40" s="38"/>
      <c r="WKJ40" s="40"/>
      <c r="WKK40" s="41"/>
      <c r="WKL40" s="40"/>
      <c r="WKM40" s="38"/>
      <c r="WKN40" s="42"/>
      <c r="WKO40" s="42"/>
      <c r="WKP40" s="42"/>
      <c r="WKQ40" s="38"/>
      <c r="WKR40" s="38"/>
      <c r="WKS40" s="38"/>
      <c r="WKT40" s="39"/>
      <c r="WKU40" s="38"/>
      <c r="WKV40" s="38"/>
      <c r="WKW40" s="38"/>
      <c r="WKX40" s="40"/>
      <c r="WKY40" s="41"/>
      <c r="WKZ40" s="40"/>
      <c r="WLA40" s="38"/>
      <c r="WLB40" s="42"/>
      <c r="WLC40" s="42"/>
      <c r="WLD40" s="42"/>
      <c r="WLE40" s="38"/>
      <c r="WLF40" s="38"/>
      <c r="WLG40" s="38"/>
      <c r="WLH40" s="39"/>
      <c r="WLI40" s="38"/>
      <c r="WLJ40" s="38"/>
      <c r="WLK40" s="38"/>
      <c r="WLL40" s="40"/>
      <c r="WLM40" s="41"/>
      <c r="WLN40" s="40"/>
      <c r="WLO40" s="38"/>
      <c r="WLP40" s="42"/>
      <c r="WLQ40" s="42"/>
      <c r="WLR40" s="42"/>
      <c r="WLS40" s="38"/>
      <c r="WLT40" s="38"/>
      <c r="WLU40" s="38"/>
      <c r="WLV40" s="39"/>
      <c r="WLW40" s="38"/>
      <c r="WLX40" s="38"/>
      <c r="WLY40" s="38"/>
      <c r="WLZ40" s="40"/>
      <c r="WMA40" s="41"/>
      <c r="WMB40" s="40"/>
      <c r="WMC40" s="38"/>
      <c r="WMD40" s="42"/>
      <c r="WME40" s="42"/>
      <c r="WMF40" s="42"/>
      <c r="WMG40" s="38"/>
      <c r="WMH40" s="38"/>
      <c r="WMI40" s="38"/>
      <c r="WMJ40" s="39"/>
      <c r="WMK40" s="38"/>
      <c r="WML40" s="38"/>
      <c r="WMM40" s="38"/>
      <c r="WMN40" s="40"/>
      <c r="WMO40" s="41"/>
      <c r="WMP40" s="40"/>
      <c r="WMQ40" s="38"/>
      <c r="WMR40" s="42"/>
      <c r="WMS40" s="42"/>
      <c r="WMT40" s="42"/>
      <c r="WMU40" s="38"/>
      <c r="WMV40" s="38"/>
      <c r="WMW40" s="38"/>
      <c r="WMX40" s="39"/>
      <c r="WMY40" s="38"/>
      <c r="WMZ40" s="38"/>
      <c r="WNA40" s="38"/>
      <c r="WNB40" s="40"/>
      <c r="WNC40" s="41"/>
      <c r="WND40" s="40"/>
      <c r="WNE40" s="38"/>
      <c r="WNF40" s="42"/>
      <c r="WNG40" s="42"/>
      <c r="WNH40" s="42"/>
      <c r="WNI40" s="38"/>
      <c r="WNJ40" s="38"/>
      <c r="WNK40" s="38"/>
      <c r="WNL40" s="39"/>
      <c r="WNM40" s="38"/>
      <c r="WNN40" s="38"/>
      <c r="WNO40" s="38"/>
      <c r="WNP40" s="40"/>
      <c r="WNQ40" s="41"/>
      <c r="WNR40" s="40"/>
      <c r="WNS40" s="38"/>
      <c r="WNT40" s="42"/>
      <c r="WNU40" s="42"/>
      <c r="WNV40" s="42"/>
      <c r="WNW40" s="38"/>
      <c r="WNX40" s="38"/>
      <c r="WNY40" s="38"/>
      <c r="WNZ40" s="39"/>
      <c r="WOA40" s="38"/>
      <c r="WOB40" s="38"/>
      <c r="WOC40" s="38"/>
      <c r="WOD40" s="40"/>
      <c r="WOE40" s="41"/>
      <c r="WOF40" s="40"/>
      <c r="WOG40" s="38"/>
      <c r="WOH40" s="42"/>
      <c r="WOI40" s="42"/>
      <c r="WOJ40" s="42"/>
      <c r="WOK40" s="38"/>
      <c r="WOL40" s="38"/>
      <c r="WOM40" s="38"/>
      <c r="WON40" s="39"/>
      <c r="WOO40" s="38"/>
      <c r="WOP40" s="38"/>
      <c r="WOQ40" s="38"/>
      <c r="WOR40" s="40"/>
      <c r="WOS40" s="41"/>
      <c r="WOT40" s="40"/>
      <c r="WOU40" s="38"/>
      <c r="WOV40" s="42"/>
      <c r="WOW40" s="42"/>
      <c r="WOX40" s="42"/>
      <c r="WOY40" s="38"/>
      <c r="WOZ40" s="38"/>
      <c r="WPA40" s="38"/>
      <c r="WPB40" s="39"/>
      <c r="WPC40" s="38"/>
      <c r="WPD40" s="38"/>
      <c r="WPE40" s="38"/>
      <c r="WPF40" s="40"/>
      <c r="WPG40" s="41"/>
      <c r="WPH40" s="40"/>
      <c r="WPI40" s="38"/>
      <c r="WPJ40" s="42"/>
      <c r="WPK40" s="42"/>
      <c r="WPL40" s="42"/>
      <c r="WPM40" s="38"/>
      <c r="WPN40" s="38"/>
      <c r="WPO40" s="38"/>
      <c r="WPP40" s="39"/>
      <c r="WPQ40" s="38"/>
      <c r="WPR40" s="38"/>
      <c r="WPS40" s="38"/>
      <c r="WPT40" s="40"/>
      <c r="WPU40" s="41"/>
      <c r="WPV40" s="40"/>
      <c r="WPW40" s="38"/>
      <c r="WPX40" s="42"/>
      <c r="WPY40" s="42"/>
      <c r="WPZ40" s="42"/>
      <c r="WQA40" s="38"/>
      <c r="WQB40" s="38"/>
      <c r="WQC40" s="38"/>
      <c r="WQD40" s="39"/>
      <c r="WQE40" s="38"/>
      <c r="WQF40" s="38"/>
      <c r="WQG40" s="38"/>
      <c r="WQH40" s="40"/>
      <c r="WQI40" s="41"/>
      <c r="WQJ40" s="40"/>
      <c r="WQK40" s="38"/>
      <c r="WQL40" s="42"/>
      <c r="WQM40" s="42"/>
      <c r="WQN40" s="42"/>
      <c r="WQO40" s="38"/>
      <c r="WQP40" s="38"/>
      <c r="WQQ40" s="38"/>
      <c r="WQR40" s="39"/>
      <c r="WQS40" s="38"/>
      <c r="WQT40" s="38"/>
      <c r="WQU40" s="38"/>
      <c r="WQV40" s="40"/>
      <c r="WQW40" s="41"/>
      <c r="WQX40" s="40"/>
      <c r="WQY40" s="38"/>
      <c r="WQZ40" s="42"/>
      <c r="WRA40" s="42"/>
      <c r="WRB40" s="42"/>
      <c r="WRC40" s="38"/>
      <c r="WRD40" s="38"/>
      <c r="WRE40" s="38"/>
      <c r="WRF40" s="39"/>
      <c r="WRG40" s="38"/>
      <c r="WRH40" s="38"/>
      <c r="WRI40" s="38"/>
      <c r="WRJ40" s="40"/>
      <c r="WRK40" s="41"/>
      <c r="WRL40" s="40"/>
      <c r="WRM40" s="38"/>
      <c r="WRN40" s="42"/>
      <c r="WRO40" s="42"/>
      <c r="WRP40" s="42"/>
      <c r="WRQ40" s="38"/>
      <c r="WRR40" s="38"/>
      <c r="WRS40" s="38"/>
      <c r="WRT40" s="39"/>
      <c r="WRU40" s="38"/>
      <c r="WRV40" s="38"/>
      <c r="WRW40" s="38"/>
      <c r="WRX40" s="40"/>
      <c r="WRY40" s="41"/>
      <c r="WRZ40" s="40"/>
      <c r="WSA40" s="38"/>
      <c r="WSB40" s="42"/>
      <c r="WSC40" s="42"/>
      <c r="WSD40" s="42"/>
      <c r="WSE40" s="38"/>
      <c r="WSF40" s="38"/>
      <c r="WSG40" s="38"/>
      <c r="WSH40" s="39"/>
      <c r="WSI40" s="38"/>
      <c r="WSJ40" s="38"/>
      <c r="WSK40" s="38"/>
      <c r="WSL40" s="40"/>
      <c r="WSM40" s="41"/>
      <c r="WSN40" s="40"/>
      <c r="WSO40" s="38"/>
      <c r="WSP40" s="42"/>
      <c r="WSQ40" s="42"/>
      <c r="WSR40" s="42"/>
      <c r="WSS40" s="38"/>
      <c r="WST40" s="38"/>
      <c r="WSU40" s="38"/>
      <c r="WSV40" s="39"/>
      <c r="WSW40" s="38"/>
      <c r="WSX40" s="38"/>
      <c r="WSY40" s="38"/>
      <c r="WSZ40" s="40"/>
      <c r="WTA40" s="41"/>
      <c r="WTB40" s="40"/>
      <c r="WTC40" s="38"/>
      <c r="WTD40" s="42"/>
      <c r="WTE40" s="42"/>
      <c r="WTF40" s="42"/>
      <c r="WTG40" s="38"/>
      <c r="WTH40" s="38"/>
      <c r="WTI40" s="38"/>
      <c r="WTJ40" s="39"/>
      <c r="WTK40" s="38"/>
      <c r="WTL40" s="38"/>
      <c r="WTM40" s="38"/>
      <c r="WTN40" s="40"/>
      <c r="WTO40" s="41"/>
      <c r="WTP40" s="40"/>
      <c r="WTQ40" s="38"/>
      <c r="WTR40" s="42"/>
      <c r="WTS40" s="42"/>
      <c r="WTT40" s="42"/>
      <c r="WTU40" s="38"/>
      <c r="WTV40" s="38"/>
      <c r="WTW40" s="38"/>
      <c r="WTX40" s="39"/>
      <c r="WTY40" s="38"/>
      <c r="WTZ40" s="38"/>
      <c r="WUA40" s="38"/>
      <c r="WUB40" s="40"/>
      <c r="WUC40" s="41"/>
      <c r="WUD40" s="40"/>
      <c r="WUE40" s="38"/>
      <c r="WUF40" s="42"/>
      <c r="WUG40" s="42"/>
      <c r="WUH40" s="42"/>
      <c r="WUI40" s="38"/>
      <c r="WUJ40" s="38"/>
      <c r="WUK40" s="38"/>
      <c r="WUL40" s="39"/>
      <c r="WUM40" s="38"/>
      <c r="WUN40" s="38"/>
      <c r="WUO40" s="38"/>
      <c r="WUP40" s="40"/>
      <c r="WUQ40" s="41"/>
      <c r="WUR40" s="40"/>
      <c r="WUS40" s="38"/>
      <c r="WUT40" s="42"/>
      <c r="WUU40" s="42"/>
      <c r="WUV40" s="42"/>
      <c r="WUW40" s="38"/>
      <c r="WUX40" s="38"/>
      <c r="WUY40" s="38"/>
      <c r="WUZ40" s="39"/>
      <c r="WVA40" s="38"/>
      <c r="WVB40" s="38"/>
      <c r="WVC40" s="38"/>
      <c r="WVD40" s="40"/>
      <c r="WVE40" s="41"/>
      <c r="WVF40" s="40"/>
      <c r="WVG40" s="38"/>
      <c r="WVH40" s="42"/>
      <c r="WVI40" s="42"/>
      <c r="WVJ40" s="42"/>
      <c r="WVK40" s="38"/>
      <c r="WVL40" s="38"/>
      <c r="WVM40" s="38"/>
      <c r="WVN40" s="39"/>
      <c r="WVO40" s="38"/>
      <c r="WVP40" s="38"/>
      <c r="WVQ40" s="38"/>
      <c r="WVR40" s="40"/>
      <c r="WVS40" s="41"/>
      <c r="WVT40" s="40"/>
      <c r="WVU40" s="38"/>
      <c r="WVV40" s="42"/>
      <c r="WVW40" s="42"/>
      <c r="WVX40" s="42"/>
      <c r="WVY40" s="38"/>
      <c r="WVZ40" s="38"/>
      <c r="WWA40" s="38"/>
      <c r="WWB40" s="39"/>
      <c r="WWC40" s="38"/>
      <c r="WWD40" s="38"/>
      <c r="WWE40" s="38"/>
      <c r="WWF40" s="40"/>
      <c r="WWG40" s="41"/>
      <c r="WWH40" s="40"/>
      <c r="WWI40" s="38"/>
      <c r="WWJ40" s="42"/>
      <c r="WWK40" s="42"/>
      <c r="WWL40" s="42"/>
      <c r="WWM40" s="38"/>
      <c r="WWN40" s="38"/>
      <c r="WWO40" s="38"/>
      <c r="WWP40" s="39"/>
      <c r="WWQ40" s="38"/>
      <c r="WWR40" s="38"/>
      <c r="WWS40" s="38"/>
      <c r="WWT40" s="40"/>
      <c r="WWU40" s="41"/>
      <c r="WWV40" s="40"/>
      <c r="WWW40" s="38"/>
      <c r="WWX40" s="42"/>
      <c r="WWY40" s="42"/>
      <c r="WWZ40" s="42"/>
      <c r="WXA40" s="38"/>
      <c r="WXB40" s="38"/>
      <c r="WXC40" s="38"/>
      <c r="WXD40" s="39"/>
      <c r="WXE40" s="38"/>
      <c r="WXF40" s="38"/>
      <c r="WXG40" s="38"/>
      <c r="WXH40" s="40"/>
      <c r="WXI40" s="41"/>
      <c r="WXJ40" s="40"/>
      <c r="WXK40" s="38"/>
      <c r="WXL40" s="42"/>
      <c r="WXM40" s="42"/>
      <c r="WXN40" s="42"/>
      <c r="WXO40" s="38"/>
      <c r="WXP40" s="38"/>
      <c r="WXQ40" s="38"/>
      <c r="WXR40" s="39"/>
      <c r="WXS40" s="38"/>
      <c r="WXT40" s="38"/>
      <c r="WXU40" s="38"/>
      <c r="WXV40" s="40"/>
      <c r="WXW40" s="41"/>
      <c r="WXX40" s="40"/>
      <c r="WXY40" s="38"/>
      <c r="WXZ40" s="42"/>
      <c r="WYA40" s="42"/>
      <c r="WYB40" s="42"/>
      <c r="WYC40" s="38"/>
      <c r="WYD40" s="38"/>
      <c r="WYE40" s="38"/>
      <c r="WYF40" s="39"/>
      <c r="WYG40" s="38"/>
      <c r="WYH40" s="38"/>
      <c r="WYI40" s="38"/>
      <c r="WYJ40" s="40"/>
      <c r="WYK40" s="41"/>
      <c r="WYL40" s="40"/>
      <c r="WYM40" s="38"/>
      <c r="WYN40" s="42"/>
      <c r="WYO40" s="42"/>
      <c r="WYP40" s="42"/>
      <c r="WYQ40" s="38"/>
      <c r="WYR40" s="38"/>
      <c r="WYS40" s="38"/>
      <c r="WYT40" s="39"/>
      <c r="WYU40" s="38"/>
      <c r="WYV40" s="38"/>
      <c r="WYW40" s="38"/>
      <c r="WYX40" s="40"/>
      <c r="WYY40" s="41"/>
      <c r="WYZ40" s="40"/>
      <c r="WZA40" s="38"/>
      <c r="WZB40" s="42"/>
      <c r="WZC40" s="42"/>
      <c r="WZD40" s="42"/>
      <c r="WZE40" s="38"/>
      <c r="WZF40" s="38"/>
      <c r="WZG40" s="38"/>
      <c r="WZH40" s="39"/>
      <c r="WZI40" s="38"/>
      <c r="WZJ40" s="38"/>
      <c r="WZK40" s="38"/>
      <c r="WZL40" s="40"/>
      <c r="WZM40" s="41"/>
      <c r="WZN40" s="40"/>
      <c r="WZO40" s="38"/>
      <c r="WZP40" s="42"/>
      <c r="WZQ40" s="42"/>
      <c r="WZR40" s="42"/>
      <c r="WZS40" s="38"/>
      <c r="WZT40" s="38"/>
      <c r="WZU40" s="38"/>
      <c r="WZV40" s="39"/>
      <c r="WZW40" s="38"/>
      <c r="WZX40" s="38"/>
      <c r="WZY40" s="38"/>
      <c r="WZZ40" s="40"/>
      <c r="XAA40" s="41"/>
      <c r="XAB40" s="40"/>
      <c r="XAC40" s="38"/>
      <c r="XAD40" s="42"/>
      <c r="XAE40" s="42"/>
      <c r="XAF40" s="42"/>
      <c r="XAG40" s="38"/>
      <c r="XAH40" s="38"/>
      <c r="XAI40" s="38"/>
      <c r="XAJ40" s="39"/>
      <c r="XAK40" s="38"/>
      <c r="XAL40" s="38"/>
      <c r="XAM40" s="38"/>
      <c r="XAN40" s="40"/>
      <c r="XAO40" s="41"/>
      <c r="XAP40" s="40"/>
      <c r="XAQ40" s="38"/>
      <c r="XAR40" s="42"/>
      <c r="XAS40" s="42"/>
      <c r="XAT40" s="42"/>
      <c r="XAU40" s="38"/>
      <c r="XAV40" s="38"/>
      <c r="XAW40" s="38"/>
      <c r="XAX40" s="39"/>
      <c r="XAY40" s="38"/>
      <c r="XAZ40" s="38"/>
      <c r="XBA40" s="38"/>
      <c r="XBB40" s="40"/>
      <c r="XBC40" s="41"/>
      <c r="XBD40" s="40"/>
      <c r="XBE40" s="38"/>
      <c r="XBF40" s="42"/>
      <c r="XBG40" s="42"/>
      <c r="XBH40" s="42"/>
      <c r="XBI40" s="38"/>
      <c r="XBJ40" s="38"/>
      <c r="XBK40" s="38"/>
      <c r="XBL40" s="39"/>
      <c r="XBM40" s="38"/>
      <c r="XBN40" s="38"/>
      <c r="XBO40" s="38"/>
      <c r="XBP40" s="40"/>
      <c r="XBQ40" s="41"/>
      <c r="XBR40" s="40"/>
      <c r="XBS40" s="38"/>
      <c r="XBT40" s="42"/>
      <c r="XBU40" s="42"/>
      <c r="XBV40" s="42"/>
      <c r="XBW40" s="38"/>
      <c r="XBX40" s="38"/>
      <c r="XBY40" s="38"/>
      <c r="XBZ40" s="39"/>
      <c r="XCA40" s="38"/>
      <c r="XCB40" s="38"/>
      <c r="XCC40" s="38"/>
      <c r="XCD40" s="40"/>
      <c r="XCE40" s="41"/>
      <c r="XCF40" s="40"/>
      <c r="XCG40" s="38"/>
      <c r="XCH40" s="42"/>
      <c r="XCI40" s="42"/>
      <c r="XCJ40" s="42"/>
      <c r="XCK40" s="38"/>
      <c r="XCL40" s="38"/>
      <c r="XCM40" s="38"/>
      <c r="XCN40" s="39"/>
      <c r="XCO40" s="38"/>
      <c r="XCP40" s="38"/>
      <c r="XCQ40" s="38"/>
      <c r="XCR40" s="40"/>
      <c r="XCS40" s="41"/>
      <c r="XCT40" s="40"/>
      <c r="XCU40" s="38"/>
      <c r="XCV40" s="42"/>
      <c r="XCW40" s="42"/>
      <c r="XCX40" s="42"/>
      <c r="XCY40" s="38"/>
      <c r="XCZ40" s="38"/>
      <c r="XDA40" s="38"/>
      <c r="XDB40" s="39"/>
      <c r="XDC40" s="38"/>
      <c r="XDD40" s="38"/>
      <c r="XDE40" s="38"/>
      <c r="XDF40" s="40"/>
      <c r="XDG40" s="41"/>
      <c r="XDH40" s="40"/>
      <c r="XDI40" s="38"/>
      <c r="XDJ40" s="42"/>
      <c r="XDK40" s="42"/>
      <c r="XDL40" s="42"/>
      <c r="XDM40" s="38"/>
      <c r="XDN40" s="38"/>
      <c r="XDO40" s="38"/>
      <c r="XDP40" s="39"/>
      <c r="XDQ40" s="38"/>
      <c r="XDR40" s="38"/>
      <c r="XDS40" s="38"/>
      <c r="XDT40" s="40"/>
      <c r="XDU40" s="41"/>
      <c r="XDV40" s="40"/>
      <c r="XDW40" s="38"/>
      <c r="XDX40" s="42"/>
      <c r="XDY40" s="42"/>
      <c r="XDZ40" s="42"/>
      <c r="XEA40" s="38"/>
      <c r="XEB40" s="38"/>
      <c r="XEC40" s="38"/>
      <c r="XED40" s="39"/>
      <c r="XEE40" s="38"/>
      <c r="XEF40" s="38"/>
      <c r="XEG40" s="38"/>
      <c r="XEH40" s="40"/>
      <c r="XEI40" s="41"/>
      <c r="XEJ40" s="40"/>
      <c r="XEK40" s="38"/>
      <c r="XEL40" s="42"/>
      <c r="XEM40" s="42"/>
      <c r="XEN40" s="42"/>
      <c r="XEO40" s="38"/>
      <c r="XEP40" s="38"/>
      <c r="XEQ40" s="38"/>
      <c r="XER40" s="39"/>
      <c r="XES40" s="38"/>
      <c r="XET40" s="38"/>
      <c r="XEU40" s="38"/>
      <c r="XEV40" s="40"/>
      <c r="XEW40" s="41"/>
      <c r="XEX40" s="40"/>
      <c r="XEY40" s="38"/>
      <c r="XEZ40" s="42"/>
      <c r="XFA40" s="42"/>
      <c r="XFB40" s="42"/>
      <c r="XFC40" s="38"/>
      <c r="XFD40" s="38"/>
    </row>
    <row r="41" spans="1:16384" ht="28.8" x14ac:dyDescent="0.3">
      <c r="A41" s="22"/>
      <c r="B41" s="57" t="s">
        <v>219</v>
      </c>
      <c r="C41" s="53" t="s">
        <v>220</v>
      </c>
      <c r="D41" s="53" t="s">
        <v>66</v>
      </c>
      <c r="E41" s="53" t="s">
        <v>60</v>
      </c>
      <c r="F41" s="58"/>
      <c r="G41" s="53"/>
      <c r="H41" s="53"/>
      <c r="I41" s="94" t="s">
        <v>54</v>
      </c>
      <c r="J41" s="60">
        <v>6.1493437572692954E-2</v>
      </c>
      <c r="K41" s="56" t="s">
        <v>67</v>
      </c>
      <c r="L41" s="84">
        <v>398358.08942277299</v>
      </c>
      <c r="M41" s="53" t="s">
        <v>68</v>
      </c>
      <c r="N41" s="45" t="s">
        <v>2</v>
      </c>
      <c r="O41" s="84">
        <v>6478.0585562786891</v>
      </c>
      <c r="Q41" s="38"/>
      <c r="R41" s="38"/>
      <c r="S41" s="38"/>
      <c r="T41" s="39"/>
      <c r="U41" s="38"/>
      <c r="V41" s="38"/>
      <c r="W41" s="38"/>
      <c r="X41" s="40"/>
      <c r="Y41" s="41"/>
      <c r="Z41" s="40"/>
      <c r="AA41" s="38"/>
      <c r="AB41" s="42"/>
      <c r="AC41" s="42"/>
      <c r="AD41" s="42"/>
      <c r="AE41" s="38"/>
      <c r="AF41" s="38"/>
      <c r="AG41" s="38"/>
      <c r="AH41" s="39"/>
      <c r="AI41" s="38"/>
      <c r="AJ41" s="38"/>
      <c r="AK41" s="38"/>
      <c r="AL41" s="40"/>
      <c r="AM41" s="41"/>
      <c r="AN41" s="40"/>
      <c r="AO41" s="38"/>
      <c r="AP41" s="42"/>
      <c r="AQ41" s="42"/>
      <c r="AR41" s="42"/>
      <c r="AS41" s="38"/>
      <c r="AT41" s="38"/>
      <c r="AU41" s="38"/>
      <c r="AV41" s="39"/>
      <c r="AW41" s="38"/>
      <c r="AX41" s="38"/>
      <c r="AY41" s="38"/>
      <c r="AZ41" s="40"/>
      <c r="BA41" s="41"/>
      <c r="BB41" s="40"/>
      <c r="BC41" s="38"/>
      <c r="BD41" s="42"/>
      <c r="BE41" s="42"/>
      <c r="BF41" s="42"/>
      <c r="BG41" s="38"/>
      <c r="BH41" s="38"/>
      <c r="BI41" s="38"/>
      <c r="BJ41" s="39"/>
      <c r="BK41" s="38"/>
      <c r="BL41" s="38"/>
      <c r="BM41" s="38"/>
      <c r="BN41" s="40"/>
      <c r="BO41" s="41"/>
      <c r="BP41" s="40"/>
      <c r="BQ41" s="38"/>
      <c r="BR41" s="42"/>
      <c r="BS41" s="42"/>
      <c r="BT41" s="42"/>
      <c r="BU41" s="38"/>
      <c r="BV41" s="38"/>
      <c r="BW41" s="38"/>
      <c r="BX41" s="39"/>
      <c r="BY41" s="38"/>
      <c r="BZ41" s="38"/>
      <c r="CA41" s="38"/>
      <c r="CB41" s="40"/>
      <c r="CC41" s="41"/>
      <c r="CD41" s="40"/>
      <c r="CE41" s="38"/>
      <c r="CF41" s="42"/>
      <c r="CG41" s="42"/>
      <c r="CH41" s="42"/>
      <c r="CI41" s="38"/>
      <c r="CJ41" s="38"/>
      <c r="CK41" s="38"/>
      <c r="CL41" s="39"/>
      <c r="CM41" s="38"/>
      <c r="CN41" s="38"/>
      <c r="CO41" s="38"/>
      <c r="CP41" s="40"/>
      <c r="CQ41" s="41"/>
      <c r="CR41" s="40"/>
      <c r="CS41" s="38"/>
      <c r="CT41" s="42"/>
      <c r="CU41" s="42"/>
      <c r="CV41" s="42"/>
      <c r="CW41" s="38"/>
      <c r="CX41" s="38"/>
      <c r="CY41" s="38"/>
      <c r="CZ41" s="39"/>
      <c r="DA41" s="38"/>
      <c r="DB41" s="38"/>
      <c r="DC41" s="38"/>
      <c r="DD41" s="40"/>
      <c r="DE41" s="41"/>
      <c r="DF41" s="40"/>
      <c r="DG41" s="38"/>
      <c r="DH41" s="42"/>
      <c r="DI41" s="42"/>
      <c r="DJ41" s="42"/>
      <c r="DK41" s="38"/>
      <c r="DL41" s="38"/>
      <c r="DM41" s="38"/>
      <c r="DN41" s="39"/>
      <c r="DO41" s="38"/>
      <c r="DP41" s="38"/>
      <c r="DQ41" s="38"/>
      <c r="DR41" s="40"/>
      <c r="DS41" s="41"/>
      <c r="DT41" s="40"/>
      <c r="DU41" s="38"/>
      <c r="DV41" s="42"/>
      <c r="DW41" s="42"/>
      <c r="DX41" s="42"/>
      <c r="DY41" s="38"/>
      <c r="DZ41" s="38"/>
      <c r="EA41" s="38"/>
      <c r="EB41" s="39"/>
      <c r="EC41" s="38"/>
      <c r="ED41" s="38"/>
      <c r="EE41" s="38"/>
      <c r="EF41" s="40"/>
      <c r="EG41" s="41"/>
      <c r="EH41" s="40"/>
      <c r="EI41" s="38"/>
      <c r="EJ41" s="42"/>
      <c r="EK41" s="42"/>
      <c r="EL41" s="42"/>
      <c r="EM41" s="38"/>
      <c r="EN41" s="38"/>
      <c r="EO41" s="38"/>
      <c r="EP41" s="39"/>
      <c r="EQ41" s="38"/>
      <c r="ER41" s="38"/>
      <c r="ES41" s="38"/>
      <c r="ET41" s="40"/>
      <c r="EU41" s="41"/>
      <c r="EV41" s="40"/>
      <c r="EW41" s="38"/>
      <c r="EX41" s="42"/>
      <c r="EY41" s="42"/>
      <c r="EZ41" s="42"/>
      <c r="FA41" s="38"/>
      <c r="FB41" s="38"/>
      <c r="FC41" s="38"/>
      <c r="FD41" s="39"/>
      <c r="FE41" s="38"/>
      <c r="FF41" s="38"/>
      <c r="FG41" s="38"/>
      <c r="FH41" s="40"/>
      <c r="FI41" s="41"/>
      <c r="FJ41" s="40"/>
      <c r="FK41" s="38"/>
      <c r="FL41" s="42"/>
      <c r="FM41" s="42"/>
      <c r="FN41" s="42"/>
      <c r="FO41" s="38"/>
      <c r="FP41" s="38"/>
      <c r="FQ41" s="38"/>
      <c r="FR41" s="39"/>
      <c r="FS41" s="38"/>
      <c r="FT41" s="38"/>
      <c r="FU41" s="38"/>
      <c r="FV41" s="40"/>
      <c r="FW41" s="41"/>
      <c r="FX41" s="40"/>
      <c r="FY41" s="38"/>
      <c r="FZ41" s="42"/>
      <c r="GA41" s="42"/>
      <c r="GB41" s="42"/>
      <c r="GC41" s="38"/>
      <c r="GD41" s="38"/>
      <c r="GE41" s="38"/>
      <c r="GF41" s="39"/>
      <c r="GG41" s="38"/>
      <c r="GH41" s="38"/>
      <c r="GI41" s="38"/>
      <c r="GJ41" s="40"/>
      <c r="GK41" s="41"/>
      <c r="GL41" s="40"/>
      <c r="GM41" s="38"/>
      <c r="GN41" s="42"/>
      <c r="GO41" s="42"/>
      <c r="GP41" s="42"/>
      <c r="GQ41" s="38"/>
      <c r="GR41" s="38"/>
      <c r="GS41" s="38"/>
      <c r="GT41" s="39"/>
      <c r="GU41" s="38"/>
      <c r="GV41" s="38"/>
      <c r="GW41" s="38"/>
      <c r="GX41" s="40"/>
      <c r="GY41" s="41"/>
      <c r="GZ41" s="40"/>
      <c r="HA41" s="38"/>
      <c r="HB41" s="42"/>
      <c r="HC41" s="42"/>
      <c r="HD41" s="42"/>
      <c r="HE41" s="38"/>
      <c r="HF41" s="38"/>
      <c r="HG41" s="38"/>
      <c r="HH41" s="39"/>
      <c r="HI41" s="38"/>
      <c r="HJ41" s="38"/>
      <c r="HK41" s="38"/>
      <c r="HL41" s="40"/>
      <c r="HM41" s="41"/>
      <c r="HN41" s="40"/>
      <c r="HO41" s="38"/>
      <c r="HP41" s="42"/>
      <c r="HQ41" s="42"/>
      <c r="HR41" s="42"/>
      <c r="HS41" s="38"/>
      <c r="HT41" s="38"/>
      <c r="HU41" s="38"/>
      <c r="HV41" s="39"/>
      <c r="HW41" s="38"/>
      <c r="HX41" s="38"/>
      <c r="HY41" s="38"/>
      <c r="HZ41" s="40"/>
      <c r="IA41" s="41"/>
      <c r="IB41" s="40"/>
      <c r="IC41" s="38"/>
      <c r="ID41" s="42"/>
      <c r="IE41" s="42"/>
      <c r="IF41" s="42"/>
      <c r="IG41" s="38"/>
      <c r="IH41" s="38"/>
      <c r="II41" s="38"/>
      <c r="IJ41" s="39"/>
      <c r="IK41" s="38"/>
      <c r="IL41" s="38"/>
      <c r="IM41" s="38"/>
      <c r="IN41" s="40"/>
      <c r="IO41" s="41"/>
      <c r="IP41" s="40"/>
      <c r="IQ41" s="38"/>
      <c r="IR41" s="42"/>
      <c r="IS41" s="42"/>
      <c r="IT41" s="42"/>
      <c r="IU41" s="38"/>
      <c r="IV41" s="38"/>
      <c r="IW41" s="38"/>
      <c r="IX41" s="39"/>
      <c r="IY41" s="38"/>
      <c r="IZ41" s="38"/>
      <c r="JA41" s="38"/>
      <c r="JB41" s="40"/>
      <c r="JC41" s="41"/>
      <c r="JD41" s="40"/>
      <c r="JE41" s="38"/>
      <c r="JF41" s="42"/>
      <c r="JG41" s="42"/>
      <c r="JH41" s="42"/>
      <c r="JI41" s="38"/>
      <c r="JJ41" s="38"/>
      <c r="JK41" s="38"/>
      <c r="JL41" s="39"/>
      <c r="JM41" s="38"/>
      <c r="JN41" s="38"/>
      <c r="JO41" s="38"/>
      <c r="JP41" s="40"/>
      <c r="JQ41" s="41"/>
      <c r="JR41" s="40"/>
      <c r="JS41" s="38"/>
      <c r="JT41" s="42"/>
      <c r="JU41" s="42"/>
      <c r="JV41" s="42"/>
      <c r="JW41" s="38"/>
      <c r="JX41" s="38"/>
      <c r="JY41" s="38"/>
      <c r="JZ41" s="39"/>
      <c r="KA41" s="38"/>
      <c r="KB41" s="38"/>
      <c r="KC41" s="38"/>
      <c r="KD41" s="40"/>
      <c r="KE41" s="41"/>
      <c r="KF41" s="40"/>
      <c r="KG41" s="38"/>
      <c r="KH41" s="42"/>
      <c r="KI41" s="42"/>
      <c r="KJ41" s="42"/>
      <c r="KK41" s="38"/>
      <c r="KL41" s="38"/>
      <c r="KM41" s="38"/>
      <c r="KN41" s="39"/>
      <c r="KO41" s="38"/>
      <c r="KP41" s="38"/>
      <c r="KQ41" s="38"/>
      <c r="KR41" s="40"/>
      <c r="KS41" s="41"/>
      <c r="KT41" s="40"/>
      <c r="KU41" s="38"/>
      <c r="KV41" s="42"/>
      <c r="KW41" s="42"/>
      <c r="KX41" s="42"/>
      <c r="KY41" s="38"/>
      <c r="KZ41" s="38"/>
      <c r="LA41" s="38"/>
      <c r="LB41" s="39"/>
      <c r="LC41" s="38"/>
      <c r="LD41" s="38"/>
      <c r="LE41" s="38"/>
      <c r="LF41" s="40"/>
      <c r="LG41" s="41"/>
      <c r="LH41" s="40"/>
      <c r="LI41" s="38"/>
      <c r="LJ41" s="42"/>
      <c r="LK41" s="42"/>
      <c r="LL41" s="42"/>
      <c r="LM41" s="38"/>
      <c r="LN41" s="38"/>
      <c r="LO41" s="38"/>
      <c r="LP41" s="39"/>
      <c r="LQ41" s="38"/>
      <c r="LR41" s="38"/>
      <c r="LS41" s="38"/>
      <c r="LT41" s="40"/>
      <c r="LU41" s="41"/>
      <c r="LV41" s="40"/>
      <c r="LW41" s="38"/>
      <c r="LX41" s="42"/>
      <c r="LY41" s="42"/>
      <c r="LZ41" s="42"/>
      <c r="MA41" s="38"/>
      <c r="MB41" s="38"/>
      <c r="MC41" s="38"/>
      <c r="MD41" s="39"/>
      <c r="ME41" s="38"/>
      <c r="MF41" s="38"/>
      <c r="MG41" s="38"/>
      <c r="MH41" s="40"/>
      <c r="MI41" s="41"/>
      <c r="MJ41" s="40"/>
      <c r="MK41" s="38"/>
      <c r="ML41" s="42"/>
      <c r="MM41" s="42"/>
      <c r="MN41" s="42"/>
      <c r="MO41" s="38"/>
      <c r="MP41" s="38"/>
      <c r="MQ41" s="38"/>
      <c r="MR41" s="39"/>
      <c r="MS41" s="38"/>
      <c r="MT41" s="38"/>
      <c r="MU41" s="38"/>
      <c r="MV41" s="40"/>
      <c r="MW41" s="41"/>
      <c r="MX41" s="40"/>
      <c r="MY41" s="38"/>
      <c r="MZ41" s="42"/>
      <c r="NA41" s="42"/>
      <c r="NB41" s="42"/>
      <c r="NC41" s="38"/>
      <c r="ND41" s="38"/>
      <c r="NE41" s="38"/>
      <c r="NF41" s="39"/>
      <c r="NG41" s="38"/>
      <c r="NH41" s="38"/>
      <c r="NI41" s="38"/>
      <c r="NJ41" s="40"/>
      <c r="NK41" s="41"/>
      <c r="NL41" s="40"/>
      <c r="NM41" s="38"/>
      <c r="NN41" s="42"/>
      <c r="NO41" s="42"/>
      <c r="NP41" s="42"/>
      <c r="NQ41" s="38"/>
      <c r="NR41" s="38"/>
      <c r="NS41" s="38"/>
      <c r="NT41" s="39"/>
      <c r="NU41" s="38"/>
      <c r="NV41" s="38"/>
      <c r="NW41" s="38"/>
      <c r="NX41" s="40"/>
      <c r="NY41" s="41"/>
      <c r="NZ41" s="40"/>
      <c r="OA41" s="38"/>
      <c r="OB41" s="42"/>
      <c r="OC41" s="42"/>
      <c r="OD41" s="42"/>
      <c r="OE41" s="38"/>
      <c r="OF41" s="38"/>
      <c r="OG41" s="38"/>
      <c r="OH41" s="39"/>
      <c r="OI41" s="38"/>
      <c r="OJ41" s="38"/>
      <c r="OK41" s="38"/>
      <c r="OL41" s="40"/>
      <c r="OM41" s="41"/>
      <c r="ON41" s="40"/>
      <c r="OO41" s="38"/>
      <c r="OP41" s="42"/>
      <c r="OQ41" s="42"/>
      <c r="OR41" s="42"/>
      <c r="OS41" s="38"/>
      <c r="OT41" s="38"/>
      <c r="OU41" s="38"/>
      <c r="OV41" s="39"/>
      <c r="OW41" s="38"/>
      <c r="OX41" s="38"/>
      <c r="OY41" s="38"/>
      <c r="OZ41" s="40"/>
      <c r="PA41" s="41"/>
      <c r="PB41" s="40"/>
      <c r="PC41" s="38"/>
      <c r="PD41" s="42"/>
      <c r="PE41" s="42"/>
      <c r="PF41" s="42"/>
      <c r="PG41" s="38"/>
      <c r="PH41" s="38"/>
      <c r="PI41" s="38"/>
      <c r="PJ41" s="39"/>
      <c r="PK41" s="38"/>
      <c r="PL41" s="38"/>
      <c r="PM41" s="38"/>
      <c r="PN41" s="40"/>
      <c r="PO41" s="41"/>
      <c r="PP41" s="40"/>
      <c r="PQ41" s="38"/>
      <c r="PR41" s="42"/>
      <c r="PS41" s="42"/>
      <c r="PT41" s="42"/>
      <c r="PU41" s="38"/>
      <c r="PV41" s="38"/>
      <c r="PW41" s="38"/>
      <c r="PX41" s="39"/>
      <c r="PY41" s="38"/>
      <c r="PZ41" s="38"/>
      <c r="QA41" s="38"/>
      <c r="QB41" s="40"/>
      <c r="QC41" s="41"/>
      <c r="QD41" s="40"/>
      <c r="QE41" s="38"/>
      <c r="QF41" s="42"/>
      <c r="QG41" s="42"/>
      <c r="QH41" s="42"/>
      <c r="QI41" s="38"/>
      <c r="QJ41" s="38"/>
      <c r="QK41" s="38"/>
      <c r="QL41" s="39"/>
      <c r="QM41" s="38"/>
      <c r="QN41" s="38"/>
      <c r="QO41" s="38"/>
      <c r="QP41" s="40"/>
      <c r="QQ41" s="41"/>
      <c r="QR41" s="40"/>
      <c r="QS41" s="38"/>
      <c r="QT41" s="42"/>
      <c r="QU41" s="42"/>
      <c r="QV41" s="42"/>
      <c r="QW41" s="38"/>
      <c r="QX41" s="38"/>
      <c r="QY41" s="38"/>
      <c r="QZ41" s="39"/>
      <c r="RA41" s="38"/>
      <c r="RB41" s="38"/>
      <c r="RC41" s="38"/>
      <c r="RD41" s="40"/>
      <c r="RE41" s="41"/>
      <c r="RF41" s="40"/>
      <c r="RG41" s="38"/>
      <c r="RH41" s="42"/>
      <c r="RI41" s="42"/>
      <c r="RJ41" s="42"/>
      <c r="RK41" s="38"/>
      <c r="RL41" s="38"/>
      <c r="RM41" s="38"/>
      <c r="RN41" s="39"/>
      <c r="RO41" s="38"/>
      <c r="RP41" s="38"/>
      <c r="RQ41" s="38"/>
      <c r="RR41" s="40"/>
      <c r="RS41" s="41"/>
      <c r="RT41" s="40"/>
      <c r="RU41" s="38"/>
      <c r="RV41" s="42"/>
      <c r="RW41" s="42"/>
      <c r="RX41" s="42"/>
      <c r="RY41" s="38"/>
      <c r="RZ41" s="38"/>
      <c r="SA41" s="38"/>
      <c r="SB41" s="39"/>
      <c r="SC41" s="38"/>
      <c r="SD41" s="38"/>
      <c r="SE41" s="38"/>
      <c r="SF41" s="40"/>
      <c r="SG41" s="41"/>
      <c r="SH41" s="40"/>
      <c r="SI41" s="38"/>
      <c r="SJ41" s="42"/>
      <c r="SK41" s="42"/>
      <c r="SL41" s="42"/>
      <c r="SM41" s="38"/>
      <c r="SN41" s="38"/>
      <c r="SO41" s="38"/>
      <c r="SP41" s="39"/>
      <c r="SQ41" s="38"/>
      <c r="SR41" s="38"/>
      <c r="SS41" s="38"/>
      <c r="ST41" s="40"/>
      <c r="SU41" s="41"/>
      <c r="SV41" s="40"/>
      <c r="SW41" s="38"/>
      <c r="SX41" s="42"/>
      <c r="SY41" s="42"/>
      <c r="SZ41" s="42"/>
      <c r="TA41" s="38"/>
      <c r="TB41" s="38"/>
      <c r="TC41" s="38"/>
      <c r="TD41" s="39"/>
      <c r="TE41" s="38"/>
      <c r="TF41" s="38"/>
      <c r="TG41" s="38"/>
      <c r="TH41" s="40"/>
      <c r="TI41" s="41"/>
      <c r="TJ41" s="40"/>
      <c r="TK41" s="38"/>
      <c r="TL41" s="42"/>
      <c r="TM41" s="42"/>
      <c r="TN41" s="42"/>
      <c r="TO41" s="38"/>
      <c r="TP41" s="38"/>
      <c r="TQ41" s="38"/>
      <c r="TR41" s="39"/>
      <c r="TS41" s="38"/>
      <c r="TT41" s="38"/>
      <c r="TU41" s="38"/>
      <c r="TV41" s="40"/>
      <c r="TW41" s="41"/>
      <c r="TX41" s="40"/>
      <c r="TY41" s="38"/>
      <c r="TZ41" s="42"/>
      <c r="UA41" s="42"/>
      <c r="UB41" s="42"/>
      <c r="UC41" s="38"/>
      <c r="UD41" s="38"/>
      <c r="UE41" s="38"/>
      <c r="UF41" s="39"/>
      <c r="UG41" s="38"/>
      <c r="UH41" s="38"/>
      <c r="UI41" s="38"/>
      <c r="UJ41" s="40"/>
      <c r="UK41" s="41"/>
      <c r="UL41" s="40"/>
      <c r="UM41" s="38"/>
      <c r="UN41" s="42"/>
      <c r="UO41" s="42"/>
      <c r="UP41" s="42"/>
      <c r="UQ41" s="38"/>
      <c r="UR41" s="38"/>
      <c r="US41" s="38"/>
      <c r="UT41" s="39"/>
      <c r="UU41" s="38"/>
      <c r="UV41" s="38"/>
      <c r="UW41" s="38"/>
      <c r="UX41" s="40"/>
      <c r="UY41" s="41"/>
      <c r="UZ41" s="40"/>
      <c r="VA41" s="38"/>
      <c r="VB41" s="42"/>
      <c r="VC41" s="42"/>
      <c r="VD41" s="42"/>
      <c r="VE41" s="38"/>
      <c r="VF41" s="38"/>
      <c r="VG41" s="38"/>
      <c r="VH41" s="39"/>
      <c r="VI41" s="38"/>
      <c r="VJ41" s="38"/>
      <c r="VK41" s="38"/>
      <c r="VL41" s="40"/>
      <c r="VM41" s="41"/>
      <c r="VN41" s="40"/>
      <c r="VO41" s="38"/>
      <c r="VP41" s="42"/>
      <c r="VQ41" s="42"/>
      <c r="VR41" s="42"/>
      <c r="VS41" s="38"/>
      <c r="VT41" s="38"/>
      <c r="VU41" s="38"/>
      <c r="VV41" s="39"/>
      <c r="VW41" s="38"/>
      <c r="VX41" s="38"/>
      <c r="VY41" s="38"/>
      <c r="VZ41" s="40"/>
      <c r="WA41" s="41"/>
      <c r="WB41" s="40"/>
      <c r="WC41" s="38"/>
      <c r="WD41" s="42"/>
      <c r="WE41" s="42"/>
      <c r="WF41" s="42"/>
      <c r="WG41" s="38"/>
      <c r="WH41" s="38"/>
      <c r="WI41" s="38"/>
      <c r="WJ41" s="39"/>
      <c r="WK41" s="38"/>
      <c r="WL41" s="38"/>
      <c r="WM41" s="38"/>
      <c r="WN41" s="40"/>
      <c r="WO41" s="41"/>
      <c r="WP41" s="40"/>
      <c r="WQ41" s="38"/>
      <c r="WR41" s="42"/>
      <c r="WS41" s="42"/>
      <c r="WT41" s="42"/>
      <c r="WU41" s="38"/>
      <c r="WV41" s="38"/>
      <c r="WW41" s="38"/>
      <c r="WX41" s="39"/>
      <c r="WY41" s="38"/>
      <c r="WZ41" s="38"/>
      <c r="XA41" s="38"/>
      <c r="XB41" s="40"/>
      <c r="XC41" s="41"/>
      <c r="XD41" s="40"/>
      <c r="XE41" s="38"/>
      <c r="XF41" s="42"/>
      <c r="XG41" s="42"/>
      <c r="XH41" s="42"/>
      <c r="XI41" s="38"/>
      <c r="XJ41" s="38"/>
      <c r="XK41" s="38"/>
      <c r="XL41" s="39"/>
      <c r="XM41" s="38"/>
      <c r="XN41" s="38"/>
      <c r="XO41" s="38"/>
      <c r="XP41" s="40"/>
      <c r="XQ41" s="41"/>
      <c r="XR41" s="40"/>
      <c r="XS41" s="38"/>
      <c r="XT41" s="42"/>
      <c r="XU41" s="42"/>
      <c r="XV41" s="42"/>
      <c r="XW41" s="38"/>
      <c r="XX41" s="38"/>
      <c r="XY41" s="38"/>
      <c r="XZ41" s="39"/>
      <c r="YA41" s="38"/>
      <c r="YB41" s="38"/>
      <c r="YC41" s="38"/>
      <c r="YD41" s="40"/>
      <c r="YE41" s="41"/>
      <c r="YF41" s="40"/>
      <c r="YG41" s="38"/>
      <c r="YH41" s="42"/>
      <c r="YI41" s="42"/>
      <c r="YJ41" s="42"/>
      <c r="YK41" s="38"/>
      <c r="YL41" s="38"/>
      <c r="YM41" s="38"/>
      <c r="YN41" s="39"/>
      <c r="YO41" s="38"/>
      <c r="YP41" s="38"/>
      <c r="YQ41" s="38"/>
      <c r="YR41" s="40"/>
      <c r="YS41" s="41"/>
      <c r="YT41" s="40"/>
      <c r="YU41" s="38"/>
      <c r="YV41" s="42"/>
      <c r="YW41" s="42"/>
      <c r="YX41" s="42"/>
      <c r="YY41" s="38"/>
      <c r="YZ41" s="38"/>
      <c r="ZA41" s="38"/>
      <c r="ZB41" s="39"/>
      <c r="ZC41" s="38"/>
      <c r="ZD41" s="38"/>
      <c r="ZE41" s="38"/>
      <c r="ZF41" s="40"/>
      <c r="ZG41" s="41"/>
      <c r="ZH41" s="40"/>
      <c r="ZI41" s="38"/>
      <c r="ZJ41" s="42"/>
      <c r="ZK41" s="42"/>
      <c r="ZL41" s="42"/>
      <c r="ZM41" s="38"/>
      <c r="ZN41" s="38"/>
      <c r="ZO41" s="38"/>
      <c r="ZP41" s="39"/>
      <c r="ZQ41" s="38"/>
      <c r="ZR41" s="38"/>
      <c r="ZS41" s="38"/>
      <c r="ZT41" s="40"/>
      <c r="ZU41" s="41"/>
      <c r="ZV41" s="40"/>
      <c r="ZW41" s="38"/>
      <c r="ZX41" s="42"/>
      <c r="ZY41" s="42"/>
      <c r="ZZ41" s="42"/>
      <c r="AAA41" s="38"/>
      <c r="AAB41" s="38"/>
      <c r="AAC41" s="38"/>
      <c r="AAD41" s="39"/>
      <c r="AAE41" s="38"/>
      <c r="AAF41" s="38"/>
      <c r="AAG41" s="38"/>
      <c r="AAH41" s="40"/>
      <c r="AAI41" s="41"/>
      <c r="AAJ41" s="40"/>
      <c r="AAK41" s="38"/>
      <c r="AAL41" s="42"/>
      <c r="AAM41" s="42"/>
      <c r="AAN41" s="42"/>
      <c r="AAO41" s="38"/>
      <c r="AAP41" s="38"/>
      <c r="AAQ41" s="38"/>
      <c r="AAR41" s="39"/>
      <c r="AAS41" s="38"/>
      <c r="AAT41" s="38"/>
      <c r="AAU41" s="38"/>
      <c r="AAV41" s="40"/>
      <c r="AAW41" s="41"/>
      <c r="AAX41" s="40"/>
      <c r="AAY41" s="38"/>
      <c r="AAZ41" s="42"/>
      <c r="ABA41" s="42"/>
      <c r="ABB41" s="42"/>
      <c r="ABC41" s="38"/>
      <c r="ABD41" s="38"/>
      <c r="ABE41" s="38"/>
      <c r="ABF41" s="39"/>
      <c r="ABG41" s="38"/>
      <c r="ABH41" s="38"/>
      <c r="ABI41" s="38"/>
      <c r="ABJ41" s="40"/>
      <c r="ABK41" s="41"/>
      <c r="ABL41" s="40"/>
      <c r="ABM41" s="38"/>
      <c r="ABN41" s="42"/>
      <c r="ABO41" s="42"/>
      <c r="ABP41" s="42"/>
      <c r="ABQ41" s="38"/>
      <c r="ABR41" s="38"/>
      <c r="ABS41" s="38"/>
      <c r="ABT41" s="39"/>
      <c r="ABU41" s="38"/>
      <c r="ABV41" s="38"/>
      <c r="ABW41" s="38"/>
      <c r="ABX41" s="40"/>
      <c r="ABY41" s="41"/>
      <c r="ABZ41" s="40"/>
      <c r="ACA41" s="38"/>
      <c r="ACB41" s="42"/>
      <c r="ACC41" s="42"/>
      <c r="ACD41" s="42"/>
      <c r="ACE41" s="38"/>
      <c r="ACF41" s="38"/>
      <c r="ACG41" s="38"/>
      <c r="ACH41" s="39"/>
      <c r="ACI41" s="38"/>
      <c r="ACJ41" s="38"/>
      <c r="ACK41" s="38"/>
      <c r="ACL41" s="40"/>
      <c r="ACM41" s="41"/>
      <c r="ACN41" s="40"/>
      <c r="ACO41" s="38"/>
      <c r="ACP41" s="42"/>
      <c r="ACQ41" s="42"/>
      <c r="ACR41" s="42"/>
      <c r="ACS41" s="38"/>
      <c r="ACT41" s="38"/>
      <c r="ACU41" s="38"/>
      <c r="ACV41" s="39"/>
      <c r="ACW41" s="38"/>
      <c r="ACX41" s="38"/>
      <c r="ACY41" s="38"/>
      <c r="ACZ41" s="40"/>
      <c r="ADA41" s="41"/>
      <c r="ADB41" s="40"/>
      <c r="ADC41" s="38"/>
      <c r="ADD41" s="42"/>
      <c r="ADE41" s="42"/>
      <c r="ADF41" s="42"/>
      <c r="ADG41" s="38"/>
      <c r="ADH41" s="38"/>
      <c r="ADI41" s="38"/>
      <c r="ADJ41" s="39"/>
      <c r="ADK41" s="38"/>
      <c r="ADL41" s="38"/>
      <c r="ADM41" s="38"/>
      <c r="ADN41" s="40"/>
      <c r="ADO41" s="41"/>
      <c r="ADP41" s="40"/>
      <c r="ADQ41" s="38"/>
      <c r="ADR41" s="42"/>
      <c r="ADS41" s="42"/>
      <c r="ADT41" s="42"/>
      <c r="ADU41" s="38"/>
      <c r="ADV41" s="38"/>
      <c r="ADW41" s="38"/>
      <c r="ADX41" s="39"/>
      <c r="ADY41" s="38"/>
      <c r="ADZ41" s="38"/>
      <c r="AEA41" s="38"/>
      <c r="AEB41" s="40"/>
      <c r="AEC41" s="41"/>
      <c r="AED41" s="40"/>
      <c r="AEE41" s="38"/>
      <c r="AEF41" s="42"/>
      <c r="AEG41" s="42"/>
      <c r="AEH41" s="42"/>
      <c r="AEI41" s="38"/>
      <c r="AEJ41" s="38"/>
      <c r="AEK41" s="38"/>
      <c r="AEL41" s="39"/>
      <c r="AEM41" s="38"/>
      <c r="AEN41" s="38"/>
      <c r="AEO41" s="38"/>
      <c r="AEP41" s="40"/>
      <c r="AEQ41" s="41"/>
      <c r="AER41" s="40"/>
      <c r="AES41" s="38"/>
      <c r="AET41" s="42"/>
      <c r="AEU41" s="42"/>
      <c r="AEV41" s="42"/>
      <c r="AEW41" s="38"/>
      <c r="AEX41" s="38"/>
      <c r="AEY41" s="38"/>
      <c r="AEZ41" s="39"/>
      <c r="AFA41" s="38"/>
      <c r="AFB41" s="38"/>
      <c r="AFC41" s="38"/>
      <c r="AFD41" s="40"/>
      <c r="AFE41" s="41"/>
      <c r="AFF41" s="40"/>
      <c r="AFG41" s="38"/>
      <c r="AFH41" s="42"/>
      <c r="AFI41" s="42"/>
      <c r="AFJ41" s="42"/>
      <c r="AFK41" s="38"/>
      <c r="AFL41" s="38"/>
      <c r="AFM41" s="38"/>
      <c r="AFN41" s="39"/>
      <c r="AFO41" s="38"/>
      <c r="AFP41" s="38"/>
      <c r="AFQ41" s="38"/>
      <c r="AFR41" s="40"/>
      <c r="AFS41" s="41"/>
      <c r="AFT41" s="40"/>
      <c r="AFU41" s="38"/>
      <c r="AFV41" s="42"/>
      <c r="AFW41" s="42"/>
      <c r="AFX41" s="42"/>
      <c r="AFY41" s="38"/>
      <c r="AFZ41" s="38"/>
      <c r="AGA41" s="38"/>
      <c r="AGB41" s="39"/>
      <c r="AGC41" s="38"/>
      <c r="AGD41" s="38"/>
      <c r="AGE41" s="38"/>
      <c r="AGF41" s="40"/>
      <c r="AGG41" s="41"/>
      <c r="AGH41" s="40"/>
      <c r="AGI41" s="38"/>
      <c r="AGJ41" s="42"/>
      <c r="AGK41" s="42"/>
      <c r="AGL41" s="42"/>
      <c r="AGM41" s="38"/>
      <c r="AGN41" s="38"/>
      <c r="AGO41" s="38"/>
      <c r="AGP41" s="39"/>
      <c r="AGQ41" s="38"/>
      <c r="AGR41" s="38"/>
      <c r="AGS41" s="38"/>
      <c r="AGT41" s="40"/>
      <c r="AGU41" s="41"/>
      <c r="AGV41" s="40"/>
      <c r="AGW41" s="38"/>
      <c r="AGX41" s="42"/>
      <c r="AGY41" s="42"/>
      <c r="AGZ41" s="42"/>
      <c r="AHA41" s="38"/>
      <c r="AHB41" s="38"/>
      <c r="AHC41" s="38"/>
      <c r="AHD41" s="39"/>
      <c r="AHE41" s="38"/>
      <c r="AHF41" s="38"/>
      <c r="AHG41" s="38"/>
      <c r="AHH41" s="40"/>
      <c r="AHI41" s="41"/>
      <c r="AHJ41" s="40"/>
      <c r="AHK41" s="38"/>
      <c r="AHL41" s="42"/>
      <c r="AHM41" s="42"/>
      <c r="AHN41" s="42"/>
      <c r="AHO41" s="38"/>
      <c r="AHP41" s="38"/>
      <c r="AHQ41" s="38"/>
      <c r="AHR41" s="39"/>
      <c r="AHS41" s="38"/>
      <c r="AHT41" s="38"/>
      <c r="AHU41" s="38"/>
      <c r="AHV41" s="40"/>
      <c r="AHW41" s="41"/>
      <c r="AHX41" s="40"/>
      <c r="AHY41" s="38"/>
      <c r="AHZ41" s="42"/>
      <c r="AIA41" s="42"/>
      <c r="AIB41" s="42"/>
      <c r="AIC41" s="38"/>
      <c r="AID41" s="38"/>
      <c r="AIE41" s="38"/>
      <c r="AIF41" s="39"/>
      <c r="AIG41" s="38"/>
      <c r="AIH41" s="38"/>
      <c r="AII41" s="38"/>
      <c r="AIJ41" s="40"/>
      <c r="AIK41" s="41"/>
      <c r="AIL41" s="40"/>
      <c r="AIM41" s="38"/>
      <c r="AIN41" s="42"/>
      <c r="AIO41" s="42"/>
      <c r="AIP41" s="42"/>
      <c r="AIQ41" s="38"/>
      <c r="AIR41" s="38"/>
      <c r="AIS41" s="38"/>
      <c r="AIT41" s="39"/>
      <c r="AIU41" s="38"/>
      <c r="AIV41" s="38"/>
      <c r="AIW41" s="38"/>
      <c r="AIX41" s="40"/>
      <c r="AIY41" s="41"/>
      <c r="AIZ41" s="40"/>
      <c r="AJA41" s="38"/>
      <c r="AJB41" s="42"/>
      <c r="AJC41" s="42"/>
      <c r="AJD41" s="42"/>
      <c r="AJE41" s="38"/>
      <c r="AJF41" s="38"/>
      <c r="AJG41" s="38"/>
      <c r="AJH41" s="39"/>
      <c r="AJI41" s="38"/>
      <c r="AJJ41" s="38"/>
      <c r="AJK41" s="38"/>
      <c r="AJL41" s="40"/>
      <c r="AJM41" s="41"/>
      <c r="AJN41" s="40"/>
      <c r="AJO41" s="38"/>
      <c r="AJP41" s="42"/>
      <c r="AJQ41" s="42"/>
      <c r="AJR41" s="42"/>
      <c r="AJS41" s="38"/>
      <c r="AJT41" s="38"/>
      <c r="AJU41" s="38"/>
      <c r="AJV41" s="39"/>
      <c r="AJW41" s="38"/>
      <c r="AJX41" s="38"/>
      <c r="AJY41" s="38"/>
      <c r="AJZ41" s="40"/>
      <c r="AKA41" s="41"/>
      <c r="AKB41" s="40"/>
      <c r="AKC41" s="38"/>
      <c r="AKD41" s="42"/>
      <c r="AKE41" s="42"/>
      <c r="AKF41" s="42"/>
      <c r="AKG41" s="38"/>
      <c r="AKH41" s="38"/>
      <c r="AKI41" s="38"/>
      <c r="AKJ41" s="39"/>
      <c r="AKK41" s="38"/>
      <c r="AKL41" s="38"/>
      <c r="AKM41" s="38"/>
      <c r="AKN41" s="40"/>
      <c r="AKO41" s="41"/>
      <c r="AKP41" s="40"/>
      <c r="AKQ41" s="38"/>
      <c r="AKR41" s="42"/>
      <c r="AKS41" s="42"/>
      <c r="AKT41" s="42"/>
      <c r="AKU41" s="38"/>
      <c r="AKV41" s="38"/>
      <c r="AKW41" s="38"/>
      <c r="AKX41" s="39"/>
      <c r="AKY41" s="38"/>
      <c r="AKZ41" s="38"/>
      <c r="ALA41" s="38"/>
      <c r="ALB41" s="40"/>
      <c r="ALC41" s="41"/>
      <c r="ALD41" s="40"/>
      <c r="ALE41" s="38"/>
      <c r="ALF41" s="42"/>
      <c r="ALG41" s="42"/>
      <c r="ALH41" s="42"/>
      <c r="ALI41" s="38"/>
      <c r="ALJ41" s="38"/>
      <c r="ALK41" s="38"/>
      <c r="ALL41" s="39"/>
      <c r="ALM41" s="38"/>
      <c r="ALN41" s="38"/>
      <c r="ALO41" s="38"/>
      <c r="ALP41" s="40"/>
      <c r="ALQ41" s="41"/>
      <c r="ALR41" s="40"/>
      <c r="ALS41" s="38"/>
      <c r="ALT41" s="42"/>
      <c r="ALU41" s="42"/>
      <c r="ALV41" s="42"/>
      <c r="ALW41" s="38"/>
      <c r="ALX41" s="38"/>
      <c r="ALY41" s="38"/>
      <c r="ALZ41" s="39"/>
      <c r="AMA41" s="38"/>
      <c r="AMB41" s="38"/>
      <c r="AMC41" s="38"/>
      <c r="AMD41" s="40"/>
      <c r="AME41" s="41"/>
      <c r="AMF41" s="40"/>
      <c r="AMG41" s="38"/>
      <c r="AMH41" s="42"/>
      <c r="AMI41" s="42"/>
      <c r="AMJ41" s="42"/>
      <c r="AMK41" s="38"/>
      <c r="AML41" s="38"/>
      <c r="AMM41" s="38"/>
      <c r="AMN41" s="39"/>
      <c r="AMO41" s="38"/>
      <c r="AMP41" s="38"/>
      <c r="AMQ41" s="38"/>
      <c r="AMR41" s="40"/>
      <c r="AMS41" s="41"/>
      <c r="AMT41" s="40"/>
      <c r="AMU41" s="38"/>
      <c r="AMV41" s="42"/>
      <c r="AMW41" s="42"/>
      <c r="AMX41" s="42"/>
      <c r="AMY41" s="38"/>
      <c r="AMZ41" s="38"/>
      <c r="ANA41" s="38"/>
      <c r="ANB41" s="39"/>
      <c r="ANC41" s="38"/>
      <c r="AND41" s="38"/>
      <c r="ANE41" s="38"/>
      <c r="ANF41" s="40"/>
      <c r="ANG41" s="41"/>
      <c r="ANH41" s="40"/>
      <c r="ANI41" s="38"/>
      <c r="ANJ41" s="42"/>
      <c r="ANK41" s="42"/>
      <c r="ANL41" s="42"/>
      <c r="ANM41" s="38"/>
      <c r="ANN41" s="38"/>
      <c r="ANO41" s="38"/>
      <c r="ANP41" s="39"/>
      <c r="ANQ41" s="38"/>
      <c r="ANR41" s="38"/>
      <c r="ANS41" s="38"/>
      <c r="ANT41" s="40"/>
      <c r="ANU41" s="41"/>
      <c r="ANV41" s="40"/>
      <c r="ANW41" s="38"/>
      <c r="ANX41" s="42"/>
      <c r="ANY41" s="42"/>
      <c r="ANZ41" s="42"/>
      <c r="AOA41" s="38"/>
      <c r="AOB41" s="38"/>
      <c r="AOC41" s="38"/>
      <c r="AOD41" s="39"/>
      <c r="AOE41" s="38"/>
      <c r="AOF41" s="38"/>
      <c r="AOG41" s="38"/>
      <c r="AOH41" s="40"/>
      <c r="AOI41" s="41"/>
      <c r="AOJ41" s="40"/>
      <c r="AOK41" s="38"/>
      <c r="AOL41" s="42"/>
      <c r="AOM41" s="42"/>
      <c r="AON41" s="42"/>
      <c r="AOO41" s="38"/>
      <c r="AOP41" s="38"/>
      <c r="AOQ41" s="38"/>
      <c r="AOR41" s="39"/>
      <c r="AOS41" s="38"/>
      <c r="AOT41" s="38"/>
      <c r="AOU41" s="38"/>
      <c r="AOV41" s="40"/>
      <c r="AOW41" s="41"/>
      <c r="AOX41" s="40"/>
      <c r="AOY41" s="38"/>
      <c r="AOZ41" s="42"/>
      <c r="APA41" s="42"/>
      <c r="APB41" s="42"/>
      <c r="APC41" s="38"/>
      <c r="APD41" s="38"/>
      <c r="APE41" s="38"/>
      <c r="APF41" s="39"/>
      <c r="APG41" s="38"/>
      <c r="APH41" s="38"/>
      <c r="API41" s="38"/>
      <c r="APJ41" s="40"/>
      <c r="APK41" s="41"/>
      <c r="APL41" s="40"/>
      <c r="APM41" s="38"/>
      <c r="APN41" s="42"/>
      <c r="APO41" s="42"/>
      <c r="APP41" s="42"/>
      <c r="APQ41" s="38"/>
      <c r="APR41" s="38"/>
      <c r="APS41" s="38"/>
      <c r="APT41" s="39"/>
      <c r="APU41" s="38"/>
      <c r="APV41" s="38"/>
      <c r="APW41" s="38"/>
      <c r="APX41" s="40"/>
      <c r="APY41" s="41"/>
      <c r="APZ41" s="40"/>
      <c r="AQA41" s="38"/>
      <c r="AQB41" s="42"/>
      <c r="AQC41" s="42"/>
      <c r="AQD41" s="42"/>
      <c r="AQE41" s="38"/>
      <c r="AQF41" s="38"/>
      <c r="AQG41" s="38"/>
      <c r="AQH41" s="39"/>
      <c r="AQI41" s="38"/>
      <c r="AQJ41" s="38"/>
      <c r="AQK41" s="38"/>
      <c r="AQL41" s="40"/>
      <c r="AQM41" s="41"/>
      <c r="AQN41" s="40"/>
      <c r="AQO41" s="38"/>
      <c r="AQP41" s="42"/>
      <c r="AQQ41" s="42"/>
      <c r="AQR41" s="42"/>
      <c r="AQS41" s="38"/>
      <c r="AQT41" s="38"/>
      <c r="AQU41" s="38"/>
      <c r="AQV41" s="39"/>
      <c r="AQW41" s="38"/>
      <c r="AQX41" s="38"/>
      <c r="AQY41" s="38"/>
      <c r="AQZ41" s="40"/>
      <c r="ARA41" s="41"/>
      <c r="ARB41" s="40"/>
      <c r="ARC41" s="38"/>
      <c r="ARD41" s="42"/>
      <c r="ARE41" s="42"/>
      <c r="ARF41" s="42"/>
      <c r="ARG41" s="38"/>
      <c r="ARH41" s="38"/>
      <c r="ARI41" s="38"/>
      <c r="ARJ41" s="39"/>
      <c r="ARK41" s="38"/>
      <c r="ARL41" s="38"/>
      <c r="ARM41" s="38"/>
      <c r="ARN41" s="40"/>
      <c r="ARO41" s="41"/>
      <c r="ARP41" s="40"/>
      <c r="ARQ41" s="38"/>
      <c r="ARR41" s="42"/>
      <c r="ARS41" s="42"/>
      <c r="ART41" s="42"/>
      <c r="ARU41" s="38"/>
      <c r="ARV41" s="38"/>
      <c r="ARW41" s="38"/>
      <c r="ARX41" s="39"/>
      <c r="ARY41" s="38"/>
      <c r="ARZ41" s="38"/>
      <c r="ASA41" s="38"/>
      <c r="ASB41" s="40"/>
      <c r="ASC41" s="41"/>
      <c r="ASD41" s="40"/>
      <c r="ASE41" s="38"/>
      <c r="ASF41" s="42"/>
      <c r="ASG41" s="42"/>
      <c r="ASH41" s="42"/>
      <c r="ASI41" s="38"/>
      <c r="ASJ41" s="38"/>
      <c r="ASK41" s="38"/>
      <c r="ASL41" s="39"/>
      <c r="ASM41" s="38"/>
      <c r="ASN41" s="38"/>
      <c r="ASO41" s="38"/>
      <c r="ASP41" s="40"/>
      <c r="ASQ41" s="41"/>
      <c r="ASR41" s="40"/>
      <c r="ASS41" s="38"/>
      <c r="AST41" s="42"/>
      <c r="ASU41" s="42"/>
      <c r="ASV41" s="42"/>
      <c r="ASW41" s="38"/>
      <c r="ASX41" s="38"/>
      <c r="ASY41" s="38"/>
      <c r="ASZ41" s="39"/>
      <c r="ATA41" s="38"/>
      <c r="ATB41" s="38"/>
      <c r="ATC41" s="38"/>
      <c r="ATD41" s="40"/>
      <c r="ATE41" s="41"/>
      <c r="ATF41" s="40"/>
      <c r="ATG41" s="38"/>
      <c r="ATH41" s="42"/>
      <c r="ATI41" s="42"/>
      <c r="ATJ41" s="42"/>
      <c r="ATK41" s="38"/>
      <c r="ATL41" s="38"/>
      <c r="ATM41" s="38"/>
      <c r="ATN41" s="39"/>
      <c r="ATO41" s="38"/>
      <c r="ATP41" s="38"/>
      <c r="ATQ41" s="38"/>
      <c r="ATR41" s="40"/>
      <c r="ATS41" s="41"/>
      <c r="ATT41" s="40"/>
      <c r="ATU41" s="38"/>
      <c r="ATV41" s="42"/>
      <c r="ATW41" s="42"/>
      <c r="ATX41" s="42"/>
      <c r="ATY41" s="38"/>
      <c r="ATZ41" s="38"/>
      <c r="AUA41" s="38"/>
      <c r="AUB41" s="39"/>
      <c r="AUC41" s="38"/>
      <c r="AUD41" s="38"/>
      <c r="AUE41" s="38"/>
      <c r="AUF41" s="40"/>
      <c r="AUG41" s="41"/>
      <c r="AUH41" s="40"/>
      <c r="AUI41" s="38"/>
      <c r="AUJ41" s="42"/>
      <c r="AUK41" s="42"/>
      <c r="AUL41" s="42"/>
      <c r="AUM41" s="38"/>
      <c r="AUN41" s="38"/>
      <c r="AUO41" s="38"/>
      <c r="AUP41" s="39"/>
      <c r="AUQ41" s="38"/>
      <c r="AUR41" s="38"/>
      <c r="AUS41" s="38"/>
      <c r="AUT41" s="40"/>
      <c r="AUU41" s="41"/>
      <c r="AUV41" s="40"/>
      <c r="AUW41" s="38"/>
      <c r="AUX41" s="42"/>
      <c r="AUY41" s="42"/>
      <c r="AUZ41" s="42"/>
      <c r="AVA41" s="38"/>
      <c r="AVB41" s="38"/>
      <c r="AVC41" s="38"/>
      <c r="AVD41" s="39"/>
      <c r="AVE41" s="38"/>
      <c r="AVF41" s="38"/>
      <c r="AVG41" s="38"/>
      <c r="AVH41" s="40"/>
      <c r="AVI41" s="41"/>
      <c r="AVJ41" s="40"/>
      <c r="AVK41" s="38"/>
      <c r="AVL41" s="42"/>
      <c r="AVM41" s="42"/>
      <c r="AVN41" s="42"/>
      <c r="AVO41" s="38"/>
      <c r="AVP41" s="38"/>
      <c r="AVQ41" s="38"/>
      <c r="AVR41" s="39"/>
      <c r="AVS41" s="38"/>
      <c r="AVT41" s="38"/>
      <c r="AVU41" s="38"/>
      <c r="AVV41" s="40"/>
      <c r="AVW41" s="41"/>
      <c r="AVX41" s="40"/>
      <c r="AVY41" s="38"/>
      <c r="AVZ41" s="42"/>
      <c r="AWA41" s="42"/>
      <c r="AWB41" s="42"/>
      <c r="AWC41" s="38"/>
      <c r="AWD41" s="38"/>
      <c r="AWE41" s="38"/>
      <c r="AWF41" s="39"/>
      <c r="AWG41" s="38"/>
      <c r="AWH41" s="38"/>
      <c r="AWI41" s="38"/>
      <c r="AWJ41" s="40"/>
      <c r="AWK41" s="41"/>
      <c r="AWL41" s="40"/>
      <c r="AWM41" s="38"/>
      <c r="AWN41" s="42"/>
      <c r="AWO41" s="42"/>
      <c r="AWP41" s="42"/>
      <c r="AWQ41" s="38"/>
      <c r="AWR41" s="38"/>
      <c r="AWS41" s="38"/>
      <c r="AWT41" s="39"/>
      <c r="AWU41" s="38"/>
      <c r="AWV41" s="38"/>
      <c r="AWW41" s="38"/>
      <c r="AWX41" s="40"/>
      <c r="AWY41" s="41"/>
      <c r="AWZ41" s="40"/>
      <c r="AXA41" s="38"/>
      <c r="AXB41" s="42"/>
      <c r="AXC41" s="42"/>
      <c r="AXD41" s="42"/>
      <c r="AXE41" s="38"/>
      <c r="AXF41" s="38"/>
      <c r="AXG41" s="38"/>
      <c r="AXH41" s="39"/>
      <c r="AXI41" s="38"/>
      <c r="AXJ41" s="38"/>
      <c r="AXK41" s="38"/>
      <c r="AXL41" s="40"/>
      <c r="AXM41" s="41"/>
      <c r="AXN41" s="40"/>
      <c r="AXO41" s="38"/>
      <c r="AXP41" s="42"/>
      <c r="AXQ41" s="42"/>
      <c r="AXR41" s="42"/>
      <c r="AXS41" s="38"/>
      <c r="AXT41" s="38"/>
      <c r="AXU41" s="38"/>
      <c r="AXV41" s="39"/>
      <c r="AXW41" s="38"/>
      <c r="AXX41" s="38"/>
      <c r="AXY41" s="38"/>
      <c r="AXZ41" s="40"/>
      <c r="AYA41" s="41"/>
      <c r="AYB41" s="40"/>
      <c r="AYC41" s="38"/>
      <c r="AYD41" s="42"/>
      <c r="AYE41" s="42"/>
      <c r="AYF41" s="42"/>
      <c r="AYG41" s="38"/>
      <c r="AYH41" s="38"/>
      <c r="AYI41" s="38"/>
      <c r="AYJ41" s="39"/>
      <c r="AYK41" s="38"/>
      <c r="AYL41" s="38"/>
      <c r="AYM41" s="38"/>
      <c r="AYN41" s="40"/>
      <c r="AYO41" s="41"/>
      <c r="AYP41" s="40"/>
      <c r="AYQ41" s="38"/>
      <c r="AYR41" s="42"/>
      <c r="AYS41" s="42"/>
      <c r="AYT41" s="42"/>
      <c r="AYU41" s="38"/>
      <c r="AYV41" s="38"/>
      <c r="AYW41" s="38"/>
      <c r="AYX41" s="39"/>
      <c r="AYY41" s="38"/>
      <c r="AYZ41" s="38"/>
      <c r="AZA41" s="38"/>
      <c r="AZB41" s="40"/>
      <c r="AZC41" s="41"/>
      <c r="AZD41" s="40"/>
      <c r="AZE41" s="38"/>
      <c r="AZF41" s="42"/>
      <c r="AZG41" s="42"/>
      <c r="AZH41" s="42"/>
      <c r="AZI41" s="38"/>
      <c r="AZJ41" s="38"/>
      <c r="AZK41" s="38"/>
      <c r="AZL41" s="39"/>
      <c r="AZM41" s="38"/>
      <c r="AZN41" s="38"/>
      <c r="AZO41" s="38"/>
      <c r="AZP41" s="40"/>
      <c r="AZQ41" s="41"/>
      <c r="AZR41" s="40"/>
      <c r="AZS41" s="38"/>
      <c r="AZT41" s="42"/>
      <c r="AZU41" s="42"/>
      <c r="AZV41" s="42"/>
      <c r="AZW41" s="38"/>
      <c r="AZX41" s="38"/>
      <c r="AZY41" s="38"/>
      <c r="AZZ41" s="39"/>
      <c r="BAA41" s="38"/>
      <c r="BAB41" s="38"/>
      <c r="BAC41" s="38"/>
      <c r="BAD41" s="40"/>
      <c r="BAE41" s="41"/>
      <c r="BAF41" s="40"/>
      <c r="BAG41" s="38"/>
      <c r="BAH41" s="42"/>
      <c r="BAI41" s="42"/>
      <c r="BAJ41" s="42"/>
      <c r="BAK41" s="38"/>
      <c r="BAL41" s="38"/>
      <c r="BAM41" s="38"/>
      <c r="BAN41" s="39"/>
      <c r="BAO41" s="38"/>
      <c r="BAP41" s="38"/>
      <c r="BAQ41" s="38"/>
      <c r="BAR41" s="40"/>
      <c r="BAS41" s="41"/>
      <c r="BAT41" s="40"/>
      <c r="BAU41" s="38"/>
      <c r="BAV41" s="42"/>
      <c r="BAW41" s="42"/>
      <c r="BAX41" s="42"/>
      <c r="BAY41" s="38"/>
      <c r="BAZ41" s="38"/>
      <c r="BBA41" s="38"/>
      <c r="BBB41" s="39"/>
      <c r="BBC41" s="38"/>
      <c r="BBD41" s="38"/>
      <c r="BBE41" s="38"/>
      <c r="BBF41" s="40"/>
      <c r="BBG41" s="41"/>
      <c r="BBH41" s="40"/>
      <c r="BBI41" s="38"/>
      <c r="BBJ41" s="42"/>
      <c r="BBK41" s="42"/>
      <c r="BBL41" s="42"/>
      <c r="BBM41" s="38"/>
      <c r="BBN41" s="38"/>
      <c r="BBO41" s="38"/>
      <c r="BBP41" s="39"/>
      <c r="BBQ41" s="38"/>
      <c r="BBR41" s="38"/>
      <c r="BBS41" s="38"/>
      <c r="BBT41" s="40"/>
      <c r="BBU41" s="41"/>
      <c r="BBV41" s="40"/>
      <c r="BBW41" s="38"/>
      <c r="BBX41" s="42"/>
      <c r="BBY41" s="42"/>
      <c r="BBZ41" s="42"/>
      <c r="BCA41" s="38"/>
      <c r="BCB41" s="38"/>
      <c r="BCC41" s="38"/>
      <c r="BCD41" s="39"/>
      <c r="BCE41" s="38"/>
      <c r="BCF41" s="38"/>
      <c r="BCG41" s="38"/>
      <c r="BCH41" s="40"/>
      <c r="BCI41" s="41"/>
      <c r="BCJ41" s="40"/>
      <c r="BCK41" s="38"/>
      <c r="BCL41" s="42"/>
      <c r="BCM41" s="42"/>
      <c r="BCN41" s="42"/>
      <c r="BCO41" s="38"/>
      <c r="BCP41" s="38"/>
      <c r="BCQ41" s="38"/>
      <c r="BCR41" s="39"/>
      <c r="BCS41" s="38"/>
      <c r="BCT41" s="38"/>
      <c r="BCU41" s="38"/>
      <c r="BCV41" s="40"/>
      <c r="BCW41" s="41"/>
      <c r="BCX41" s="40"/>
      <c r="BCY41" s="38"/>
      <c r="BCZ41" s="42"/>
      <c r="BDA41" s="42"/>
      <c r="BDB41" s="42"/>
      <c r="BDC41" s="38"/>
      <c r="BDD41" s="38"/>
      <c r="BDE41" s="38"/>
      <c r="BDF41" s="39"/>
      <c r="BDG41" s="38"/>
      <c r="BDH41" s="38"/>
      <c r="BDI41" s="38"/>
      <c r="BDJ41" s="40"/>
      <c r="BDK41" s="41"/>
      <c r="BDL41" s="40"/>
      <c r="BDM41" s="38"/>
      <c r="BDN41" s="42"/>
      <c r="BDO41" s="42"/>
      <c r="BDP41" s="42"/>
      <c r="BDQ41" s="38"/>
      <c r="BDR41" s="38"/>
      <c r="BDS41" s="38"/>
      <c r="BDT41" s="39"/>
      <c r="BDU41" s="38"/>
      <c r="BDV41" s="38"/>
      <c r="BDW41" s="38"/>
      <c r="BDX41" s="40"/>
      <c r="BDY41" s="41"/>
      <c r="BDZ41" s="40"/>
      <c r="BEA41" s="38"/>
      <c r="BEB41" s="42"/>
      <c r="BEC41" s="42"/>
      <c r="BED41" s="42"/>
      <c r="BEE41" s="38"/>
      <c r="BEF41" s="38"/>
      <c r="BEG41" s="38"/>
      <c r="BEH41" s="39"/>
      <c r="BEI41" s="38"/>
      <c r="BEJ41" s="38"/>
      <c r="BEK41" s="38"/>
      <c r="BEL41" s="40"/>
      <c r="BEM41" s="41"/>
      <c r="BEN41" s="40"/>
      <c r="BEO41" s="38"/>
      <c r="BEP41" s="42"/>
      <c r="BEQ41" s="42"/>
      <c r="BER41" s="42"/>
      <c r="BES41" s="38"/>
      <c r="BET41" s="38"/>
      <c r="BEU41" s="38"/>
      <c r="BEV41" s="39"/>
      <c r="BEW41" s="38"/>
      <c r="BEX41" s="38"/>
      <c r="BEY41" s="38"/>
      <c r="BEZ41" s="40"/>
      <c r="BFA41" s="41"/>
      <c r="BFB41" s="40"/>
      <c r="BFC41" s="38"/>
      <c r="BFD41" s="42"/>
      <c r="BFE41" s="42"/>
      <c r="BFF41" s="42"/>
      <c r="BFG41" s="38"/>
      <c r="BFH41" s="38"/>
      <c r="BFI41" s="38"/>
      <c r="BFJ41" s="39"/>
      <c r="BFK41" s="38"/>
      <c r="BFL41" s="38"/>
      <c r="BFM41" s="38"/>
      <c r="BFN41" s="40"/>
      <c r="BFO41" s="41"/>
      <c r="BFP41" s="40"/>
      <c r="BFQ41" s="38"/>
      <c r="BFR41" s="42"/>
      <c r="BFS41" s="42"/>
      <c r="BFT41" s="42"/>
      <c r="BFU41" s="38"/>
      <c r="BFV41" s="38"/>
      <c r="BFW41" s="38"/>
      <c r="BFX41" s="39"/>
      <c r="BFY41" s="38"/>
      <c r="BFZ41" s="38"/>
      <c r="BGA41" s="38"/>
      <c r="BGB41" s="40"/>
      <c r="BGC41" s="41"/>
      <c r="BGD41" s="40"/>
      <c r="BGE41" s="38"/>
      <c r="BGF41" s="42"/>
      <c r="BGG41" s="42"/>
      <c r="BGH41" s="42"/>
      <c r="BGI41" s="38"/>
      <c r="BGJ41" s="38"/>
      <c r="BGK41" s="38"/>
      <c r="BGL41" s="39"/>
      <c r="BGM41" s="38"/>
      <c r="BGN41" s="38"/>
      <c r="BGO41" s="38"/>
      <c r="BGP41" s="40"/>
      <c r="BGQ41" s="41"/>
      <c r="BGR41" s="40"/>
      <c r="BGS41" s="38"/>
      <c r="BGT41" s="42"/>
      <c r="BGU41" s="42"/>
      <c r="BGV41" s="42"/>
      <c r="BGW41" s="38"/>
      <c r="BGX41" s="38"/>
      <c r="BGY41" s="38"/>
      <c r="BGZ41" s="39"/>
      <c r="BHA41" s="38"/>
      <c r="BHB41" s="38"/>
      <c r="BHC41" s="38"/>
      <c r="BHD41" s="40"/>
      <c r="BHE41" s="41"/>
      <c r="BHF41" s="40"/>
      <c r="BHG41" s="38"/>
      <c r="BHH41" s="42"/>
      <c r="BHI41" s="42"/>
      <c r="BHJ41" s="42"/>
      <c r="BHK41" s="38"/>
      <c r="BHL41" s="38"/>
      <c r="BHM41" s="38"/>
      <c r="BHN41" s="39"/>
      <c r="BHO41" s="38"/>
      <c r="BHP41" s="38"/>
      <c r="BHQ41" s="38"/>
      <c r="BHR41" s="40"/>
      <c r="BHS41" s="41"/>
      <c r="BHT41" s="40"/>
      <c r="BHU41" s="38"/>
      <c r="BHV41" s="42"/>
      <c r="BHW41" s="42"/>
      <c r="BHX41" s="42"/>
      <c r="BHY41" s="38"/>
      <c r="BHZ41" s="38"/>
      <c r="BIA41" s="38"/>
      <c r="BIB41" s="39"/>
      <c r="BIC41" s="38"/>
      <c r="BID41" s="38"/>
      <c r="BIE41" s="38"/>
      <c r="BIF41" s="40"/>
      <c r="BIG41" s="41"/>
      <c r="BIH41" s="40"/>
      <c r="BII41" s="38"/>
      <c r="BIJ41" s="42"/>
      <c r="BIK41" s="42"/>
      <c r="BIL41" s="42"/>
      <c r="BIM41" s="38"/>
      <c r="BIN41" s="38"/>
      <c r="BIO41" s="38"/>
      <c r="BIP41" s="39"/>
      <c r="BIQ41" s="38"/>
      <c r="BIR41" s="38"/>
      <c r="BIS41" s="38"/>
      <c r="BIT41" s="40"/>
      <c r="BIU41" s="41"/>
      <c r="BIV41" s="40"/>
      <c r="BIW41" s="38"/>
      <c r="BIX41" s="42"/>
      <c r="BIY41" s="42"/>
      <c r="BIZ41" s="42"/>
      <c r="BJA41" s="38"/>
      <c r="BJB41" s="38"/>
      <c r="BJC41" s="38"/>
      <c r="BJD41" s="39"/>
      <c r="BJE41" s="38"/>
      <c r="BJF41" s="38"/>
      <c r="BJG41" s="38"/>
      <c r="BJH41" s="40"/>
      <c r="BJI41" s="41"/>
      <c r="BJJ41" s="40"/>
      <c r="BJK41" s="38"/>
      <c r="BJL41" s="42"/>
      <c r="BJM41" s="42"/>
      <c r="BJN41" s="42"/>
      <c r="BJO41" s="38"/>
      <c r="BJP41" s="38"/>
      <c r="BJQ41" s="38"/>
      <c r="BJR41" s="39"/>
      <c r="BJS41" s="38"/>
      <c r="BJT41" s="38"/>
      <c r="BJU41" s="38"/>
      <c r="BJV41" s="40"/>
      <c r="BJW41" s="41"/>
      <c r="BJX41" s="40"/>
      <c r="BJY41" s="38"/>
      <c r="BJZ41" s="42"/>
      <c r="BKA41" s="42"/>
      <c r="BKB41" s="42"/>
      <c r="BKC41" s="38"/>
      <c r="BKD41" s="38"/>
      <c r="BKE41" s="38"/>
      <c r="BKF41" s="39"/>
      <c r="BKG41" s="38"/>
      <c r="BKH41" s="38"/>
      <c r="BKI41" s="38"/>
      <c r="BKJ41" s="40"/>
      <c r="BKK41" s="41"/>
      <c r="BKL41" s="40"/>
      <c r="BKM41" s="38"/>
      <c r="BKN41" s="42"/>
      <c r="BKO41" s="42"/>
      <c r="BKP41" s="42"/>
      <c r="BKQ41" s="38"/>
      <c r="BKR41" s="38"/>
      <c r="BKS41" s="38"/>
      <c r="BKT41" s="39"/>
      <c r="BKU41" s="38"/>
      <c r="BKV41" s="38"/>
      <c r="BKW41" s="38"/>
      <c r="BKX41" s="40"/>
      <c r="BKY41" s="41"/>
      <c r="BKZ41" s="40"/>
      <c r="BLA41" s="38"/>
      <c r="BLB41" s="42"/>
      <c r="BLC41" s="42"/>
      <c r="BLD41" s="42"/>
      <c r="BLE41" s="38"/>
      <c r="BLF41" s="38"/>
      <c r="BLG41" s="38"/>
      <c r="BLH41" s="39"/>
      <c r="BLI41" s="38"/>
      <c r="BLJ41" s="38"/>
      <c r="BLK41" s="38"/>
      <c r="BLL41" s="40"/>
      <c r="BLM41" s="41"/>
      <c r="BLN41" s="40"/>
      <c r="BLO41" s="38"/>
      <c r="BLP41" s="42"/>
      <c r="BLQ41" s="42"/>
      <c r="BLR41" s="42"/>
      <c r="BLS41" s="38"/>
      <c r="BLT41" s="38"/>
      <c r="BLU41" s="38"/>
      <c r="BLV41" s="39"/>
      <c r="BLW41" s="38"/>
      <c r="BLX41" s="38"/>
      <c r="BLY41" s="38"/>
      <c r="BLZ41" s="40"/>
      <c r="BMA41" s="41"/>
      <c r="BMB41" s="40"/>
      <c r="BMC41" s="38"/>
      <c r="BMD41" s="42"/>
      <c r="BME41" s="42"/>
      <c r="BMF41" s="42"/>
      <c r="BMG41" s="38"/>
      <c r="BMH41" s="38"/>
      <c r="BMI41" s="38"/>
      <c r="BMJ41" s="39"/>
      <c r="BMK41" s="38"/>
      <c r="BML41" s="38"/>
      <c r="BMM41" s="38"/>
      <c r="BMN41" s="40"/>
      <c r="BMO41" s="41"/>
      <c r="BMP41" s="40"/>
      <c r="BMQ41" s="38"/>
      <c r="BMR41" s="42"/>
      <c r="BMS41" s="42"/>
      <c r="BMT41" s="42"/>
      <c r="BMU41" s="38"/>
      <c r="BMV41" s="38"/>
      <c r="BMW41" s="38"/>
      <c r="BMX41" s="39"/>
      <c r="BMY41" s="38"/>
      <c r="BMZ41" s="38"/>
      <c r="BNA41" s="38"/>
      <c r="BNB41" s="40"/>
      <c r="BNC41" s="41"/>
      <c r="BND41" s="40"/>
      <c r="BNE41" s="38"/>
      <c r="BNF41" s="42"/>
      <c r="BNG41" s="42"/>
      <c r="BNH41" s="42"/>
      <c r="BNI41" s="38"/>
      <c r="BNJ41" s="38"/>
      <c r="BNK41" s="38"/>
      <c r="BNL41" s="39"/>
      <c r="BNM41" s="38"/>
      <c r="BNN41" s="38"/>
      <c r="BNO41" s="38"/>
      <c r="BNP41" s="40"/>
      <c r="BNQ41" s="41"/>
      <c r="BNR41" s="40"/>
      <c r="BNS41" s="38"/>
      <c r="BNT41" s="42"/>
      <c r="BNU41" s="42"/>
      <c r="BNV41" s="42"/>
      <c r="BNW41" s="38"/>
      <c r="BNX41" s="38"/>
      <c r="BNY41" s="38"/>
      <c r="BNZ41" s="39"/>
      <c r="BOA41" s="38"/>
      <c r="BOB41" s="38"/>
      <c r="BOC41" s="38"/>
      <c r="BOD41" s="40"/>
      <c r="BOE41" s="41"/>
      <c r="BOF41" s="40"/>
      <c r="BOG41" s="38"/>
      <c r="BOH41" s="42"/>
      <c r="BOI41" s="42"/>
      <c r="BOJ41" s="42"/>
      <c r="BOK41" s="38"/>
      <c r="BOL41" s="38"/>
      <c r="BOM41" s="38"/>
      <c r="BON41" s="39"/>
      <c r="BOO41" s="38"/>
      <c r="BOP41" s="38"/>
      <c r="BOQ41" s="38"/>
      <c r="BOR41" s="40"/>
      <c r="BOS41" s="41"/>
      <c r="BOT41" s="40"/>
      <c r="BOU41" s="38"/>
      <c r="BOV41" s="42"/>
      <c r="BOW41" s="42"/>
      <c r="BOX41" s="42"/>
      <c r="BOY41" s="38"/>
      <c r="BOZ41" s="38"/>
      <c r="BPA41" s="38"/>
      <c r="BPB41" s="39"/>
      <c r="BPC41" s="38"/>
      <c r="BPD41" s="38"/>
      <c r="BPE41" s="38"/>
      <c r="BPF41" s="40"/>
      <c r="BPG41" s="41"/>
      <c r="BPH41" s="40"/>
      <c r="BPI41" s="38"/>
      <c r="BPJ41" s="42"/>
      <c r="BPK41" s="42"/>
      <c r="BPL41" s="42"/>
      <c r="BPM41" s="38"/>
      <c r="BPN41" s="38"/>
      <c r="BPO41" s="38"/>
      <c r="BPP41" s="39"/>
      <c r="BPQ41" s="38"/>
      <c r="BPR41" s="38"/>
      <c r="BPS41" s="38"/>
      <c r="BPT41" s="40"/>
      <c r="BPU41" s="41"/>
      <c r="BPV41" s="40"/>
      <c r="BPW41" s="38"/>
      <c r="BPX41" s="42"/>
      <c r="BPY41" s="42"/>
      <c r="BPZ41" s="42"/>
      <c r="BQA41" s="38"/>
      <c r="BQB41" s="38"/>
      <c r="BQC41" s="38"/>
      <c r="BQD41" s="39"/>
      <c r="BQE41" s="38"/>
      <c r="BQF41" s="38"/>
      <c r="BQG41" s="38"/>
      <c r="BQH41" s="40"/>
      <c r="BQI41" s="41"/>
      <c r="BQJ41" s="40"/>
      <c r="BQK41" s="38"/>
      <c r="BQL41" s="42"/>
      <c r="BQM41" s="42"/>
      <c r="BQN41" s="42"/>
      <c r="BQO41" s="38"/>
      <c r="BQP41" s="38"/>
      <c r="BQQ41" s="38"/>
      <c r="BQR41" s="39"/>
      <c r="BQS41" s="38"/>
      <c r="BQT41" s="38"/>
      <c r="BQU41" s="38"/>
      <c r="BQV41" s="40"/>
      <c r="BQW41" s="41"/>
      <c r="BQX41" s="40"/>
      <c r="BQY41" s="38"/>
      <c r="BQZ41" s="42"/>
      <c r="BRA41" s="42"/>
      <c r="BRB41" s="42"/>
      <c r="BRC41" s="38"/>
      <c r="BRD41" s="38"/>
      <c r="BRE41" s="38"/>
      <c r="BRF41" s="39"/>
      <c r="BRG41" s="38"/>
      <c r="BRH41" s="38"/>
      <c r="BRI41" s="38"/>
      <c r="BRJ41" s="40"/>
      <c r="BRK41" s="41"/>
      <c r="BRL41" s="40"/>
      <c r="BRM41" s="38"/>
      <c r="BRN41" s="42"/>
      <c r="BRO41" s="42"/>
      <c r="BRP41" s="42"/>
      <c r="BRQ41" s="38"/>
      <c r="BRR41" s="38"/>
      <c r="BRS41" s="38"/>
      <c r="BRT41" s="39"/>
      <c r="BRU41" s="38"/>
      <c r="BRV41" s="38"/>
      <c r="BRW41" s="38"/>
      <c r="BRX41" s="40"/>
      <c r="BRY41" s="41"/>
      <c r="BRZ41" s="40"/>
      <c r="BSA41" s="38"/>
      <c r="BSB41" s="42"/>
      <c r="BSC41" s="42"/>
      <c r="BSD41" s="42"/>
      <c r="BSE41" s="38"/>
      <c r="BSF41" s="38"/>
      <c r="BSG41" s="38"/>
      <c r="BSH41" s="39"/>
      <c r="BSI41" s="38"/>
      <c r="BSJ41" s="38"/>
      <c r="BSK41" s="38"/>
      <c r="BSL41" s="40"/>
      <c r="BSM41" s="41"/>
      <c r="BSN41" s="40"/>
      <c r="BSO41" s="38"/>
      <c r="BSP41" s="42"/>
      <c r="BSQ41" s="42"/>
      <c r="BSR41" s="42"/>
      <c r="BSS41" s="38"/>
      <c r="BST41" s="38"/>
      <c r="BSU41" s="38"/>
      <c r="BSV41" s="39"/>
      <c r="BSW41" s="38"/>
      <c r="BSX41" s="38"/>
      <c r="BSY41" s="38"/>
      <c r="BSZ41" s="40"/>
      <c r="BTA41" s="41"/>
      <c r="BTB41" s="40"/>
      <c r="BTC41" s="38"/>
      <c r="BTD41" s="42"/>
      <c r="BTE41" s="42"/>
      <c r="BTF41" s="42"/>
      <c r="BTG41" s="38"/>
      <c r="BTH41" s="38"/>
      <c r="BTI41" s="38"/>
      <c r="BTJ41" s="39"/>
      <c r="BTK41" s="38"/>
      <c r="BTL41" s="38"/>
      <c r="BTM41" s="38"/>
      <c r="BTN41" s="40"/>
      <c r="BTO41" s="41"/>
      <c r="BTP41" s="40"/>
      <c r="BTQ41" s="38"/>
      <c r="BTR41" s="42"/>
      <c r="BTS41" s="42"/>
      <c r="BTT41" s="42"/>
      <c r="BTU41" s="38"/>
      <c r="BTV41" s="38"/>
      <c r="BTW41" s="38"/>
      <c r="BTX41" s="39"/>
      <c r="BTY41" s="38"/>
      <c r="BTZ41" s="38"/>
      <c r="BUA41" s="38"/>
      <c r="BUB41" s="40"/>
      <c r="BUC41" s="41"/>
      <c r="BUD41" s="40"/>
      <c r="BUE41" s="38"/>
      <c r="BUF41" s="42"/>
      <c r="BUG41" s="42"/>
      <c r="BUH41" s="42"/>
      <c r="BUI41" s="38"/>
      <c r="BUJ41" s="38"/>
      <c r="BUK41" s="38"/>
      <c r="BUL41" s="39"/>
      <c r="BUM41" s="38"/>
      <c r="BUN41" s="38"/>
      <c r="BUO41" s="38"/>
      <c r="BUP41" s="40"/>
      <c r="BUQ41" s="41"/>
      <c r="BUR41" s="40"/>
      <c r="BUS41" s="38"/>
      <c r="BUT41" s="42"/>
      <c r="BUU41" s="42"/>
      <c r="BUV41" s="42"/>
      <c r="BUW41" s="38"/>
      <c r="BUX41" s="38"/>
      <c r="BUY41" s="38"/>
      <c r="BUZ41" s="39"/>
      <c r="BVA41" s="38"/>
      <c r="BVB41" s="38"/>
      <c r="BVC41" s="38"/>
      <c r="BVD41" s="40"/>
      <c r="BVE41" s="41"/>
      <c r="BVF41" s="40"/>
      <c r="BVG41" s="38"/>
      <c r="BVH41" s="42"/>
      <c r="BVI41" s="42"/>
      <c r="BVJ41" s="42"/>
      <c r="BVK41" s="38"/>
      <c r="BVL41" s="38"/>
      <c r="BVM41" s="38"/>
      <c r="BVN41" s="39"/>
      <c r="BVO41" s="38"/>
      <c r="BVP41" s="38"/>
      <c r="BVQ41" s="38"/>
      <c r="BVR41" s="40"/>
      <c r="BVS41" s="41"/>
      <c r="BVT41" s="40"/>
      <c r="BVU41" s="38"/>
      <c r="BVV41" s="42"/>
      <c r="BVW41" s="42"/>
      <c r="BVX41" s="42"/>
      <c r="BVY41" s="38"/>
      <c r="BVZ41" s="38"/>
      <c r="BWA41" s="38"/>
      <c r="BWB41" s="39"/>
      <c r="BWC41" s="38"/>
      <c r="BWD41" s="38"/>
      <c r="BWE41" s="38"/>
      <c r="BWF41" s="40"/>
      <c r="BWG41" s="41"/>
      <c r="BWH41" s="40"/>
      <c r="BWI41" s="38"/>
      <c r="BWJ41" s="42"/>
      <c r="BWK41" s="42"/>
      <c r="BWL41" s="42"/>
      <c r="BWM41" s="38"/>
      <c r="BWN41" s="38"/>
      <c r="BWO41" s="38"/>
      <c r="BWP41" s="39"/>
      <c r="BWQ41" s="38"/>
      <c r="BWR41" s="38"/>
      <c r="BWS41" s="38"/>
      <c r="BWT41" s="40"/>
      <c r="BWU41" s="41"/>
      <c r="BWV41" s="40"/>
      <c r="BWW41" s="38"/>
      <c r="BWX41" s="42"/>
      <c r="BWY41" s="42"/>
      <c r="BWZ41" s="42"/>
      <c r="BXA41" s="38"/>
      <c r="BXB41" s="38"/>
      <c r="BXC41" s="38"/>
      <c r="BXD41" s="39"/>
      <c r="BXE41" s="38"/>
      <c r="BXF41" s="38"/>
      <c r="BXG41" s="38"/>
      <c r="BXH41" s="40"/>
      <c r="BXI41" s="41"/>
      <c r="BXJ41" s="40"/>
      <c r="BXK41" s="38"/>
      <c r="BXL41" s="42"/>
      <c r="BXM41" s="42"/>
      <c r="BXN41" s="42"/>
      <c r="BXO41" s="38"/>
      <c r="BXP41" s="38"/>
      <c r="BXQ41" s="38"/>
      <c r="BXR41" s="39"/>
      <c r="BXS41" s="38"/>
      <c r="BXT41" s="38"/>
      <c r="BXU41" s="38"/>
      <c r="BXV41" s="40"/>
      <c r="BXW41" s="41"/>
      <c r="BXX41" s="40"/>
      <c r="BXY41" s="38"/>
      <c r="BXZ41" s="42"/>
      <c r="BYA41" s="42"/>
      <c r="BYB41" s="42"/>
      <c r="BYC41" s="38"/>
      <c r="BYD41" s="38"/>
      <c r="BYE41" s="38"/>
      <c r="BYF41" s="39"/>
      <c r="BYG41" s="38"/>
      <c r="BYH41" s="38"/>
      <c r="BYI41" s="38"/>
      <c r="BYJ41" s="40"/>
      <c r="BYK41" s="41"/>
      <c r="BYL41" s="40"/>
      <c r="BYM41" s="38"/>
      <c r="BYN41" s="42"/>
      <c r="BYO41" s="42"/>
      <c r="BYP41" s="42"/>
      <c r="BYQ41" s="38"/>
      <c r="BYR41" s="38"/>
      <c r="BYS41" s="38"/>
      <c r="BYT41" s="39"/>
      <c r="BYU41" s="38"/>
      <c r="BYV41" s="38"/>
      <c r="BYW41" s="38"/>
      <c r="BYX41" s="40"/>
      <c r="BYY41" s="41"/>
      <c r="BYZ41" s="40"/>
      <c r="BZA41" s="38"/>
      <c r="BZB41" s="42"/>
      <c r="BZC41" s="42"/>
      <c r="BZD41" s="42"/>
      <c r="BZE41" s="38"/>
      <c r="BZF41" s="38"/>
      <c r="BZG41" s="38"/>
      <c r="BZH41" s="39"/>
      <c r="BZI41" s="38"/>
      <c r="BZJ41" s="38"/>
      <c r="BZK41" s="38"/>
      <c r="BZL41" s="40"/>
      <c r="BZM41" s="41"/>
      <c r="BZN41" s="40"/>
      <c r="BZO41" s="38"/>
      <c r="BZP41" s="42"/>
      <c r="BZQ41" s="42"/>
      <c r="BZR41" s="42"/>
      <c r="BZS41" s="38"/>
      <c r="BZT41" s="38"/>
      <c r="BZU41" s="38"/>
      <c r="BZV41" s="39"/>
      <c r="BZW41" s="38"/>
      <c r="BZX41" s="38"/>
      <c r="BZY41" s="38"/>
      <c r="BZZ41" s="40"/>
      <c r="CAA41" s="41"/>
      <c r="CAB41" s="40"/>
      <c r="CAC41" s="38"/>
      <c r="CAD41" s="42"/>
      <c r="CAE41" s="42"/>
      <c r="CAF41" s="42"/>
      <c r="CAG41" s="38"/>
      <c r="CAH41" s="38"/>
      <c r="CAI41" s="38"/>
      <c r="CAJ41" s="39"/>
      <c r="CAK41" s="38"/>
      <c r="CAL41" s="38"/>
      <c r="CAM41" s="38"/>
      <c r="CAN41" s="40"/>
      <c r="CAO41" s="41"/>
      <c r="CAP41" s="40"/>
      <c r="CAQ41" s="38"/>
      <c r="CAR41" s="42"/>
      <c r="CAS41" s="42"/>
      <c r="CAT41" s="42"/>
      <c r="CAU41" s="38"/>
      <c r="CAV41" s="38"/>
      <c r="CAW41" s="38"/>
      <c r="CAX41" s="39"/>
      <c r="CAY41" s="38"/>
      <c r="CAZ41" s="38"/>
      <c r="CBA41" s="38"/>
      <c r="CBB41" s="40"/>
      <c r="CBC41" s="41"/>
      <c r="CBD41" s="40"/>
      <c r="CBE41" s="38"/>
      <c r="CBF41" s="42"/>
      <c r="CBG41" s="42"/>
      <c r="CBH41" s="42"/>
      <c r="CBI41" s="38"/>
      <c r="CBJ41" s="38"/>
      <c r="CBK41" s="38"/>
      <c r="CBL41" s="39"/>
      <c r="CBM41" s="38"/>
      <c r="CBN41" s="38"/>
      <c r="CBO41" s="38"/>
      <c r="CBP41" s="40"/>
      <c r="CBQ41" s="41"/>
      <c r="CBR41" s="40"/>
      <c r="CBS41" s="38"/>
      <c r="CBT41" s="42"/>
      <c r="CBU41" s="42"/>
      <c r="CBV41" s="42"/>
      <c r="CBW41" s="38"/>
      <c r="CBX41" s="38"/>
      <c r="CBY41" s="38"/>
      <c r="CBZ41" s="39"/>
      <c r="CCA41" s="38"/>
      <c r="CCB41" s="38"/>
      <c r="CCC41" s="38"/>
      <c r="CCD41" s="40"/>
      <c r="CCE41" s="41"/>
      <c r="CCF41" s="40"/>
      <c r="CCG41" s="38"/>
      <c r="CCH41" s="42"/>
      <c r="CCI41" s="42"/>
      <c r="CCJ41" s="42"/>
      <c r="CCK41" s="38"/>
      <c r="CCL41" s="38"/>
      <c r="CCM41" s="38"/>
      <c r="CCN41" s="39"/>
      <c r="CCO41" s="38"/>
      <c r="CCP41" s="38"/>
      <c r="CCQ41" s="38"/>
      <c r="CCR41" s="40"/>
      <c r="CCS41" s="41"/>
      <c r="CCT41" s="40"/>
      <c r="CCU41" s="38"/>
      <c r="CCV41" s="42"/>
      <c r="CCW41" s="42"/>
      <c r="CCX41" s="42"/>
      <c r="CCY41" s="38"/>
      <c r="CCZ41" s="38"/>
      <c r="CDA41" s="38"/>
      <c r="CDB41" s="39"/>
      <c r="CDC41" s="38"/>
      <c r="CDD41" s="38"/>
      <c r="CDE41" s="38"/>
      <c r="CDF41" s="40"/>
      <c r="CDG41" s="41"/>
      <c r="CDH41" s="40"/>
      <c r="CDI41" s="38"/>
      <c r="CDJ41" s="42"/>
      <c r="CDK41" s="42"/>
      <c r="CDL41" s="42"/>
      <c r="CDM41" s="38"/>
      <c r="CDN41" s="38"/>
      <c r="CDO41" s="38"/>
      <c r="CDP41" s="39"/>
      <c r="CDQ41" s="38"/>
      <c r="CDR41" s="38"/>
      <c r="CDS41" s="38"/>
      <c r="CDT41" s="40"/>
      <c r="CDU41" s="41"/>
      <c r="CDV41" s="40"/>
      <c r="CDW41" s="38"/>
      <c r="CDX41" s="42"/>
      <c r="CDY41" s="42"/>
      <c r="CDZ41" s="42"/>
      <c r="CEA41" s="38"/>
      <c r="CEB41" s="38"/>
      <c r="CEC41" s="38"/>
      <c r="CED41" s="39"/>
      <c r="CEE41" s="38"/>
      <c r="CEF41" s="38"/>
      <c r="CEG41" s="38"/>
      <c r="CEH41" s="40"/>
      <c r="CEI41" s="41"/>
      <c r="CEJ41" s="40"/>
      <c r="CEK41" s="38"/>
      <c r="CEL41" s="42"/>
      <c r="CEM41" s="42"/>
      <c r="CEN41" s="42"/>
      <c r="CEO41" s="38"/>
      <c r="CEP41" s="38"/>
      <c r="CEQ41" s="38"/>
      <c r="CER41" s="39"/>
      <c r="CES41" s="38"/>
      <c r="CET41" s="38"/>
      <c r="CEU41" s="38"/>
      <c r="CEV41" s="40"/>
      <c r="CEW41" s="41"/>
      <c r="CEX41" s="40"/>
      <c r="CEY41" s="38"/>
      <c r="CEZ41" s="42"/>
      <c r="CFA41" s="42"/>
      <c r="CFB41" s="42"/>
      <c r="CFC41" s="38"/>
      <c r="CFD41" s="38"/>
      <c r="CFE41" s="38"/>
      <c r="CFF41" s="39"/>
      <c r="CFG41" s="38"/>
      <c r="CFH41" s="38"/>
      <c r="CFI41" s="38"/>
      <c r="CFJ41" s="40"/>
      <c r="CFK41" s="41"/>
      <c r="CFL41" s="40"/>
      <c r="CFM41" s="38"/>
      <c r="CFN41" s="42"/>
      <c r="CFO41" s="42"/>
      <c r="CFP41" s="42"/>
      <c r="CFQ41" s="38"/>
      <c r="CFR41" s="38"/>
      <c r="CFS41" s="38"/>
      <c r="CFT41" s="39"/>
      <c r="CFU41" s="38"/>
      <c r="CFV41" s="38"/>
      <c r="CFW41" s="38"/>
      <c r="CFX41" s="40"/>
      <c r="CFY41" s="41"/>
      <c r="CFZ41" s="40"/>
      <c r="CGA41" s="38"/>
      <c r="CGB41" s="42"/>
      <c r="CGC41" s="42"/>
      <c r="CGD41" s="42"/>
      <c r="CGE41" s="38"/>
      <c r="CGF41" s="38"/>
      <c r="CGG41" s="38"/>
      <c r="CGH41" s="39"/>
      <c r="CGI41" s="38"/>
      <c r="CGJ41" s="38"/>
      <c r="CGK41" s="38"/>
      <c r="CGL41" s="40"/>
      <c r="CGM41" s="41"/>
      <c r="CGN41" s="40"/>
      <c r="CGO41" s="38"/>
      <c r="CGP41" s="42"/>
      <c r="CGQ41" s="42"/>
      <c r="CGR41" s="42"/>
      <c r="CGS41" s="38"/>
      <c r="CGT41" s="38"/>
      <c r="CGU41" s="38"/>
      <c r="CGV41" s="39"/>
      <c r="CGW41" s="38"/>
      <c r="CGX41" s="38"/>
      <c r="CGY41" s="38"/>
      <c r="CGZ41" s="40"/>
      <c r="CHA41" s="41"/>
      <c r="CHB41" s="40"/>
      <c r="CHC41" s="38"/>
      <c r="CHD41" s="42"/>
      <c r="CHE41" s="42"/>
      <c r="CHF41" s="42"/>
      <c r="CHG41" s="38"/>
      <c r="CHH41" s="38"/>
      <c r="CHI41" s="38"/>
      <c r="CHJ41" s="39"/>
      <c r="CHK41" s="38"/>
      <c r="CHL41" s="38"/>
      <c r="CHM41" s="38"/>
      <c r="CHN41" s="40"/>
      <c r="CHO41" s="41"/>
      <c r="CHP41" s="40"/>
      <c r="CHQ41" s="38"/>
      <c r="CHR41" s="42"/>
      <c r="CHS41" s="42"/>
      <c r="CHT41" s="42"/>
      <c r="CHU41" s="38"/>
      <c r="CHV41" s="38"/>
      <c r="CHW41" s="38"/>
      <c r="CHX41" s="39"/>
      <c r="CHY41" s="38"/>
      <c r="CHZ41" s="38"/>
      <c r="CIA41" s="38"/>
      <c r="CIB41" s="40"/>
      <c r="CIC41" s="41"/>
      <c r="CID41" s="40"/>
      <c r="CIE41" s="38"/>
      <c r="CIF41" s="42"/>
      <c r="CIG41" s="42"/>
      <c r="CIH41" s="42"/>
      <c r="CII41" s="38"/>
      <c r="CIJ41" s="38"/>
      <c r="CIK41" s="38"/>
      <c r="CIL41" s="39"/>
      <c r="CIM41" s="38"/>
      <c r="CIN41" s="38"/>
      <c r="CIO41" s="38"/>
      <c r="CIP41" s="40"/>
      <c r="CIQ41" s="41"/>
      <c r="CIR41" s="40"/>
      <c r="CIS41" s="38"/>
      <c r="CIT41" s="42"/>
      <c r="CIU41" s="42"/>
      <c r="CIV41" s="42"/>
      <c r="CIW41" s="38"/>
      <c r="CIX41" s="38"/>
      <c r="CIY41" s="38"/>
      <c r="CIZ41" s="39"/>
      <c r="CJA41" s="38"/>
      <c r="CJB41" s="38"/>
      <c r="CJC41" s="38"/>
      <c r="CJD41" s="40"/>
      <c r="CJE41" s="41"/>
      <c r="CJF41" s="40"/>
      <c r="CJG41" s="38"/>
      <c r="CJH41" s="42"/>
      <c r="CJI41" s="42"/>
      <c r="CJJ41" s="42"/>
      <c r="CJK41" s="38"/>
      <c r="CJL41" s="38"/>
      <c r="CJM41" s="38"/>
      <c r="CJN41" s="39"/>
      <c r="CJO41" s="38"/>
      <c r="CJP41" s="38"/>
      <c r="CJQ41" s="38"/>
      <c r="CJR41" s="40"/>
      <c r="CJS41" s="41"/>
      <c r="CJT41" s="40"/>
      <c r="CJU41" s="38"/>
      <c r="CJV41" s="42"/>
      <c r="CJW41" s="42"/>
      <c r="CJX41" s="42"/>
      <c r="CJY41" s="38"/>
      <c r="CJZ41" s="38"/>
      <c r="CKA41" s="38"/>
      <c r="CKB41" s="39"/>
      <c r="CKC41" s="38"/>
      <c r="CKD41" s="38"/>
      <c r="CKE41" s="38"/>
      <c r="CKF41" s="40"/>
      <c r="CKG41" s="41"/>
      <c r="CKH41" s="40"/>
      <c r="CKI41" s="38"/>
      <c r="CKJ41" s="42"/>
      <c r="CKK41" s="42"/>
      <c r="CKL41" s="42"/>
      <c r="CKM41" s="38"/>
      <c r="CKN41" s="38"/>
      <c r="CKO41" s="38"/>
      <c r="CKP41" s="39"/>
      <c r="CKQ41" s="38"/>
      <c r="CKR41" s="38"/>
      <c r="CKS41" s="38"/>
      <c r="CKT41" s="40"/>
      <c r="CKU41" s="41"/>
      <c r="CKV41" s="40"/>
      <c r="CKW41" s="38"/>
      <c r="CKX41" s="42"/>
      <c r="CKY41" s="42"/>
      <c r="CKZ41" s="42"/>
      <c r="CLA41" s="38"/>
      <c r="CLB41" s="38"/>
      <c r="CLC41" s="38"/>
      <c r="CLD41" s="39"/>
      <c r="CLE41" s="38"/>
      <c r="CLF41" s="38"/>
      <c r="CLG41" s="38"/>
      <c r="CLH41" s="40"/>
      <c r="CLI41" s="41"/>
      <c r="CLJ41" s="40"/>
      <c r="CLK41" s="38"/>
      <c r="CLL41" s="42"/>
      <c r="CLM41" s="42"/>
      <c r="CLN41" s="42"/>
      <c r="CLO41" s="38"/>
      <c r="CLP41" s="38"/>
      <c r="CLQ41" s="38"/>
      <c r="CLR41" s="39"/>
      <c r="CLS41" s="38"/>
      <c r="CLT41" s="38"/>
      <c r="CLU41" s="38"/>
      <c r="CLV41" s="40"/>
      <c r="CLW41" s="41"/>
      <c r="CLX41" s="40"/>
      <c r="CLY41" s="38"/>
      <c r="CLZ41" s="42"/>
      <c r="CMA41" s="42"/>
      <c r="CMB41" s="42"/>
      <c r="CMC41" s="38"/>
      <c r="CMD41" s="38"/>
      <c r="CME41" s="38"/>
      <c r="CMF41" s="39"/>
      <c r="CMG41" s="38"/>
      <c r="CMH41" s="38"/>
      <c r="CMI41" s="38"/>
      <c r="CMJ41" s="40"/>
      <c r="CMK41" s="41"/>
      <c r="CML41" s="40"/>
      <c r="CMM41" s="38"/>
      <c r="CMN41" s="42"/>
      <c r="CMO41" s="42"/>
      <c r="CMP41" s="42"/>
      <c r="CMQ41" s="38"/>
      <c r="CMR41" s="38"/>
      <c r="CMS41" s="38"/>
      <c r="CMT41" s="39"/>
      <c r="CMU41" s="38"/>
      <c r="CMV41" s="38"/>
      <c r="CMW41" s="38"/>
      <c r="CMX41" s="40"/>
      <c r="CMY41" s="41"/>
      <c r="CMZ41" s="40"/>
      <c r="CNA41" s="38"/>
      <c r="CNB41" s="42"/>
      <c r="CNC41" s="42"/>
      <c r="CND41" s="42"/>
      <c r="CNE41" s="38"/>
      <c r="CNF41" s="38"/>
      <c r="CNG41" s="38"/>
      <c r="CNH41" s="39"/>
      <c r="CNI41" s="38"/>
      <c r="CNJ41" s="38"/>
      <c r="CNK41" s="38"/>
      <c r="CNL41" s="40"/>
      <c r="CNM41" s="41"/>
      <c r="CNN41" s="40"/>
      <c r="CNO41" s="38"/>
      <c r="CNP41" s="42"/>
      <c r="CNQ41" s="42"/>
      <c r="CNR41" s="42"/>
      <c r="CNS41" s="38"/>
      <c r="CNT41" s="38"/>
      <c r="CNU41" s="38"/>
      <c r="CNV41" s="39"/>
      <c r="CNW41" s="38"/>
      <c r="CNX41" s="38"/>
      <c r="CNY41" s="38"/>
      <c r="CNZ41" s="40"/>
      <c r="COA41" s="41"/>
      <c r="COB41" s="40"/>
      <c r="COC41" s="38"/>
      <c r="COD41" s="42"/>
      <c r="COE41" s="42"/>
      <c r="COF41" s="42"/>
      <c r="COG41" s="38"/>
      <c r="COH41" s="38"/>
      <c r="COI41" s="38"/>
      <c r="COJ41" s="39"/>
      <c r="COK41" s="38"/>
      <c r="COL41" s="38"/>
      <c r="COM41" s="38"/>
      <c r="CON41" s="40"/>
      <c r="COO41" s="41"/>
      <c r="COP41" s="40"/>
      <c r="COQ41" s="38"/>
      <c r="COR41" s="42"/>
      <c r="COS41" s="42"/>
      <c r="COT41" s="42"/>
      <c r="COU41" s="38"/>
      <c r="COV41" s="38"/>
      <c r="COW41" s="38"/>
      <c r="COX41" s="39"/>
      <c r="COY41" s="38"/>
      <c r="COZ41" s="38"/>
      <c r="CPA41" s="38"/>
      <c r="CPB41" s="40"/>
      <c r="CPC41" s="41"/>
      <c r="CPD41" s="40"/>
      <c r="CPE41" s="38"/>
      <c r="CPF41" s="42"/>
      <c r="CPG41" s="42"/>
      <c r="CPH41" s="42"/>
      <c r="CPI41" s="38"/>
      <c r="CPJ41" s="38"/>
      <c r="CPK41" s="38"/>
      <c r="CPL41" s="39"/>
      <c r="CPM41" s="38"/>
      <c r="CPN41" s="38"/>
      <c r="CPO41" s="38"/>
      <c r="CPP41" s="40"/>
      <c r="CPQ41" s="41"/>
      <c r="CPR41" s="40"/>
      <c r="CPS41" s="38"/>
      <c r="CPT41" s="42"/>
      <c r="CPU41" s="42"/>
      <c r="CPV41" s="42"/>
      <c r="CPW41" s="38"/>
      <c r="CPX41" s="38"/>
      <c r="CPY41" s="38"/>
      <c r="CPZ41" s="39"/>
      <c r="CQA41" s="38"/>
      <c r="CQB41" s="38"/>
      <c r="CQC41" s="38"/>
      <c r="CQD41" s="40"/>
      <c r="CQE41" s="41"/>
      <c r="CQF41" s="40"/>
      <c r="CQG41" s="38"/>
      <c r="CQH41" s="42"/>
      <c r="CQI41" s="42"/>
      <c r="CQJ41" s="42"/>
      <c r="CQK41" s="38"/>
      <c r="CQL41" s="38"/>
      <c r="CQM41" s="38"/>
      <c r="CQN41" s="39"/>
      <c r="CQO41" s="38"/>
      <c r="CQP41" s="38"/>
      <c r="CQQ41" s="38"/>
      <c r="CQR41" s="40"/>
      <c r="CQS41" s="41"/>
      <c r="CQT41" s="40"/>
      <c r="CQU41" s="38"/>
      <c r="CQV41" s="42"/>
      <c r="CQW41" s="42"/>
      <c r="CQX41" s="42"/>
      <c r="CQY41" s="38"/>
      <c r="CQZ41" s="38"/>
      <c r="CRA41" s="38"/>
      <c r="CRB41" s="39"/>
      <c r="CRC41" s="38"/>
      <c r="CRD41" s="38"/>
      <c r="CRE41" s="38"/>
      <c r="CRF41" s="40"/>
      <c r="CRG41" s="41"/>
      <c r="CRH41" s="40"/>
      <c r="CRI41" s="38"/>
      <c r="CRJ41" s="42"/>
      <c r="CRK41" s="42"/>
      <c r="CRL41" s="42"/>
      <c r="CRM41" s="38"/>
      <c r="CRN41" s="38"/>
      <c r="CRO41" s="38"/>
      <c r="CRP41" s="39"/>
      <c r="CRQ41" s="38"/>
      <c r="CRR41" s="38"/>
      <c r="CRS41" s="38"/>
      <c r="CRT41" s="40"/>
      <c r="CRU41" s="41"/>
      <c r="CRV41" s="40"/>
      <c r="CRW41" s="38"/>
      <c r="CRX41" s="42"/>
      <c r="CRY41" s="42"/>
      <c r="CRZ41" s="42"/>
      <c r="CSA41" s="38"/>
      <c r="CSB41" s="38"/>
      <c r="CSC41" s="38"/>
      <c r="CSD41" s="39"/>
      <c r="CSE41" s="38"/>
      <c r="CSF41" s="38"/>
      <c r="CSG41" s="38"/>
      <c r="CSH41" s="40"/>
      <c r="CSI41" s="41"/>
      <c r="CSJ41" s="40"/>
      <c r="CSK41" s="38"/>
      <c r="CSL41" s="42"/>
      <c r="CSM41" s="42"/>
      <c r="CSN41" s="42"/>
      <c r="CSO41" s="38"/>
      <c r="CSP41" s="38"/>
      <c r="CSQ41" s="38"/>
      <c r="CSR41" s="39"/>
      <c r="CSS41" s="38"/>
      <c r="CST41" s="38"/>
      <c r="CSU41" s="38"/>
      <c r="CSV41" s="40"/>
      <c r="CSW41" s="41"/>
      <c r="CSX41" s="40"/>
      <c r="CSY41" s="38"/>
      <c r="CSZ41" s="42"/>
      <c r="CTA41" s="42"/>
      <c r="CTB41" s="42"/>
      <c r="CTC41" s="38"/>
      <c r="CTD41" s="38"/>
      <c r="CTE41" s="38"/>
      <c r="CTF41" s="39"/>
      <c r="CTG41" s="38"/>
      <c r="CTH41" s="38"/>
      <c r="CTI41" s="38"/>
      <c r="CTJ41" s="40"/>
      <c r="CTK41" s="41"/>
      <c r="CTL41" s="40"/>
      <c r="CTM41" s="38"/>
      <c r="CTN41" s="42"/>
      <c r="CTO41" s="42"/>
      <c r="CTP41" s="42"/>
      <c r="CTQ41" s="38"/>
      <c r="CTR41" s="38"/>
      <c r="CTS41" s="38"/>
      <c r="CTT41" s="39"/>
      <c r="CTU41" s="38"/>
      <c r="CTV41" s="38"/>
      <c r="CTW41" s="38"/>
      <c r="CTX41" s="40"/>
      <c r="CTY41" s="41"/>
      <c r="CTZ41" s="40"/>
      <c r="CUA41" s="38"/>
      <c r="CUB41" s="42"/>
      <c r="CUC41" s="42"/>
      <c r="CUD41" s="42"/>
      <c r="CUE41" s="38"/>
      <c r="CUF41" s="38"/>
      <c r="CUG41" s="38"/>
      <c r="CUH41" s="39"/>
      <c r="CUI41" s="38"/>
      <c r="CUJ41" s="38"/>
      <c r="CUK41" s="38"/>
      <c r="CUL41" s="40"/>
      <c r="CUM41" s="41"/>
      <c r="CUN41" s="40"/>
      <c r="CUO41" s="38"/>
      <c r="CUP41" s="42"/>
      <c r="CUQ41" s="42"/>
      <c r="CUR41" s="42"/>
      <c r="CUS41" s="38"/>
      <c r="CUT41" s="38"/>
      <c r="CUU41" s="38"/>
      <c r="CUV41" s="39"/>
      <c r="CUW41" s="38"/>
      <c r="CUX41" s="38"/>
      <c r="CUY41" s="38"/>
      <c r="CUZ41" s="40"/>
      <c r="CVA41" s="41"/>
      <c r="CVB41" s="40"/>
      <c r="CVC41" s="38"/>
      <c r="CVD41" s="42"/>
      <c r="CVE41" s="42"/>
      <c r="CVF41" s="42"/>
      <c r="CVG41" s="38"/>
      <c r="CVH41" s="38"/>
      <c r="CVI41" s="38"/>
      <c r="CVJ41" s="39"/>
      <c r="CVK41" s="38"/>
      <c r="CVL41" s="38"/>
      <c r="CVM41" s="38"/>
      <c r="CVN41" s="40"/>
      <c r="CVO41" s="41"/>
      <c r="CVP41" s="40"/>
      <c r="CVQ41" s="38"/>
      <c r="CVR41" s="42"/>
      <c r="CVS41" s="42"/>
      <c r="CVT41" s="42"/>
      <c r="CVU41" s="38"/>
      <c r="CVV41" s="38"/>
      <c r="CVW41" s="38"/>
      <c r="CVX41" s="39"/>
      <c r="CVY41" s="38"/>
      <c r="CVZ41" s="38"/>
      <c r="CWA41" s="38"/>
      <c r="CWB41" s="40"/>
      <c r="CWC41" s="41"/>
      <c r="CWD41" s="40"/>
      <c r="CWE41" s="38"/>
      <c r="CWF41" s="42"/>
      <c r="CWG41" s="42"/>
      <c r="CWH41" s="42"/>
      <c r="CWI41" s="38"/>
      <c r="CWJ41" s="38"/>
      <c r="CWK41" s="38"/>
      <c r="CWL41" s="39"/>
      <c r="CWM41" s="38"/>
      <c r="CWN41" s="38"/>
      <c r="CWO41" s="38"/>
      <c r="CWP41" s="40"/>
      <c r="CWQ41" s="41"/>
      <c r="CWR41" s="40"/>
      <c r="CWS41" s="38"/>
      <c r="CWT41" s="42"/>
      <c r="CWU41" s="42"/>
      <c r="CWV41" s="42"/>
      <c r="CWW41" s="38"/>
      <c r="CWX41" s="38"/>
      <c r="CWY41" s="38"/>
      <c r="CWZ41" s="39"/>
      <c r="CXA41" s="38"/>
      <c r="CXB41" s="38"/>
      <c r="CXC41" s="38"/>
      <c r="CXD41" s="40"/>
      <c r="CXE41" s="41"/>
      <c r="CXF41" s="40"/>
      <c r="CXG41" s="38"/>
      <c r="CXH41" s="42"/>
      <c r="CXI41" s="42"/>
      <c r="CXJ41" s="42"/>
      <c r="CXK41" s="38"/>
      <c r="CXL41" s="38"/>
      <c r="CXM41" s="38"/>
      <c r="CXN41" s="39"/>
      <c r="CXO41" s="38"/>
      <c r="CXP41" s="38"/>
      <c r="CXQ41" s="38"/>
      <c r="CXR41" s="40"/>
      <c r="CXS41" s="41"/>
      <c r="CXT41" s="40"/>
      <c r="CXU41" s="38"/>
      <c r="CXV41" s="42"/>
      <c r="CXW41" s="42"/>
      <c r="CXX41" s="42"/>
      <c r="CXY41" s="38"/>
      <c r="CXZ41" s="38"/>
      <c r="CYA41" s="38"/>
      <c r="CYB41" s="39"/>
      <c r="CYC41" s="38"/>
      <c r="CYD41" s="38"/>
      <c r="CYE41" s="38"/>
      <c r="CYF41" s="40"/>
      <c r="CYG41" s="41"/>
      <c r="CYH41" s="40"/>
      <c r="CYI41" s="38"/>
      <c r="CYJ41" s="42"/>
      <c r="CYK41" s="42"/>
      <c r="CYL41" s="42"/>
      <c r="CYM41" s="38"/>
      <c r="CYN41" s="38"/>
      <c r="CYO41" s="38"/>
      <c r="CYP41" s="39"/>
      <c r="CYQ41" s="38"/>
      <c r="CYR41" s="38"/>
      <c r="CYS41" s="38"/>
      <c r="CYT41" s="40"/>
      <c r="CYU41" s="41"/>
      <c r="CYV41" s="40"/>
      <c r="CYW41" s="38"/>
      <c r="CYX41" s="42"/>
      <c r="CYY41" s="42"/>
      <c r="CYZ41" s="42"/>
      <c r="CZA41" s="38"/>
      <c r="CZB41" s="38"/>
      <c r="CZC41" s="38"/>
      <c r="CZD41" s="39"/>
      <c r="CZE41" s="38"/>
      <c r="CZF41" s="38"/>
      <c r="CZG41" s="38"/>
      <c r="CZH41" s="40"/>
      <c r="CZI41" s="41"/>
      <c r="CZJ41" s="40"/>
      <c r="CZK41" s="38"/>
      <c r="CZL41" s="42"/>
      <c r="CZM41" s="42"/>
      <c r="CZN41" s="42"/>
      <c r="CZO41" s="38"/>
      <c r="CZP41" s="38"/>
      <c r="CZQ41" s="38"/>
      <c r="CZR41" s="39"/>
      <c r="CZS41" s="38"/>
      <c r="CZT41" s="38"/>
      <c r="CZU41" s="38"/>
      <c r="CZV41" s="40"/>
      <c r="CZW41" s="41"/>
      <c r="CZX41" s="40"/>
      <c r="CZY41" s="38"/>
      <c r="CZZ41" s="42"/>
      <c r="DAA41" s="42"/>
      <c r="DAB41" s="42"/>
      <c r="DAC41" s="38"/>
      <c r="DAD41" s="38"/>
      <c r="DAE41" s="38"/>
      <c r="DAF41" s="39"/>
      <c r="DAG41" s="38"/>
      <c r="DAH41" s="38"/>
      <c r="DAI41" s="38"/>
      <c r="DAJ41" s="40"/>
      <c r="DAK41" s="41"/>
      <c r="DAL41" s="40"/>
      <c r="DAM41" s="38"/>
      <c r="DAN41" s="42"/>
      <c r="DAO41" s="42"/>
      <c r="DAP41" s="42"/>
      <c r="DAQ41" s="38"/>
      <c r="DAR41" s="38"/>
      <c r="DAS41" s="38"/>
      <c r="DAT41" s="39"/>
      <c r="DAU41" s="38"/>
      <c r="DAV41" s="38"/>
      <c r="DAW41" s="38"/>
      <c r="DAX41" s="40"/>
      <c r="DAY41" s="41"/>
      <c r="DAZ41" s="40"/>
      <c r="DBA41" s="38"/>
      <c r="DBB41" s="42"/>
      <c r="DBC41" s="42"/>
      <c r="DBD41" s="42"/>
      <c r="DBE41" s="38"/>
      <c r="DBF41" s="38"/>
      <c r="DBG41" s="38"/>
      <c r="DBH41" s="39"/>
      <c r="DBI41" s="38"/>
      <c r="DBJ41" s="38"/>
      <c r="DBK41" s="38"/>
      <c r="DBL41" s="40"/>
      <c r="DBM41" s="41"/>
      <c r="DBN41" s="40"/>
      <c r="DBO41" s="38"/>
      <c r="DBP41" s="42"/>
      <c r="DBQ41" s="42"/>
      <c r="DBR41" s="42"/>
      <c r="DBS41" s="38"/>
      <c r="DBT41" s="38"/>
      <c r="DBU41" s="38"/>
      <c r="DBV41" s="39"/>
      <c r="DBW41" s="38"/>
      <c r="DBX41" s="38"/>
      <c r="DBY41" s="38"/>
      <c r="DBZ41" s="40"/>
      <c r="DCA41" s="41"/>
      <c r="DCB41" s="40"/>
      <c r="DCC41" s="38"/>
      <c r="DCD41" s="42"/>
      <c r="DCE41" s="42"/>
      <c r="DCF41" s="42"/>
      <c r="DCG41" s="38"/>
      <c r="DCH41" s="38"/>
      <c r="DCI41" s="38"/>
      <c r="DCJ41" s="39"/>
      <c r="DCK41" s="38"/>
      <c r="DCL41" s="38"/>
      <c r="DCM41" s="38"/>
      <c r="DCN41" s="40"/>
      <c r="DCO41" s="41"/>
      <c r="DCP41" s="40"/>
      <c r="DCQ41" s="38"/>
      <c r="DCR41" s="42"/>
      <c r="DCS41" s="42"/>
      <c r="DCT41" s="42"/>
      <c r="DCU41" s="38"/>
      <c r="DCV41" s="38"/>
      <c r="DCW41" s="38"/>
      <c r="DCX41" s="39"/>
      <c r="DCY41" s="38"/>
      <c r="DCZ41" s="38"/>
      <c r="DDA41" s="38"/>
      <c r="DDB41" s="40"/>
      <c r="DDC41" s="41"/>
      <c r="DDD41" s="40"/>
      <c r="DDE41" s="38"/>
      <c r="DDF41" s="42"/>
      <c r="DDG41" s="42"/>
      <c r="DDH41" s="42"/>
      <c r="DDI41" s="38"/>
      <c r="DDJ41" s="38"/>
      <c r="DDK41" s="38"/>
      <c r="DDL41" s="39"/>
      <c r="DDM41" s="38"/>
      <c r="DDN41" s="38"/>
      <c r="DDO41" s="38"/>
      <c r="DDP41" s="40"/>
      <c r="DDQ41" s="41"/>
      <c r="DDR41" s="40"/>
      <c r="DDS41" s="38"/>
      <c r="DDT41" s="42"/>
      <c r="DDU41" s="42"/>
      <c r="DDV41" s="42"/>
      <c r="DDW41" s="38"/>
      <c r="DDX41" s="38"/>
      <c r="DDY41" s="38"/>
      <c r="DDZ41" s="39"/>
      <c r="DEA41" s="38"/>
      <c r="DEB41" s="38"/>
      <c r="DEC41" s="38"/>
      <c r="DED41" s="40"/>
      <c r="DEE41" s="41"/>
      <c r="DEF41" s="40"/>
      <c r="DEG41" s="38"/>
      <c r="DEH41" s="42"/>
      <c r="DEI41" s="42"/>
      <c r="DEJ41" s="42"/>
      <c r="DEK41" s="38"/>
      <c r="DEL41" s="38"/>
      <c r="DEM41" s="38"/>
      <c r="DEN41" s="39"/>
      <c r="DEO41" s="38"/>
      <c r="DEP41" s="38"/>
      <c r="DEQ41" s="38"/>
      <c r="DER41" s="40"/>
      <c r="DES41" s="41"/>
      <c r="DET41" s="40"/>
      <c r="DEU41" s="38"/>
      <c r="DEV41" s="42"/>
      <c r="DEW41" s="42"/>
      <c r="DEX41" s="42"/>
      <c r="DEY41" s="38"/>
      <c r="DEZ41" s="38"/>
      <c r="DFA41" s="38"/>
      <c r="DFB41" s="39"/>
      <c r="DFC41" s="38"/>
      <c r="DFD41" s="38"/>
      <c r="DFE41" s="38"/>
      <c r="DFF41" s="40"/>
      <c r="DFG41" s="41"/>
      <c r="DFH41" s="40"/>
      <c r="DFI41" s="38"/>
      <c r="DFJ41" s="42"/>
      <c r="DFK41" s="42"/>
      <c r="DFL41" s="42"/>
      <c r="DFM41" s="38"/>
      <c r="DFN41" s="38"/>
      <c r="DFO41" s="38"/>
      <c r="DFP41" s="39"/>
      <c r="DFQ41" s="38"/>
      <c r="DFR41" s="38"/>
      <c r="DFS41" s="38"/>
      <c r="DFT41" s="40"/>
      <c r="DFU41" s="41"/>
      <c r="DFV41" s="40"/>
      <c r="DFW41" s="38"/>
      <c r="DFX41" s="42"/>
      <c r="DFY41" s="42"/>
      <c r="DFZ41" s="42"/>
      <c r="DGA41" s="38"/>
      <c r="DGB41" s="38"/>
      <c r="DGC41" s="38"/>
      <c r="DGD41" s="39"/>
      <c r="DGE41" s="38"/>
      <c r="DGF41" s="38"/>
      <c r="DGG41" s="38"/>
      <c r="DGH41" s="40"/>
      <c r="DGI41" s="41"/>
      <c r="DGJ41" s="40"/>
      <c r="DGK41" s="38"/>
      <c r="DGL41" s="42"/>
      <c r="DGM41" s="42"/>
      <c r="DGN41" s="42"/>
      <c r="DGO41" s="38"/>
      <c r="DGP41" s="38"/>
      <c r="DGQ41" s="38"/>
      <c r="DGR41" s="39"/>
      <c r="DGS41" s="38"/>
      <c r="DGT41" s="38"/>
      <c r="DGU41" s="38"/>
      <c r="DGV41" s="40"/>
      <c r="DGW41" s="41"/>
      <c r="DGX41" s="40"/>
      <c r="DGY41" s="38"/>
      <c r="DGZ41" s="42"/>
      <c r="DHA41" s="42"/>
      <c r="DHB41" s="42"/>
      <c r="DHC41" s="38"/>
      <c r="DHD41" s="38"/>
      <c r="DHE41" s="38"/>
      <c r="DHF41" s="39"/>
      <c r="DHG41" s="38"/>
      <c r="DHH41" s="38"/>
      <c r="DHI41" s="38"/>
      <c r="DHJ41" s="40"/>
      <c r="DHK41" s="41"/>
      <c r="DHL41" s="40"/>
      <c r="DHM41" s="38"/>
      <c r="DHN41" s="42"/>
      <c r="DHO41" s="42"/>
      <c r="DHP41" s="42"/>
      <c r="DHQ41" s="38"/>
      <c r="DHR41" s="38"/>
      <c r="DHS41" s="38"/>
      <c r="DHT41" s="39"/>
      <c r="DHU41" s="38"/>
      <c r="DHV41" s="38"/>
      <c r="DHW41" s="38"/>
      <c r="DHX41" s="40"/>
      <c r="DHY41" s="41"/>
      <c r="DHZ41" s="40"/>
      <c r="DIA41" s="38"/>
      <c r="DIB41" s="42"/>
      <c r="DIC41" s="42"/>
      <c r="DID41" s="42"/>
      <c r="DIE41" s="38"/>
      <c r="DIF41" s="38"/>
      <c r="DIG41" s="38"/>
      <c r="DIH41" s="39"/>
      <c r="DII41" s="38"/>
      <c r="DIJ41" s="38"/>
      <c r="DIK41" s="38"/>
      <c r="DIL41" s="40"/>
      <c r="DIM41" s="41"/>
      <c r="DIN41" s="40"/>
      <c r="DIO41" s="38"/>
      <c r="DIP41" s="42"/>
      <c r="DIQ41" s="42"/>
      <c r="DIR41" s="42"/>
      <c r="DIS41" s="38"/>
      <c r="DIT41" s="38"/>
      <c r="DIU41" s="38"/>
      <c r="DIV41" s="39"/>
      <c r="DIW41" s="38"/>
      <c r="DIX41" s="38"/>
      <c r="DIY41" s="38"/>
      <c r="DIZ41" s="40"/>
      <c r="DJA41" s="41"/>
      <c r="DJB41" s="40"/>
      <c r="DJC41" s="38"/>
      <c r="DJD41" s="42"/>
      <c r="DJE41" s="42"/>
      <c r="DJF41" s="42"/>
      <c r="DJG41" s="38"/>
      <c r="DJH41" s="38"/>
      <c r="DJI41" s="38"/>
      <c r="DJJ41" s="39"/>
      <c r="DJK41" s="38"/>
      <c r="DJL41" s="38"/>
      <c r="DJM41" s="38"/>
      <c r="DJN41" s="40"/>
      <c r="DJO41" s="41"/>
      <c r="DJP41" s="40"/>
      <c r="DJQ41" s="38"/>
      <c r="DJR41" s="42"/>
      <c r="DJS41" s="42"/>
      <c r="DJT41" s="42"/>
      <c r="DJU41" s="38"/>
      <c r="DJV41" s="38"/>
      <c r="DJW41" s="38"/>
      <c r="DJX41" s="39"/>
      <c r="DJY41" s="38"/>
      <c r="DJZ41" s="38"/>
      <c r="DKA41" s="38"/>
      <c r="DKB41" s="40"/>
      <c r="DKC41" s="41"/>
      <c r="DKD41" s="40"/>
      <c r="DKE41" s="38"/>
      <c r="DKF41" s="42"/>
      <c r="DKG41" s="42"/>
      <c r="DKH41" s="42"/>
      <c r="DKI41" s="38"/>
      <c r="DKJ41" s="38"/>
      <c r="DKK41" s="38"/>
      <c r="DKL41" s="39"/>
      <c r="DKM41" s="38"/>
      <c r="DKN41" s="38"/>
      <c r="DKO41" s="38"/>
      <c r="DKP41" s="40"/>
      <c r="DKQ41" s="41"/>
      <c r="DKR41" s="40"/>
      <c r="DKS41" s="38"/>
      <c r="DKT41" s="42"/>
      <c r="DKU41" s="42"/>
      <c r="DKV41" s="42"/>
      <c r="DKW41" s="38"/>
      <c r="DKX41" s="38"/>
      <c r="DKY41" s="38"/>
      <c r="DKZ41" s="39"/>
      <c r="DLA41" s="38"/>
      <c r="DLB41" s="38"/>
      <c r="DLC41" s="38"/>
      <c r="DLD41" s="40"/>
      <c r="DLE41" s="41"/>
      <c r="DLF41" s="40"/>
      <c r="DLG41" s="38"/>
      <c r="DLH41" s="42"/>
      <c r="DLI41" s="42"/>
      <c r="DLJ41" s="42"/>
      <c r="DLK41" s="38"/>
      <c r="DLL41" s="38"/>
      <c r="DLM41" s="38"/>
      <c r="DLN41" s="39"/>
      <c r="DLO41" s="38"/>
      <c r="DLP41" s="38"/>
      <c r="DLQ41" s="38"/>
      <c r="DLR41" s="40"/>
      <c r="DLS41" s="41"/>
      <c r="DLT41" s="40"/>
      <c r="DLU41" s="38"/>
      <c r="DLV41" s="42"/>
      <c r="DLW41" s="42"/>
      <c r="DLX41" s="42"/>
      <c r="DLY41" s="38"/>
      <c r="DLZ41" s="38"/>
      <c r="DMA41" s="38"/>
      <c r="DMB41" s="39"/>
      <c r="DMC41" s="38"/>
      <c r="DMD41" s="38"/>
      <c r="DME41" s="38"/>
      <c r="DMF41" s="40"/>
      <c r="DMG41" s="41"/>
      <c r="DMH41" s="40"/>
      <c r="DMI41" s="38"/>
      <c r="DMJ41" s="42"/>
      <c r="DMK41" s="42"/>
      <c r="DML41" s="42"/>
      <c r="DMM41" s="38"/>
      <c r="DMN41" s="38"/>
      <c r="DMO41" s="38"/>
      <c r="DMP41" s="39"/>
      <c r="DMQ41" s="38"/>
      <c r="DMR41" s="38"/>
      <c r="DMS41" s="38"/>
      <c r="DMT41" s="40"/>
      <c r="DMU41" s="41"/>
      <c r="DMV41" s="40"/>
      <c r="DMW41" s="38"/>
      <c r="DMX41" s="42"/>
      <c r="DMY41" s="42"/>
      <c r="DMZ41" s="42"/>
      <c r="DNA41" s="38"/>
      <c r="DNB41" s="38"/>
      <c r="DNC41" s="38"/>
      <c r="DND41" s="39"/>
      <c r="DNE41" s="38"/>
      <c r="DNF41" s="38"/>
      <c r="DNG41" s="38"/>
      <c r="DNH41" s="40"/>
      <c r="DNI41" s="41"/>
      <c r="DNJ41" s="40"/>
      <c r="DNK41" s="38"/>
      <c r="DNL41" s="42"/>
      <c r="DNM41" s="42"/>
      <c r="DNN41" s="42"/>
      <c r="DNO41" s="38"/>
      <c r="DNP41" s="38"/>
      <c r="DNQ41" s="38"/>
      <c r="DNR41" s="39"/>
      <c r="DNS41" s="38"/>
      <c r="DNT41" s="38"/>
      <c r="DNU41" s="38"/>
      <c r="DNV41" s="40"/>
      <c r="DNW41" s="41"/>
      <c r="DNX41" s="40"/>
      <c r="DNY41" s="38"/>
      <c r="DNZ41" s="42"/>
      <c r="DOA41" s="42"/>
      <c r="DOB41" s="42"/>
      <c r="DOC41" s="38"/>
      <c r="DOD41" s="38"/>
      <c r="DOE41" s="38"/>
      <c r="DOF41" s="39"/>
      <c r="DOG41" s="38"/>
      <c r="DOH41" s="38"/>
      <c r="DOI41" s="38"/>
      <c r="DOJ41" s="40"/>
      <c r="DOK41" s="41"/>
      <c r="DOL41" s="40"/>
      <c r="DOM41" s="38"/>
      <c r="DON41" s="42"/>
      <c r="DOO41" s="42"/>
      <c r="DOP41" s="42"/>
      <c r="DOQ41" s="38"/>
      <c r="DOR41" s="38"/>
      <c r="DOS41" s="38"/>
      <c r="DOT41" s="39"/>
      <c r="DOU41" s="38"/>
      <c r="DOV41" s="38"/>
      <c r="DOW41" s="38"/>
      <c r="DOX41" s="40"/>
      <c r="DOY41" s="41"/>
      <c r="DOZ41" s="40"/>
      <c r="DPA41" s="38"/>
      <c r="DPB41" s="42"/>
      <c r="DPC41" s="42"/>
      <c r="DPD41" s="42"/>
      <c r="DPE41" s="38"/>
      <c r="DPF41" s="38"/>
      <c r="DPG41" s="38"/>
      <c r="DPH41" s="39"/>
      <c r="DPI41" s="38"/>
      <c r="DPJ41" s="38"/>
      <c r="DPK41" s="38"/>
      <c r="DPL41" s="40"/>
      <c r="DPM41" s="41"/>
      <c r="DPN41" s="40"/>
      <c r="DPO41" s="38"/>
      <c r="DPP41" s="42"/>
      <c r="DPQ41" s="42"/>
      <c r="DPR41" s="42"/>
      <c r="DPS41" s="38"/>
      <c r="DPT41" s="38"/>
      <c r="DPU41" s="38"/>
      <c r="DPV41" s="39"/>
      <c r="DPW41" s="38"/>
      <c r="DPX41" s="38"/>
      <c r="DPY41" s="38"/>
      <c r="DPZ41" s="40"/>
      <c r="DQA41" s="41"/>
      <c r="DQB41" s="40"/>
      <c r="DQC41" s="38"/>
      <c r="DQD41" s="42"/>
      <c r="DQE41" s="42"/>
      <c r="DQF41" s="42"/>
      <c r="DQG41" s="38"/>
      <c r="DQH41" s="38"/>
      <c r="DQI41" s="38"/>
      <c r="DQJ41" s="39"/>
      <c r="DQK41" s="38"/>
      <c r="DQL41" s="38"/>
      <c r="DQM41" s="38"/>
      <c r="DQN41" s="40"/>
      <c r="DQO41" s="41"/>
      <c r="DQP41" s="40"/>
      <c r="DQQ41" s="38"/>
      <c r="DQR41" s="42"/>
      <c r="DQS41" s="42"/>
      <c r="DQT41" s="42"/>
      <c r="DQU41" s="38"/>
      <c r="DQV41" s="38"/>
      <c r="DQW41" s="38"/>
      <c r="DQX41" s="39"/>
      <c r="DQY41" s="38"/>
      <c r="DQZ41" s="38"/>
      <c r="DRA41" s="38"/>
      <c r="DRB41" s="40"/>
      <c r="DRC41" s="41"/>
      <c r="DRD41" s="40"/>
      <c r="DRE41" s="38"/>
      <c r="DRF41" s="42"/>
      <c r="DRG41" s="42"/>
      <c r="DRH41" s="42"/>
      <c r="DRI41" s="38"/>
      <c r="DRJ41" s="38"/>
      <c r="DRK41" s="38"/>
      <c r="DRL41" s="39"/>
      <c r="DRM41" s="38"/>
      <c r="DRN41" s="38"/>
      <c r="DRO41" s="38"/>
      <c r="DRP41" s="40"/>
      <c r="DRQ41" s="41"/>
      <c r="DRR41" s="40"/>
      <c r="DRS41" s="38"/>
      <c r="DRT41" s="42"/>
      <c r="DRU41" s="42"/>
      <c r="DRV41" s="42"/>
      <c r="DRW41" s="38"/>
      <c r="DRX41" s="38"/>
      <c r="DRY41" s="38"/>
      <c r="DRZ41" s="39"/>
      <c r="DSA41" s="38"/>
      <c r="DSB41" s="38"/>
      <c r="DSC41" s="38"/>
      <c r="DSD41" s="40"/>
      <c r="DSE41" s="41"/>
      <c r="DSF41" s="40"/>
      <c r="DSG41" s="38"/>
      <c r="DSH41" s="42"/>
      <c r="DSI41" s="42"/>
      <c r="DSJ41" s="42"/>
      <c r="DSK41" s="38"/>
      <c r="DSL41" s="38"/>
      <c r="DSM41" s="38"/>
      <c r="DSN41" s="39"/>
      <c r="DSO41" s="38"/>
      <c r="DSP41" s="38"/>
      <c r="DSQ41" s="38"/>
      <c r="DSR41" s="40"/>
      <c r="DSS41" s="41"/>
      <c r="DST41" s="40"/>
      <c r="DSU41" s="38"/>
      <c r="DSV41" s="42"/>
      <c r="DSW41" s="42"/>
      <c r="DSX41" s="42"/>
      <c r="DSY41" s="38"/>
      <c r="DSZ41" s="38"/>
      <c r="DTA41" s="38"/>
      <c r="DTB41" s="39"/>
      <c r="DTC41" s="38"/>
      <c r="DTD41" s="38"/>
      <c r="DTE41" s="38"/>
      <c r="DTF41" s="40"/>
      <c r="DTG41" s="41"/>
      <c r="DTH41" s="40"/>
      <c r="DTI41" s="38"/>
      <c r="DTJ41" s="42"/>
      <c r="DTK41" s="42"/>
      <c r="DTL41" s="42"/>
      <c r="DTM41" s="38"/>
      <c r="DTN41" s="38"/>
      <c r="DTO41" s="38"/>
      <c r="DTP41" s="39"/>
      <c r="DTQ41" s="38"/>
      <c r="DTR41" s="38"/>
      <c r="DTS41" s="38"/>
      <c r="DTT41" s="40"/>
      <c r="DTU41" s="41"/>
      <c r="DTV41" s="40"/>
      <c r="DTW41" s="38"/>
      <c r="DTX41" s="42"/>
      <c r="DTY41" s="42"/>
      <c r="DTZ41" s="42"/>
      <c r="DUA41" s="38"/>
      <c r="DUB41" s="38"/>
      <c r="DUC41" s="38"/>
      <c r="DUD41" s="39"/>
      <c r="DUE41" s="38"/>
      <c r="DUF41" s="38"/>
      <c r="DUG41" s="38"/>
      <c r="DUH41" s="40"/>
      <c r="DUI41" s="41"/>
      <c r="DUJ41" s="40"/>
      <c r="DUK41" s="38"/>
      <c r="DUL41" s="42"/>
      <c r="DUM41" s="42"/>
      <c r="DUN41" s="42"/>
      <c r="DUO41" s="38"/>
      <c r="DUP41" s="38"/>
      <c r="DUQ41" s="38"/>
      <c r="DUR41" s="39"/>
      <c r="DUS41" s="38"/>
      <c r="DUT41" s="38"/>
      <c r="DUU41" s="38"/>
      <c r="DUV41" s="40"/>
      <c r="DUW41" s="41"/>
      <c r="DUX41" s="40"/>
      <c r="DUY41" s="38"/>
      <c r="DUZ41" s="42"/>
      <c r="DVA41" s="42"/>
      <c r="DVB41" s="42"/>
      <c r="DVC41" s="38"/>
      <c r="DVD41" s="38"/>
      <c r="DVE41" s="38"/>
      <c r="DVF41" s="39"/>
      <c r="DVG41" s="38"/>
      <c r="DVH41" s="38"/>
      <c r="DVI41" s="38"/>
      <c r="DVJ41" s="40"/>
      <c r="DVK41" s="41"/>
      <c r="DVL41" s="40"/>
      <c r="DVM41" s="38"/>
      <c r="DVN41" s="42"/>
      <c r="DVO41" s="42"/>
      <c r="DVP41" s="42"/>
      <c r="DVQ41" s="38"/>
      <c r="DVR41" s="38"/>
      <c r="DVS41" s="38"/>
      <c r="DVT41" s="39"/>
      <c r="DVU41" s="38"/>
      <c r="DVV41" s="38"/>
      <c r="DVW41" s="38"/>
      <c r="DVX41" s="40"/>
      <c r="DVY41" s="41"/>
      <c r="DVZ41" s="40"/>
      <c r="DWA41" s="38"/>
      <c r="DWB41" s="42"/>
      <c r="DWC41" s="42"/>
      <c r="DWD41" s="42"/>
      <c r="DWE41" s="38"/>
      <c r="DWF41" s="38"/>
      <c r="DWG41" s="38"/>
      <c r="DWH41" s="39"/>
      <c r="DWI41" s="38"/>
      <c r="DWJ41" s="38"/>
      <c r="DWK41" s="38"/>
      <c r="DWL41" s="40"/>
      <c r="DWM41" s="41"/>
      <c r="DWN41" s="40"/>
      <c r="DWO41" s="38"/>
      <c r="DWP41" s="42"/>
      <c r="DWQ41" s="42"/>
      <c r="DWR41" s="42"/>
      <c r="DWS41" s="38"/>
      <c r="DWT41" s="38"/>
      <c r="DWU41" s="38"/>
      <c r="DWV41" s="39"/>
      <c r="DWW41" s="38"/>
      <c r="DWX41" s="38"/>
      <c r="DWY41" s="38"/>
      <c r="DWZ41" s="40"/>
      <c r="DXA41" s="41"/>
      <c r="DXB41" s="40"/>
      <c r="DXC41" s="38"/>
      <c r="DXD41" s="42"/>
      <c r="DXE41" s="42"/>
      <c r="DXF41" s="42"/>
      <c r="DXG41" s="38"/>
      <c r="DXH41" s="38"/>
      <c r="DXI41" s="38"/>
      <c r="DXJ41" s="39"/>
      <c r="DXK41" s="38"/>
      <c r="DXL41" s="38"/>
      <c r="DXM41" s="38"/>
      <c r="DXN41" s="40"/>
      <c r="DXO41" s="41"/>
      <c r="DXP41" s="40"/>
      <c r="DXQ41" s="38"/>
      <c r="DXR41" s="42"/>
      <c r="DXS41" s="42"/>
      <c r="DXT41" s="42"/>
      <c r="DXU41" s="38"/>
      <c r="DXV41" s="38"/>
      <c r="DXW41" s="38"/>
      <c r="DXX41" s="39"/>
      <c r="DXY41" s="38"/>
      <c r="DXZ41" s="38"/>
      <c r="DYA41" s="38"/>
      <c r="DYB41" s="40"/>
      <c r="DYC41" s="41"/>
      <c r="DYD41" s="40"/>
      <c r="DYE41" s="38"/>
      <c r="DYF41" s="42"/>
      <c r="DYG41" s="42"/>
      <c r="DYH41" s="42"/>
      <c r="DYI41" s="38"/>
      <c r="DYJ41" s="38"/>
      <c r="DYK41" s="38"/>
      <c r="DYL41" s="39"/>
      <c r="DYM41" s="38"/>
      <c r="DYN41" s="38"/>
      <c r="DYO41" s="38"/>
      <c r="DYP41" s="40"/>
      <c r="DYQ41" s="41"/>
      <c r="DYR41" s="40"/>
      <c r="DYS41" s="38"/>
      <c r="DYT41" s="42"/>
      <c r="DYU41" s="42"/>
      <c r="DYV41" s="42"/>
      <c r="DYW41" s="38"/>
      <c r="DYX41" s="38"/>
      <c r="DYY41" s="38"/>
      <c r="DYZ41" s="39"/>
      <c r="DZA41" s="38"/>
      <c r="DZB41" s="38"/>
      <c r="DZC41" s="38"/>
      <c r="DZD41" s="40"/>
      <c r="DZE41" s="41"/>
      <c r="DZF41" s="40"/>
      <c r="DZG41" s="38"/>
      <c r="DZH41" s="42"/>
      <c r="DZI41" s="42"/>
      <c r="DZJ41" s="42"/>
      <c r="DZK41" s="38"/>
      <c r="DZL41" s="38"/>
      <c r="DZM41" s="38"/>
      <c r="DZN41" s="39"/>
      <c r="DZO41" s="38"/>
      <c r="DZP41" s="38"/>
      <c r="DZQ41" s="38"/>
      <c r="DZR41" s="40"/>
      <c r="DZS41" s="41"/>
      <c r="DZT41" s="40"/>
      <c r="DZU41" s="38"/>
      <c r="DZV41" s="42"/>
      <c r="DZW41" s="42"/>
      <c r="DZX41" s="42"/>
      <c r="DZY41" s="38"/>
      <c r="DZZ41" s="38"/>
      <c r="EAA41" s="38"/>
      <c r="EAB41" s="39"/>
      <c r="EAC41" s="38"/>
      <c r="EAD41" s="38"/>
      <c r="EAE41" s="38"/>
      <c r="EAF41" s="40"/>
      <c r="EAG41" s="41"/>
      <c r="EAH41" s="40"/>
      <c r="EAI41" s="38"/>
      <c r="EAJ41" s="42"/>
      <c r="EAK41" s="42"/>
      <c r="EAL41" s="42"/>
      <c r="EAM41" s="38"/>
      <c r="EAN41" s="38"/>
      <c r="EAO41" s="38"/>
      <c r="EAP41" s="39"/>
      <c r="EAQ41" s="38"/>
      <c r="EAR41" s="38"/>
      <c r="EAS41" s="38"/>
      <c r="EAT41" s="40"/>
      <c r="EAU41" s="41"/>
      <c r="EAV41" s="40"/>
      <c r="EAW41" s="38"/>
      <c r="EAX41" s="42"/>
      <c r="EAY41" s="42"/>
      <c r="EAZ41" s="42"/>
      <c r="EBA41" s="38"/>
      <c r="EBB41" s="38"/>
      <c r="EBC41" s="38"/>
      <c r="EBD41" s="39"/>
      <c r="EBE41" s="38"/>
      <c r="EBF41" s="38"/>
      <c r="EBG41" s="38"/>
      <c r="EBH41" s="40"/>
      <c r="EBI41" s="41"/>
      <c r="EBJ41" s="40"/>
      <c r="EBK41" s="38"/>
      <c r="EBL41" s="42"/>
      <c r="EBM41" s="42"/>
      <c r="EBN41" s="42"/>
      <c r="EBO41" s="38"/>
      <c r="EBP41" s="38"/>
      <c r="EBQ41" s="38"/>
      <c r="EBR41" s="39"/>
      <c r="EBS41" s="38"/>
      <c r="EBT41" s="38"/>
      <c r="EBU41" s="38"/>
      <c r="EBV41" s="40"/>
      <c r="EBW41" s="41"/>
      <c r="EBX41" s="40"/>
      <c r="EBY41" s="38"/>
      <c r="EBZ41" s="42"/>
      <c r="ECA41" s="42"/>
      <c r="ECB41" s="42"/>
      <c r="ECC41" s="38"/>
      <c r="ECD41" s="38"/>
      <c r="ECE41" s="38"/>
      <c r="ECF41" s="39"/>
      <c r="ECG41" s="38"/>
      <c r="ECH41" s="38"/>
      <c r="ECI41" s="38"/>
      <c r="ECJ41" s="40"/>
      <c r="ECK41" s="41"/>
      <c r="ECL41" s="40"/>
      <c r="ECM41" s="38"/>
      <c r="ECN41" s="42"/>
      <c r="ECO41" s="42"/>
      <c r="ECP41" s="42"/>
      <c r="ECQ41" s="38"/>
      <c r="ECR41" s="38"/>
      <c r="ECS41" s="38"/>
      <c r="ECT41" s="39"/>
      <c r="ECU41" s="38"/>
      <c r="ECV41" s="38"/>
      <c r="ECW41" s="38"/>
      <c r="ECX41" s="40"/>
      <c r="ECY41" s="41"/>
      <c r="ECZ41" s="40"/>
      <c r="EDA41" s="38"/>
      <c r="EDB41" s="42"/>
      <c r="EDC41" s="42"/>
      <c r="EDD41" s="42"/>
      <c r="EDE41" s="38"/>
      <c r="EDF41" s="38"/>
      <c r="EDG41" s="38"/>
      <c r="EDH41" s="39"/>
      <c r="EDI41" s="38"/>
      <c r="EDJ41" s="38"/>
      <c r="EDK41" s="38"/>
      <c r="EDL41" s="40"/>
      <c r="EDM41" s="41"/>
      <c r="EDN41" s="40"/>
      <c r="EDO41" s="38"/>
      <c r="EDP41" s="42"/>
      <c r="EDQ41" s="42"/>
      <c r="EDR41" s="42"/>
      <c r="EDS41" s="38"/>
      <c r="EDT41" s="38"/>
      <c r="EDU41" s="38"/>
      <c r="EDV41" s="39"/>
      <c r="EDW41" s="38"/>
      <c r="EDX41" s="38"/>
      <c r="EDY41" s="38"/>
      <c r="EDZ41" s="40"/>
      <c r="EEA41" s="41"/>
      <c r="EEB41" s="40"/>
      <c r="EEC41" s="38"/>
      <c r="EED41" s="42"/>
      <c r="EEE41" s="42"/>
      <c r="EEF41" s="42"/>
      <c r="EEG41" s="38"/>
      <c r="EEH41" s="38"/>
      <c r="EEI41" s="38"/>
      <c r="EEJ41" s="39"/>
      <c r="EEK41" s="38"/>
      <c r="EEL41" s="38"/>
      <c r="EEM41" s="38"/>
      <c r="EEN41" s="40"/>
      <c r="EEO41" s="41"/>
      <c r="EEP41" s="40"/>
      <c r="EEQ41" s="38"/>
      <c r="EER41" s="42"/>
      <c r="EES41" s="42"/>
      <c r="EET41" s="42"/>
      <c r="EEU41" s="38"/>
      <c r="EEV41" s="38"/>
      <c r="EEW41" s="38"/>
      <c r="EEX41" s="39"/>
      <c r="EEY41" s="38"/>
      <c r="EEZ41" s="38"/>
      <c r="EFA41" s="38"/>
      <c r="EFB41" s="40"/>
      <c r="EFC41" s="41"/>
      <c r="EFD41" s="40"/>
      <c r="EFE41" s="38"/>
      <c r="EFF41" s="42"/>
      <c r="EFG41" s="42"/>
      <c r="EFH41" s="42"/>
      <c r="EFI41" s="38"/>
      <c r="EFJ41" s="38"/>
      <c r="EFK41" s="38"/>
      <c r="EFL41" s="39"/>
      <c r="EFM41" s="38"/>
      <c r="EFN41" s="38"/>
      <c r="EFO41" s="38"/>
      <c r="EFP41" s="40"/>
      <c r="EFQ41" s="41"/>
      <c r="EFR41" s="40"/>
      <c r="EFS41" s="38"/>
      <c r="EFT41" s="42"/>
      <c r="EFU41" s="42"/>
      <c r="EFV41" s="42"/>
      <c r="EFW41" s="38"/>
      <c r="EFX41" s="38"/>
      <c r="EFY41" s="38"/>
      <c r="EFZ41" s="39"/>
      <c r="EGA41" s="38"/>
      <c r="EGB41" s="38"/>
      <c r="EGC41" s="38"/>
      <c r="EGD41" s="40"/>
      <c r="EGE41" s="41"/>
      <c r="EGF41" s="40"/>
      <c r="EGG41" s="38"/>
      <c r="EGH41" s="42"/>
      <c r="EGI41" s="42"/>
      <c r="EGJ41" s="42"/>
      <c r="EGK41" s="38"/>
      <c r="EGL41" s="38"/>
      <c r="EGM41" s="38"/>
      <c r="EGN41" s="39"/>
      <c r="EGO41" s="38"/>
      <c r="EGP41" s="38"/>
      <c r="EGQ41" s="38"/>
      <c r="EGR41" s="40"/>
      <c r="EGS41" s="41"/>
      <c r="EGT41" s="40"/>
      <c r="EGU41" s="38"/>
      <c r="EGV41" s="42"/>
      <c r="EGW41" s="42"/>
      <c r="EGX41" s="42"/>
      <c r="EGY41" s="38"/>
      <c r="EGZ41" s="38"/>
      <c r="EHA41" s="38"/>
      <c r="EHB41" s="39"/>
      <c r="EHC41" s="38"/>
      <c r="EHD41" s="38"/>
      <c r="EHE41" s="38"/>
      <c r="EHF41" s="40"/>
      <c r="EHG41" s="41"/>
      <c r="EHH41" s="40"/>
      <c r="EHI41" s="38"/>
      <c r="EHJ41" s="42"/>
      <c r="EHK41" s="42"/>
      <c r="EHL41" s="42"/>
      <c r="EHM41" s="38"/>
      <c r="EHN41" s="38"/>
      <c r="EHO41" s="38"/>
      <c r="EHP41" s="39"/>
      <c r="EHQ41" s="38"/>
      <c r="EHR41" s="38"/>
      <c r="EHS41" s="38"/>
      <c r="EHT41" s="40"/>
      <c r="EHU41" s="41"/>
      <c r="EHV41" s="40"/>
      <c r="EHW41" s="38"/>
      <c r="EHX41" s="42"/>
      <c r="EHY41" s="42"/>
      <c r="EHZ41" s="42"/>
      <c r="EIA41" s="38"/>
      <c r="EIB41" s="38"/>
      <c r="EIC41" s="38"/>
      <c r="EID41" s="39"/>
      <c r="EIE41" s="38"/>
      <c r="EIF41" s="38"/>
      <c r="EIG41" s="38"/>
      <c r="EIH41" s="40"/>
      <c r="EII41" s="41"/>
      <c r="EIJ41" s="40"/>
      <c r="EIK41" s="38"/>
      <c r="EIL41" s="42"/>
      <c r="EIM41" s="42"/>
      <c r="EIN41" s="42"/>
      <c r="EIO41" s="38"/>
      <c r="EIP41" s="38"/>
      <c r="EIQ41" s="38"/>
      <c r="EIR41" s="39"/>
      <c r="EIS41" s="38"/>
      <c r="EIT41" s="38"/>
      <c r="EIU41" s="38"/>
      <c r="EIV41" s="40"/>
      <c r="EIW41" s="41"/>
      <c r="EIX41" s="40"/>
      <c r="EIY41" s="38"/>
      <c r="EIZ41" s="42"/>
      <c r="EJA41" s="42"/>
      <c r="EJB41" s="42"/>
      <c r="EJC41" s="38"/>
      <c r="EJD41" s="38"/>
      <c r="EJE41" s="38"/>
      <c r="EJF41" s="39"/>
      <c r="EJG41" s="38"/>
      <c r="EJH41" s="38"/>
      <c r="EJI41" s="38"/>
      <c r="EJJ41" s="40"/>
      <c r="EJK41" s="41"/>
      <c r="EJL41" s="40"/>
      <c r="EJM41" s="38"/>
      <c r="EJN41" s="42"/>
      <c r="EJO41" s="42"/>
      <c r="EJP41" s="42"/>
      <c r="EJQ41" s="38"/>
      <c r="EJR41" s="38"/>
      <c r="EJS41" s="38"/>
      <c r="EJT41" s="39"/>
      <c r="EJU41" s="38"/>
      <c r="EJV41" s="38"/>
      <c r="EJW41" s="38"/>
      <c r="EJX41" s="40"/>
      <c r="EJY41" s="41"/>
      <c r="EJZ41" s="40"/>
      <c r="EKA41" s="38"/>
      <c r="EKB41" s="42"/>
      <c r="EKC41" s="42"/>
      <c r="EKD41" s="42"/>
      <c r="EKE41" s="38"/>
      <c r="EKF41" s="38"/>
      <c r="EKG41" s="38"/>
      <c r="EKH41" s="39"/>
      <c r="EKI41" s="38"/>
      <c r="EKJ41" s="38"/>
      <c r="EKK41" s="38"/>
      <c r="EKL41" s="40"/>
      <c r="EKM41" s="41"/>
      <c r="EKN41" s="40"/>
      <c r="EKO41" s="38"/>
      <c r="EKP41" s="42"/>
      <c r="EKQ41" s="42"/>
      <c r="EKR41" s="42"/>
      <c r="EKS41" s="38"/>
      <c r="EKT41" s="38"/>
      <c r="EKU41" s="38"/>
      <c r="EKV41" s="39"/>
      <c r="EKW41" s="38"/>
      <c r="EKX41" s="38"/>
      <c r="EKY41" s="38"/>
      <c r="EKZ41" s="40"/>
      <c r="ELA41" s="41"/>
      <c r="ELB41" s="40"/>
      <c r="ELC41" s="38"/>
      <c r="ELD41" s="42"/>
      <c r="ELE41" s="42"/>
      <c r="ELF41" s="42"/>
      <c r="ELG41" s="38"/>
      <c r="ELH41" s="38"/>
      <c r="ELI41" s="38"/>
      <c r="ELJ41" s="39"/>
      <c r="ELK41" s="38"/>
      <c r="ELL41" s="38"/>
      <c r="ELM41" s="38"/>
      <c r="ELN41" s="40"/>
      <c r="ELO41" s="41"/>
      <c r="ELP41" s="40"/>
      <c r="ELQ41" s="38"/>
      <c r="ELR41" s="42"/>
      <c r="ELS41" s="42"/>
      <c r="ELT41" s="42"/>
      <c r="ELU41" s="38"/>
      <c r="ELV41" s="38"/>
      <c r="ELW41" s="38"/>
      <c r="ELX41" s="39"/>
      <c r="ELY41" s="38"/>
      <c r="ELZ41" s="38"/>
      <c r="EMA41" s="38"/>
      <c r="EMB41" s="40"/>
      <c r="EMC41" s="41"/>
      <c r="EMD41" s="40"/>
      <c r="EME41" s="38"/>
      <c r="EMF41" s="42"/>
      <c r="EMG41" s="42"/>
      <c r="EMH41" s="42"/>
      <c r="EMI41" s="38"/>
      <c r="EMJ41" s="38"/>
      <c r="EMK41" s="38"/>
      <c r="EML41" s="39"/>
      <c r="EMM41" s="38"/>
      <c r="EMN41" s="38"/>
      <c r="EMO41" s="38"/>
      <c r="EMP41" s="40"/>
      <c r="EMQ41" s="41"/>
      <c r="EMR41" s="40"/>
      <c r="EMS41" s="38"/>
      <c r="EMT41" s="42"/>
      <c r="EMU41" s="42"/>
      <c r="EMV41" s="42"/>
      <c r="EMW41" s="38"/>
      <c r="EMX41" s="38"/>
      <c r="EMY41" s="38"/>
      <c r="EMZ41" s="39"/>
      <c r="ENA41" s="38"/>
      <c r="ENB41" s="38"/>
      <c r="ENC41" s="38"/>
      <c r="END41" s="40"/>
      <c r="ENE41" s="41"/>
      <c r="ENF41" s="40"/>
      <c r="ENG41" s="38"/>
      <c r="ENH41" s="42"/>
      <c r="ENI41" s="42"/>
      <c r="ENJ41" s="42"/>
      <c r="ENK41" s="38"/>
      <c r="ENL41" s="38"/>
      <c r="ENM41" s="38"/>
      <c r="ENN41" s="39"/>
      <c r="ENO41" s="38"/>
      <c r="ENP41" s="38"/>
      <c r="ENQ41" s="38"/>
      <c r="ENR41" s="40"/>
      <c r="ENS41" s="41"/>
      <c r="ENT41" s="40"/>
      <c r="ENU41" s="38"/>
      <c r="ENV41" s="42"/>
      <c r="ENW41" s="42"/>
      <c r="ENX41" s="42"/>
      <c r="ENY41" s="38"/>
      <c r="ENZ41" s="38"/>
      <c r="EOA41" s="38"/>
      <c r="EOB41" s="39"/>
      <c r="EOC41" s="38"/>
      <c r="EOD41" s="38"/>
      <c r="EOE41" s="38"/>
      <c r="EOF41" s="40"/>
      <c r="EOG41" s="41"/>
      <c r="EOH41" s="40"/>
      <c r="EOI41" s="38"/>
      <c r="EOJ41" s="42"/>
      <c r="EOK41" s="42"/>
      <c r="EOL41" s="42"/>
      <c r="EOM41" s="38"/>
      <c r="EON41" s="38"/>
      <c r="EOO41" s="38"/>
      <c r="EOP41" s="39"/>
      <c r="EOQ41" s="38"/>
      <c r="EOR41" s="38"/>
      <c r="EOS41" s="38"/>
      <c r="EOT41" s="40"/>
      <c r="EOU41" s="41"/>
      <c r="EOV41" s="40"/>
      <c r="EOW41" s="38"/>
      <c r="EOX41" s="42"/>
      <c r="EOY41" s="42"/>
      <c r="EOZ41" s="42"/>
      <c r="EPA41" s="38"/>
      <c r="EPB41" s="38"/>
      <c r="EPC41" s="38"/>
      <c r="EPD41" s="39"/>
      <c r="EPE41" s="38"/>
      <c r="EPF41" s="38"/>
      <c r="EPG41" s="38"/>
      <c r="EPH41" s="40"/>
      <c r="EPI41" s="41"/>
      <c r="EPJ41" s="40"/>
      <c r="EPK41" s="38"/>
      <c r="EPL41" s="42"/>
      <c r="EPM41" s="42"/>
      <c r="EPN41" s="42"/>
      <c r="EPO41" s="38"/>
      <c r="EPP41" s="38"/>
      <c r="EPQ41" s="38"/>
      <c r="EPR41" s="39"/>
      <c r="EPS41" s="38"/>
      <c r="EPT41" s="38"/>
      <c r="EPU41" s="38"/>
      <c r="EPV41" s="40"/>
      <c r="EPW41" s="41"/>
      <c r="EPX41" s="40"/>
      <c r="EPY41" s="38"/>
      <c r="EPZ41" s="42"/>
      <c r="EQA41" s="42"/>
      <c r="EQB41" s="42"/>
      <c r="EQC41" s="38"/>
      <c r="EQD41" s="38"/>
      <c r="EQE41" s="38"/>
      <c r="EQF41" s="39"/>
      <c r="EQG41" s="38"/>
      <c r="EQH41" s="38"/>
      <c r="EQI41" s="38"/>
      <c r="EQJ41" s="40"/>
      <c r="EQK41" s="41"/>
      <c r="EQL41" s="40"/>
      <c r="EQM41" s="38"/>
      <c r="EQN41" s="42"/>
      <c r="EQO41" s="42"/>
      <c r="EQP41" s="42"/>
      <c r="EQQ41" s="38"/>
      <c r="EQR41" s="38"/>
      <c r="EQS41" s="38"/>
      <c r="EQT41" s="39"/>
      <c r="EQU41" s="38"/>
      <c r="EQV41" s="38"/>
      <c r="EQW41" s="38"/>
      <c r="EQX41" s="40"/>
      <c r="EQY41" s="41"/>
      <c r="EQZ41" s="40"/>
      <c r="ERA41" s="38"/>
      <c r="ERB41" s="42"/>
      <c r="ERC41" s="42"/>
      <c r="ERD41" s="42"/>
      <c r="ERE41" s="38"/>
      <c r="ERF41" s="38"/>
      <c r="ERG41" s="38"/>
      <c r="ERH41" s="39"/>
      <c r="ERI41" s="38"/>
      <c r="ERJ41" s="38"/>
      <c r="ERK41" s="38"/>
      <c r="ERL41" s="40"/>
      <c r="ERM41" s="41"/>
      <c r="ERN41" s="40"/>
      <c r="ERO41" s="38"/>
      <c r="ERP41" s="42"/>
      <c r="ERQ41" s="42"/>
      <c r="ERR41" s="42"/>
      <c r="ERS41" s="38"/>
      <c r="ERT41" s="38"/>
      <c r="ERU41" s="38"/>
      <c r="ERV41" s="39"/>
      <c r="ERW41" s="38"/>
      <c r="ERX41" s="38"/>
      <c r="ERY41" s="38"/>
      <c r="ERZ41" s="40"/>
      <c r="ESA41" s="41"/>
      <c r="ESB41" s="40"/>
      <c r="ESC41" s="38"/>
      <c r="ESD41" s="42"/>
      <c r="ESE41" s="42"/>
      <c r="ESF41" s="42"/>
      <c r="ESG41" s="38"/>
      <c r="ESH41" s="38"/>
      <c r="ESI41" s="38"/>
      <c r="ESJ41" s="39"/>
      <c r="ESK41" s="38"/>
      <c r="ESL41" s="38"/>
      <c r="ESM41" s="38"/>
      <c r="ESN41" s="40"/>
      <c r="ESO41" s="41"/>
      <c r="ESP41" s="40"/>
      <c r="ESQ41" s="38"/>
      <c r="ESR41" s="42"/>
      <c r="ESS41" s="42"/>
      <c r="EST41" s="42"/>
      <c r="ESU41" s="38"/>
      <c r="ESV41" s="38"/>
      <c r="ESW41" s="38"/>
      <c r="ESX41" s="39"/>
      <c r="ESY41" s="38"/>
      <c r="ESZ41" s="38"/>
      <c r="ETA41" s="38"/>
      <c r="ETB41" s="40"/>
      <c r="ETC41" s="41"/>
      <c r="ETD41" s="40"/>
      <c r="ETE41" s="38"/>
      <c r="ETF41" s="42"/>
      <c r="ETG41" s="42"/>
      <c r="ETH41" s="42"/>
      <c r="ETI41" s="38"/>
      <c r="ETJ41" s="38"/>
      <c r="ETK41" s="38"/>
      <c r="ETL41" s="39"/>
      <c r="ETM41" s="38"/>
      <c r="ETN41" s="38"/>
      <c r="ETO41" s="38"/>
      <c r="ETP41" s="40"/>
      <c r="ETQ41" s="41"/>
      <c r="ETR41" s="40"/>
      <c r="ETS41" s="38"/>
      <c r="ETT41" s="42"/>
      <c r="ETU41" s="42"/>
      <c r="ETV41" s="42"/>
      <c r="ETW41" s="38"/>
      <c r="ETX41" s="38"/>
      <c r="ETY41" s="38"/>
      <c r="ETZ41" s="39"/>
      <c r="EUA41" s="38"/>
      <c r="EUB41" s="38"/>
      <c r="EUC41" s="38"/>
      <c r="EUD41" s="40"/>
      <c r="EUE41" s="41"/>
      <c r="EUF41" s="40"/>
      <c r="EUG41" s="38"/>
      <c r="EUH41" s="42"/>
      <c r="EUI41" s="42"/>
      <c r="EUJ41" s="42"/>
      <c r="EUK41" s="38"/>
      <c r="EUL41" s="38"/>
      <c r="EUM41" s="38"/>
      <c r="EUN41" s="39"/>
      <c r="EUO41" s="38"/>
      <c r="EUP41" s="38"/>
      <c r="EUQ41" s="38"/>
      <c r="EUR41" s="40"/>
      <c r="EUS41" s="41"/>
      <c r="EUT41" s="40"/>
      <c r="EUU41" s="38"/>
      <c r="EUV41" s="42"/>
      <c r="EUW41" s="42"/>
      <c r="EUX41" s="42"/>
      <c r="EUY41" s="38"/>
      <c r="EUZ41" s="38"/>
      <c r="EVA41" s="38"/>
      <c r="EVB41" s="39"/>
      <c r="EVC41" s="38"/>
      <c r="EVD41" s="38"/>
      <c r="EVE41" s="38"/>
      <c r="EVF41" s="40"/>
      <c r="EVG41" s="41"/>
      <c r="EVH41" s="40"/>
      <c r="EVI41" s="38"/>
      <c r="EVJ41" s="42"/>
      <c r="EVK41" s="42"/>
      <c r="EVL41" s="42"/>
      <c r="EVM41" s="38"/>
      <c r="EVN41" s="38"/>
      <c r="EVO41" s="38"/>
      <c r="EVP41" s="39"/>
      <c r="EVQ41" s="38"/>
      <c r="EVR41" s="38"/>
      <c r="EVS41" s="38"/>
      <c r="EVT41" s="40"/>
      <c r="EVU41" s="41"/>
      <c r="EVV41" s="40"/>
      <c r="EVW41" s="38"/>
      <c r="EVX41" s="42"/>
      <c r="EVY41" s="42"/>
      <c r="EVZ41" s="42"/>
      <c r="EWA41" s="38"/>
      <c r="EWB41" s="38"/>
      <c r="EWC41" s="38"/>
      <c r="EWD41" s="39"/>
      <c r="EWE41" s="38"/>
      <c r="EWF41" s="38"/>
      <c r="EWG41" s="38"/>
      <c r="EWH41" s="40"/>
      <c r="EWI41" s="41"/>
      <c r="EWJ41" s="40"/>
      <c r="EWK41" s="38"/>
      <c r="EWL41" s="42"/>
      <c r="EWM41" s="42"/>
      <c r="EWN41" s="42"/>
      <c r="EWO41" s="38"/>
      <c r="EWP41" s="38"/>
      <c r="EWQ41" s="38"/>
      <c r="EWR41" s="39"/>
      <c r="EWS41" s="38"/>
      <c r="EWT41" s="38"/>
      <c r="EWU41" s="38"/>
      <c r="EWV41" s="40"/>
      <c r="EWW41" s="41"/>
      <c r="EWX41" s="40"/>
      <c r="EWY41" s="38"/>
      <c r="EWZ41" s="42"/>
      <c r="EXA41" s="42"/>
      <c r="EXB41" s="42"/>
      <c r="EXC41" s="38"/>
      <c r="EXD41" s="38"/>
      <c r="EXE41" s="38"/>
      <c r="EXF41" s="39"/>
      <c r="EXG41" s="38"/>
      <c r="EXH41" s="38"/>
      <c r="EXI41" s="38"/>
      <c r="EXJ41" s="40"/>
      <c r="EXK41" s="41"/>
      <c r="EXL41" s="40"/>
      <c r="EXM41" s="38"/>
      <c r="EXN41" s="42"/>
      <c r="EXO41" s="42"/>
      <c r="EXP41" s="42"/>
      <c r="EXQ41" s="38"/>
      <c r="EXR41" s="38"/>
      <c r="EXS41" s="38"/>
      <c r="EXT41" s="39"/>
      <c r="EXU41" s="38"/>
      <c r="EXV41" s="38"/>
      <c r="EXW41" s="38"/>
      <c r="EXX41" s="40"/>
      <c r="EXY41" s="41"/>
      <c r="EXZ41" s="40"/>
      <c r="EYA41" s="38"/>
      <c r="EYB41" s="42"/>
      <c r="EYC41" s="42"/>
      <c r="EYD41" s="42"/>
      <c r="EYE41" s="38"/>
      <c r="EYF41" s="38"/>
      <c r="EYG41" s="38"/>
      <c r="EYH41" s="39"/>
      <c r="EYI41" s="38"/>
      <c r="EYJ41" s="38"/>
      <c r="EYK41" s="38"/>
      <c r="EYL41" s="40"/>
      <c r="EYM41" s="41"/>
      <c r="EYN41" s="40"/>
      <c r="EYO41" s="38"/>
      <c r="EYP41" s="42"/>
      <c r="EYQ41" s="42"/>
      <c r="EYR41" s="42"/>
      <c r="EYS41" s="38"/>
      <c r="EYT41" s="38"/>
      <c r="EYU41" s="38"/>
      <c r="EYV41" s="39"/>
      <c r="EYW41" s="38"/>
      <c r="EYX41" s="38"/>
      <c r="EYY41" s="38"/>
      <c r="EYZ41" s="40"/>
      <c r="EZA41" s="41"/>
      <c r="EZB41" s="40"/>
      <c r="EZC41" s="38"/>
      <c r="EZD41" s="42"/>
      <c r="EZE41" s="42"/>
      <c r="EZF41" s="42"/>
      <c r="EZG41" s="38"/>
      <c r="EZH41" s="38"/>
      <c r="EZI41" s="38"/>
      <c r="EZJ41" s="39"/>
      <c r="EZK41" s="38"/>
      <c r="EZL41" s="38"/>
      <c r="EZM41" s="38"/>
      <c r="EZN41" s="40"/>
      <c r="EZO41" s="41"/>
      <c r="EZP41" s="40"/>
      <c r="EZQ41" s="38"/>
      <c r="EZR41" s="42"/>
      <c r="EZS41" s="42"/>
      <c r="EZT41" s="42"/>
      <c r="EZU41" s="38"/>
      <c r="EZV41" s="38"/>
      <c r="EZW41" s="38"/>
      <c r="EZX41" s="39"/>
      <c r="EZY41" s="38"/>
      <c r="EZZ41" s="38"/>
      <c r="FAA41" s="38"/>
      <c r="FAB41" s="40"/>
      <c r="FAC41" s="41"/>
      <c r="FAD41" s="40"/>
      <c r="FAE41" s="38"/>
      <c r="FAF41" s="42"/>
      <c r="FAG41" s="42"/>
      <c r="FAH41" s="42"/>
      <c r="FAI41" s="38"/>
      <c r="FAJ41" s="38"/>
      <c r="FAK41" s="38"/>
      <c r="FAL41" s="39"/>
      <c r="FAM41" s="38"/>
      <c r="FAN41" s="38"/>
      <c r="FAO41" s="38"/>
      <c r="FAP41" s="40"/>
      <c r="FAQ41" s="41"/>
      <c r="FAR41" s="40"/>
      <c r="FAS41" s="38"/>
      <c r="FAT41" s="42"/>
      <c r="FAU41" s="42"/>
      <c r="FAV41" s="42"/>
      <c r="FAW41" s="38"/>
      <c r="FAX41" s="38"/>
      <c r="FAY41" s="38"/>
      <c r="FAZ41" s="39"/>
      <c r="FBA41" s="38"/>
      <c r="FBB41" s="38"/>
      <c r="FBC41" s="38"/>
      <c r="FBD41" s="40"/>
      <c r="FBE41" s="41"/>
      <c r="FBF41" s="40"/>
      <c r="FBG41" s="38"/>
      <c r="FBH41" s="42"/>
      <c r="FBI41" s="42"/>
      <c r="FBJ41" s="42"/>
      <c r="FBK41" s="38"/>
      <c r="FBL41" s="38"/>
      <c r="FBM41" s="38"/>
      <c r="FBN41" s="39"/>
      <c r="FBO41" s="38"/>
      <c r="FBP41" s="38"/>
      <c r="FBQ41" s="38"/>
      <c r="FBR41" s="40"/>
      <c r="FBS41" s="41"/>
      <c r="FBT41" s="40"/>
      <c r="FBU41" s="38"/>
      <c r="FBV41" s="42"/>
      <c r="FBW41" s="42"/>
      <c r="FBX41" s="42"/>
      <c r="FBY41" s="38"/>
      <c r="FBZ41" s="38"/>
      <c r="FCA41" s="38"/>
      <c r="FCB41" s="39"/>
      <c r="FCC41" s="38"/>
      <c r="FCD41" s="38"/>
      <c r="FCE41" s="38"/>
      <c r="FCF41" s="40"/>
      <c r="FCG41" s="41"/>
      <c r="FCH41" s="40"/>
      <c r="FCI41" s="38"/>
      <c r="FCJ41" s="42"/>
      <c r="FCK41" s="42"/>
      <c r="FCL41" s="42"/>
      <c r="FCM41" s="38"/>
      <c r="FCN41" s="38"/>
      <c r="FCO41" s="38"/>
      <c r="FCP41" s="39"/>
      <c r="FCQ41" s="38"/>
      <c r="FCR41" s="38"/>
      <c r="FCS41" s="38"/>
      <c r="FCT41" s="40"/>
      <c r="FCU41" s="41"/>
      <c r="FCV41" s="40"/>
      <c r="FCW41" s="38"/>
      <c r="FCX41" s="42"/>
      <c r="FCY41" s="42"/>
      <c r="FCZ41" s="42"/>
      <c r="FDA41" s="38"/>
      <c r="FDB41" s="38"/>
      <c r="FDC41" s="38"/>
      <c r="FDD41" s="39"/>
      <c r="FDE41" s="38"/>
      <c r="FDF41" s="38"/>
      <c r="FDG41" s="38"/>
      <c r="FDH41" s="40"/>
      <c r="FDI41" s="41"/>
      <c r="FDJ41" s="40"/>
      <c r="FDK41" s="38"/>
      <c r="FDL41" s="42"/>
      <c r="FDM41" s="42"/>
      <c r="FDN41" s="42"/>
      <c r="FDO41" s="38"/>
      <c r="FDP41" s="38"/>
      <c r="FDQ41" s="38"/>
      <c r="FDR41" s="39"/>
      <c r="FDS41" s="38"/>
      <c r="FDT41" s="38"/>
      <c r="FDU41" s="38"/>
      <c r="FDV41" s="40"/>
      <c r="FDW41" s="41"/>
      <c r="FDX41" s="40"/>
      <c r="FDY41" s="38"/>
      <c r="FDZ41" s="42"/>
      <c r="FEA41" s="42"/>
      <c r="FEB41" s="42"/>
      <c r="FEC41" s="38"/>
      <c r="FED41" s="38"/>
      <c r="FEE41" s="38"/>
      <c r="FEF41" s="39"/>
      <c r="FEG41" s="38"/>
      <c r="FEH41" s="38"/>
      <c r="FEI41" s="38"/>
      <c r="FEJ41" s="40"/>
      <c r="FEK41" s="41"/>
      <c r="FEL41" s="40"/>
      <c r="FEM41" s="38"/>
      <c r="FEN41" s="42"/>
      <c r="FEO41" s="42"/>
      <c r="FEP41" s="42"/>
      <c r="FEQ41" s="38"/>
      <c r="FER41" s="38"/>
      <c r="FES41" s="38"/>
      <c r="FET41" s="39"/>
      <c r="FEU41" s="38"/>
      <c r="FEV41" s="38"/>
      <c r="FEW41" s="38"/>
      <c r="FEX41" s="40"/>
      <c r="FEY41" s="41"/>
      <c r="FEZ41" s="40"/>
      <c r="FFA41" s="38"/>
      <c r="FFB41" s="42"/>
      <c r="FFC41" s="42"/>
      <c r="FFD41" s="42"/>
      <c r="FFE41" s="38"/>
      <c r="FFF41" s="38"/>
      <c r="FFG41" s="38"/>
      <c r="FFH41" s="39"/>
      <c r="FFI41" s="38"/>
      <c r="FFJ41" s="38"/>
      <c r="FFK41" s="38"/>
      <c r="FFL41" s="40"/>
      <c r="FFM41" s="41"/>
      <c r="FFN41" s="40"/>
      <c r="FFO41" s="38"/>
      <c r="FFP41" s="42"/>
      <c r="FFQ41" s="42"/>
      <c r="FFR41" s="42"/>
      <c r="FFS41" s="38"/>
      <c r="FFT41" s="38"/>
      <c r="FFU41" s="38"/>
      <c r="FFV41" s="39"/>
      <c r="FFW41" s="38"/>
      <c r="FFX41" s="38"/>
      <c r="FFY41" s="38"/>
      <c r="FFZ41" s="40"/>
      <c r="FGA41" s="41"/>
      <c r="FGB41" s="40"/>
      <c r="FGC41" s="38"/>
      <c r="FGD41" s="42"/>
      <c r="FGE41" s="42"/>
      <c r="FGF41" s="42"/>
      <c r="FGG41" s="38"/>
      <c r="FGH41" s="38"/>
      <c r="FGI41" s="38"/>
      <c r="FGJ41" s="39"/>
      <c r="FGK41" s="38"/>
      <c r="FGL41" s="38"/>
      <c r="FGM41" s="38"/>
      <c r="FGN41" s="40"/>
      <c r="FGO41" s="41"/>
      <c r="FGP41" s="40"/>
      <c r="FGQ41" s="38"/>
      <c r="FGR41" s="42"/>
      <c r="FGS41" s="42"/>
      <c r="FGT41" s="42"/>
      <c r="FGU41" s="38"/>
      <c r="FGV41" s="38"/>
      <c r="FGW41" s="38"/>
      <c r="FGX41" s="39"/>
      <c r="FGY41" s="38"/>
      <c r="FGZ41" s="38"/>
      <c r="FHA41" s="38"/>
      <c r="FHB41" s="40"/>
      <c r="FHC41" s="41"/>
      <c r="FHD41" s="40"/>
      <c r="FHE41" s="38"/>
      <c r="FHF41" s="42"/>
      <c r="FHG41" s="42"/>
      <c r="FHH41" s="42"/>
      <c r="FHI41" s="38"/>
      <c r="FHJ41" s="38"/>
      <c r="FHK41" s="38"/>
      <c r="FHL41" s="39"/>
      <c r="FHM41" s="38"/>
      <c r="FHN41" s="38"/>
      <c r="FHO41" s="38"/>
      <c r="FHP41" s="40"/>
      <c r="FHQ41" s="41"/>
      <c r="FHR41" s="40"/>
      <c r="FHS41" s="38"/>
      <c r="FHT41" s="42"/>
      <c r="FHU41" s="42"/>
      <c r="FHV41" s="42"/>
      <c r="FHW41" s="38"/>
      <c r="FHX41" s="38"/>
      <c r="FHY41" s="38"/>
      <c r="FHZ41" s="39"/>
      <c r="FIA41" s="38"/>
      <c r="FIB41" s="38"/>
      <c r="FIC41" s="38"/>
      <c r="FID41" s="40"/>
      <c r="FIE41" s="41"/>
      <c r="FIF41" s="40"/>
      <c r="FIG41" s="38"/>
      <c r="FIH41" s="42"/>
      <c r="FII41" s="42"/>
      <c r="FIJ41" s="42"/>
      <c r="FIK41" s="38"/>
      <c r="FIL41" s="38"/>
      <c r="FIM41" s="38"/>
      <c r="FIN41" s="39"/>
      <c r="FIO41" s="38"/>
      <c r="FIP41" s="38"/>
      <c r="FIQ41" s="38"/>
      <c r="FIR41" s="40"/>
      <c r="FIS41" s="41"/>
      <c r="FIT41" s="40"/>
      <c r="FIU41" s="38"/>
      <c r="FIV41" s="42"/>
      <c r="FIW41" s="42"/>
      <c r="FIX41" s="42"/>
      <c r="FIY41" s="38"/>
      <c r="FIZ41" s="38"/>
      <c r="FJA41" s="38"/>
      <c r="FJB41" s="39"/>
      <c r="FJC41" s="38"/>
      <c r="FJD41" s="38"/>
      <c r="FJE41" s="38"/>
      <c r="FJF41" s="40"/>
      <c r="FJG41" s="41"/>
      <c r="FJH41" s="40"/>
      <c r="FJI41" s="38"/>
      <c r="FJJ41" s="42"/>
      <c r="FJK41" s="42"/>
      <c r="FJL41" s="42"/>
      <c r="FJM41" s="38"/>
      <c r="FJN41" s="38"/>
      <c r="FJO41" s="38"/>
      <c r="FJP41" s="39"/>
      <c r="FJQ41" s="38"/>
      <c r="FJR41" s="38"/>
      <c r="FJS41" s="38"/>
      <c r="FJT41" s="40"/>
      <c r="FJU41" s="41"/>
      <c r="FJV41" s="40"/>
      <c r="FJW41" s="38"/>
      <c r="FJX41" s="42"/>
      <c r="FJY41" s="42"/>
      <c r="FJZ41" s="42"/>
      <c r="FKA41" s="38"/>
      <c r="FKB41" s="38"/>
      <c r="FKC41" s="38"/>
      <c r="FKD41" s="39"/>
      <c r="FKE41" s="38"/>
      <c r="FKF41" s="38"/>
      <c r="FKG41" s="38"/>
      <c r="FKH41" s="40"/>
      <c r="FKI41" s="41"/>
      <c r="FKJ41" s="40"/>
      <c r="FKK41" s="38"/>
      <c r="FKL41" s="42"/>
      <c r="FKM41" s="42"/>
      <c r="FKN41" s="42"/>
      <c r="FKO41" s="38"/>
      <c r="FKP41" s="38"/>
      <c r="FKQ41" s="38"/>
      <c r="FKR41" s="39"/>
      <c r="FKS41" s="38"/>
      <c r="FKT41" s="38"/>
      <c r="FKU41" s="38"/>
      <c r="FKV41" s="40"/>
      <c r="FKW41" s="41"/>
      <c r="FKX41" s="40"/>
      <c r="FKY41" s="38"/>
      <c r="FKZ41" s="42"/>
      <c r="FLA41" s="42"/>
      <c r="FLB41" s="42"/>
      <c r="FLC41" s="38"/>
      <c r="FLD41" s="38"/>
      <c r="FLE41" s="38"/>
      <c r="FLF41" s="39"/>
      <c r="FLG41" s="38"/>
      <c r="FLH41" s="38"/>
      <c r="FLI41" s="38"/>
      <c r="FLJ41" s="40"/>
      <c r="FLK41" s="41"/>
      <c r="FLL41" s="40"/>
      <c r="FLM41" s="38"/>
      <c r="FLN41" s="42"/>
      <c r="FLO41" s="42"/>
      <c r="FLP41" s="42"/>
      <c r="FLQ41" s="38"/>
      <c r="FLR41" s="38"/>
      <c r="FLS41" s="38"/>
      <c r="FLT41" s="39"/>
      <c r="FLU41" s="38"/>
      <c r="FLV41" s="38"/>
      <c r="FLW41" s="38"/>
      <c r="FLX41" s="40"/>
      <c r="FLY41" s="41"/>
      <c r="FLZ41" s="40"/>
      <c r="FMA41" s="38"/>
      <c r="FMB41" s="42"/>
      <c r="FMC41" s="42"/>
      <c r="FMD41" s="42"/>
      <c r="FME41" s="38"/>
      <c r="FMF41" s="38"/>
      <c r="FMG41" s="38"/>
      <c r="FMH41" s="39"/>
      <c r="FMI41" s="38"/>
      <c r="FMJ41" s="38"/>
      <c r="FMK41" s="38"/>
      <c r="FML41" s="40"/>
      <c r="FMM41" s="41"/>
      <c r="FMN41" s="40"/>
      <c r="FMO41" s="38"/>
      <c r="FMP41" s="42"/>
      <c r="FMQ41" s="42"/>
      <c r="FMR41" s="42"/>
      <c r="FMS41" s="38"/>
      <c r="FMT41" s="38"/>
      <c r="FMU41" s="38"/>
      <c r="FMV41" s="39"/>
      <c r="FMW41" s="38"/>
      <c r="FMX41" s="38"/>
      <c r="FMY41" s="38"/>
      <c r="FMZ41" s="40"/>
      <c r="FNA41" s="41"/>
      <c r="FNB41" s="40"/>
      <c r="FNC41" s="38"/>
      <c r="FND41" s="42"/>
      <c r="FNE41" s="42"/>
      <c r="FNF41" s="42"/>
      <c r="FNG41" s="38"/>
      <c r="FNH41" s="38"/>
      <c r="FNI41" s="38"/>
      <c r="FNJ41" s="39"/>
      <c r="FNK41" s="38"/>
      <c r="FNL41" s="38"/>
      <c r="FNM41" s="38"/>
      <c r="FNN41" s="40"/>
      <c r="FNO41" s="41"/>
      <c r="FNP41" s="40"/>
      <c r="FNQ41" s="38"/>
      <c r="FNR41" s="42"/>
      <c r="FNS41" s="42"/>
      <c r="FNT41" s="42"/>
      <c r="FNU41" s="38"/>
      <c r="FNV41" s="38"/>
      <c r="FNW41" s="38"/>
      <c r="FNX41" s="39"/>
      <c r="FNY41" s="38"/>
      <c r="FNZ41" s="38"/>
      <c r="FOA41" s="38"/>
      <c r="FOB41" s="40"/>
      <c r="FOC41" s="41"/>
      <c r="FOD41" s="40"/>
      <c r="FOE41" s="38"/>
      <c r="FOF41" s="42"/>
      <c r="FOG41" s="42"/>
      <c r="FOH41" s="42"/>
      <c r="FOI41" s="38"/>
      <c r="FOJ41" s="38"/>
      <c r="FOK41" s="38"/>
      <c r="FOL41" s="39"/>
      <c r="FOM41" s="38"/>
      <c r="FON41" s="38"/>
      <c r="FOO41" s="38"/>
      <c r="FOP41" s="40"/>
      <c r="FOQ41" s="41"/>
      <c r="FOR41" s="40"/>
      <c r="FOS41" s="38"/>
      <c r="FOT41" s="42"/>
      <c r="FOU41" s="42"/>
      <c r="FOV41" s="42"/>
      <c r="FOW41" s="38"/>
      <c r="FOX41" s="38"/>
      <c r="FOY41" s="38"/>
      <c r="FOZ41" s="39"/>
      <c r="FPA41" s="38"/>
      <c r="FPB41" s="38"/>
      <c r="FPC41" s="38"/>
      <c r="FPD41" s="40"/>
      <c r="FPE41" s="41"/>
      <c r="FPF41" s="40"/>
      <c r="FPG41" s="38"/>
      <c r="FPH41" s="42"/>
      <c r="FPI41" s="42"/>
      <c r="FPJ41" s="42"/>
      <c r="FPK41" s="38"/>
      <c r="FPL41" s="38"/>
      <c r="FPM41" s="38"/>
      <c r="FPN41" s="39"/>
      <c r="FPO41" s="38"/>
      <c r="FPP41" s="38"/>
      <c r="FPQ41" s="38"/>
      <c r="FPR41" s="40"/>
      <c r="FPS41" s="41"/>
      <c r="FPT41" s="40"/>
      <c r="FPU41" s="38"/>
      <c r="FPV41" s="42"/>
      <c r="FPW41" s="42"/>
      <c r="FPX41" s="42"/>
      <c r="FPY41" s="38"/>
      <c r="FPZ41" s="38"/>
      <c r="FQA41" s="38"/>
      <c r="FQB41" s="39"/>
      <c r="FQC41" s="38"/>
      <c r="FQD41" s="38"/>
      <c r="FQE41" s="38"/>
      <c r="FQF41" s="40"/>
      <c r="FQG41" s="41"/>
      <c r="FQH41" s="40"/>
      <c r="FQI41" s="38"/>
      <c r="FQJ41" s="42"/>
      <c r="FQK41" s="42"/>
      <c r="FQL41" s="42"/>
      <c r="FQM41" s="38"/>
      <c r="FQN41" s="38"/>
      <c r="FQO41" s="38"/>
      <c r="FQP41" s="39"/>
      <c r="FQQ41" s="38"/>
      <c r="FQR41" s="38"/>
      <c r="FQS41" s="38"/>
      <c r="FQT41" s="40"/>
      <c r="FQU41" s="41"/>
      <c r="FQV41" s="40"/>
      <c r="FQW41" s="38"/>
      <c r="FQX41" s="42"/>
      <c r="FQY41" s="42"/>
      <c r="FQZ41" s="42"/>
      <c r="FRA41" s="38"/>
      <c r="FRB41" s="38"/>
      <c r="FRC41" s="38"/>
      <c r="FRD41" s="39"/>
      <c r="FRE41" s="38"/>
      <c r="FRF41" s="38"/>
      <c r="FRG41" s="38"/>
      <c r="FRH41" s="40"/>
      <c r="FRI41" s="41"/>
      <c r="FRJ41" s="40"/>
      <c r="FRK41" s="38"/>
      <c r="FRL41" s="42"/>
      <c r="FRM41" s="42"/>
      <c r="FRN41" s="42"/>
      <c r="FRO41" s="38"/>
      <c r="FRP41" s="38"/>
      <c r="FRQ41" s="38"/>
      <c r="FRR41" s="39"/>
      <c r="FRS41" s="38"/>
      <c r="FRT41" s="38"/>
      <c r="FRU41" s="38"/>
      <c r="FRV41" s="40"/>
      <c r="FRW41" s="41"/>
      <c r="FRX41" s="40"/>
      <c r="FRY41" s="38"/>
      <c r="FRZ41" s="42"/>
      <c r="FSA41" s="42"/>
      <c r="FSB41" s="42"/>
      <c r="FSC41" s="38"/>
      <c r="FSD41" s="38"/>
      <c r="FSE41" s="38"/>
      <c r="FSF41" s="39"/>
      <c r="FSG41" s="38"/>
      <c r="FSH41" s="38"/>
      <c r="FSI41" s="38"/>
      <c r="FSJ41" s="40"/>
      <c r="FSK41" s="41"/>
      <c r="FSL41" s="40"/>
      <c r="FSM41" s="38"/>
      <c r="FSN41" s="42"/>
      <c r="FSO41" s="42"/>
      <c r="FSP41" s="42"/>
      <c r="FSQ41" s="38"/>
      <c r="FSR41" s="38"/>
      <c r="FSS41" s="38"/>
      <c r="FST41" s="39"/>
      <c r="FSU41" s="38"/>
      <c r="FSV41" s="38"/>
      <c r="FSW41" s="38"/>
      <c r="FSX41" s="40"/>
      <c r="FSY41" s="41"/>
      <c r="FSZ41" s="40"/>
      <c r="FTA41" s="38"/>
      <c r="FTB41" s="42"/>
      <c r="FTC41" s="42"/>
      <c r="FTD41" s="42"/>
      <c r="FTE41" s="38"/>
      <c r="FTF41" s="38"/>
      <c r="FTG41" s="38"/>
      <c r="FTH41" s="39"/>
      <c r="FTI41" s="38"/>
      <c r="FTJ41" s="38"/>
      <c r="FTK41" s="38"/>
      <c r="FTL41" s="40"/>
      <c r="FTM41" s="41"/>
      <c r="FTN41" s="40"/>
      <c r="FTO41" s="38"/>
      <c r="FTP41" s="42"/>
      <c r="FTQ41" s="42"/>
      <c r="FTR41" s="42"/>
      <c r="FTS41" s="38"/>
      <c r="FTT41" s="38"/>
      <c r="FTU41" s="38"/>
      <c r="FTV41" s="39"/>
      <c r="FTW41" s="38"/>
      <c r="FTX41" s="38"/>
      <c r="FTY41" s="38"/>
      <c r="FTZ41" s="40"/>
      <c r="FUA41" s="41"/>
      <c r="FUB41" s="40"/>
      <c r="FUC41" s="38"/>
      <c r="FUD41" s="42"/>
      <c r="FUE41" s="42"/>
      <c r="FUF41" s="42"/>
      <c r="FUG41" s="38"/>
      <c r="FUH41" s="38"/>
      <c r="FUI41" s="38"/>
      <c r="FUJ41" s="39"/>
      <c r="FUK41" s="38"/>
      <c r="FUL41" s="38"/>
      <c r="FUM41" s="38"/>
      <c r="FUN41" s="40"/>
      <c r="FUO41" s="41"/>
      <c r="FUP41" s="40"/>
      <c r="FUQ41" s="38"/>
      <c r="FUR41" s="42"/>
      <c r="FUS41" s="42"/>
      <c r="FUT41" s="42"/>
      <c r="FUU41" s="38"/>
      <c r="FUV41" s="38"/>
      <c r="FUW41" s="38"/>
      <c r="FUX41" s="39"/>
      <c r="FUY41" s="38"/>
      <c r="FUZ41" s="38"/>
      <c r="FVA41" s="38"/>
      <c r="FVB41" s="40"/>
      <c r="FVC41" s="41"/>
      <c r="FVD41" s="40"/>
      <c r="FVE41" s="38"/>
      <c r="FVF41" s="42"/>
      <c r="FVG41" s="42"/>
      <c r="FVH41" s="42"/>
      <c r="FVI41" s="38"/>
      <c r="FVJ41" s="38"/>
      <c r="FVK41" s="38"/>
      <c r="FVL41" s="39"/>
      <c r="FVM41" s="38"/>
      <c r="FVN41" s="38"/>
      <c r="FVO41" s="38"/>
      <c r="FVP41" s="40"/>
      <c r="FVQ41" s="41"/>
      <c r="FVR41" s="40"/>
      <c r="FVS41" s="38"/>
      <c r="FVT41" s="42"/>
      <c r="FVU41" s="42"/>
      <c r="FVV41" s="42"/>
      <c r="FVW41" s="38"/>
      <c r="FVX41" s="38"/>
      <c r="FVY41" s="38"/>
      <c r="FVZ41" s="39"/>
      <c r="FWA41" s="38"/>
      <c r="FWB41" s="38"/>
      <c r="FWC41" s="38"/>
      <c r="FWD41" s="40"/>
      <c r="FWE41" s="41"/>
      <c r="FWF41" s="40"/>
      <c r="FWG41" s="38"/>
      <c r="FWH41" s="42"/>
      <c r="FWI41" s="42"/>
      <c r="FWJ41" s="42"/>
      <c r="FWK41" s="38"/>
      <c r="FWL41" s="38"/>
      <c r="FWM41" s="38"/>
      <c r="FWN41" s="39"/>
      <c r="FWO41" s="38"/>
      <c r="FWP41" s="38"/>
      <c r="FWQ41" s="38"/>
      <c r="FWR41" s="40"/>
      <c r="FWS41" s="41"/>
      <c r="FWT41" s="40"/>
      <c r="FWU41" s="38"/>
      <c r="FWV41" s="42"/>
      <c r="FWW41" s="42"/>
      <c r="FWX41" s="42"/>
      <c r="FWY41" s="38"/>
      <c r="FWZ41" s="38"/>
      <c r="FXA41" s="38"/>
      <c r="FXB41" s="39"/>
      <c r="FXC41" s="38"/>
      <c r="FXD41" s="38"/>
      <c r="FXE41" s="38"/>
      <c r="FXF41" s="40"/>
      <c r="FXG41" s="41"/>
      <c r="FXH41" s="40"/>
      <c r="FXI41" s="38"/>
      <c r="FXJ41" s="42"/>
      <c r="FXK41" s="42"/>
      <c r="FXL41" s="42"/>
      <c r="FXM41" s="38"/>
      <c r="FXN41" s="38"/>
      <c r="FXO41" s="38"/>
      <c r="FXP41" s="39"/>
      <c r="FXQ41" s="38"/>
      <c r="FXR41" s="38"/>
      <c r="FXS41" s="38"/>
      <c r="FXT41" s="40"/>
      <c r="FXU41" s="41"/>
      <c r="FXV41" s="40"/>
      <c r="FXW41" s="38"/>
      <c r="FXX41" s="42"/>
      <c r="FXY41" s="42"/>
      <c r="FXZ41" s="42"/>
      <c r="FYA41" s="38"/>
      <c r="FYB41" s="38"/>
      <c r="FYC41" s="38"/>
      <c r="FYD41" s="39"/>
      <c r="FYE41" s="38"/>
      <c r="FYF41" s="38"/>
      <c r="FYG41" s="38"/>
      <c r="FYH41" s="40"/>
      <c r="FYI41" s="41"/>
      <c r="FYJ41" s="40"/>
      <c r="FYK41" s="38"/>
      <c r="FYL41" s="42"/>
      <c r="FYM41" s="42"/>
      <c r="FYN41" s="42"/>
      <c r="FYO41" s="38"/>
      <c r="FYP41" s="38"/>
      <c r="FYQ41" s="38"/>
      <c r="FYR41" s="39"/>
      <c r="FYS41" s="38"/>
      <c r="FYT41" s="38"/>
      <c r="FYU41" s="38"/>
      <c r="FYV41" s="40"/>
      <c r="FYW41" s="41"/>
      <c r="FYX41" s="40"/>
      <c r="FYY41" s="38"/>
      <c r="FYZ41" s="42"/>
      <c r="FZA41" s="42"/>
      <c r="FZB41" s="42"/>
      <c r="FZC41" s="38"/>
      <c r="FZD41" s="38"/>
      <c r="FZE41" s="38"/>
      <c r="FZF41" s="39"/>
      <c r="FZG41" s="38"/>
      <c r="FZH41" s="38"/>
      <c r="FZI41" s="38"/>
      <c r="FZJ41" s="40"/>
      <c r="FZK41" s="41"/>
      <c r="FZL41" s="40"/>
      <c r="FZM41" s="38"/>
      <c r="FZN41" s="42"/>
      <c r="FZO41" s="42"/>
      <c r="FZP41" s="42"/>
      <c r="FZQ41" s="38"/>
      <c r="FZR41" s="38"/>
      <c r="FZS41" s="38"/>
      <c r="FZT41" s="39"/>
      <c r="FZU41" s="38"/>
      <c r="FZV41" s="38"/>
      <c r="FZW41" s="38"/>
      <c r="FZX41" s="40"/>
      <c r="FZY41" s="41"/>
      <c r="FZZ41" s="40"/>
      <c r="GAA41" s="38"/>
      <c r="GAB41" s="42"/>
      <c r="GAC41" s="42"/>
      <c r="GAD41" s="42"/>
      <c r="GAE41" s="38"/>
      <c r="GAF41" s="38"/>
      <c r="GAG41" s="38"/>
      <c r="GAH41" s="39"/>
      <c r="GAI41" s="38"/>
      <c r="GAJ41" s="38"/>
      <c r="GAK41" s="38"/>
      <c r="GAL41" s="40"/>
      <c r="GAM41" s="41"/>
      <c r="GAN41" s="40"/>
      <c r="GAO41" s="38"/>
      <c r="GAP41" s="42"/>
      <c r="GAQ41" s="42"/>
      <c r="GAR41" s="42"/>
      <c r="GAS41" s="38"/>
      <c r="GAT41" s="38"/>
      <c r="GAU41" s="38"/>
      <c r="GAV41" s="39"/>
      <c r="GAW41" s="38"/>
      <c r="GAX41" s="38"/>
      <c r="GAY41" s="38"/>
      <c r="GAZ41" s="40"/>
      <c r="GBA41" s="41"/>
      <c r="GBB41" s="40"/>
      <c r="GBC41" s="38"/>
      <c r="GBD41" s="42"/>
      <c r="GBE41" s="42"/>
      <c r="GBF41" s="42"/>
      <c r="GBG41" s="38"/>
      <c r="GBH41" s="38"/>
      <c r="GBI41" s="38"/>
      <c r="GBJ41" s="39"/>
      <c r="GBK41" s="38"/>
      <c r="GBL41" s="38"/>
      <c r="GBM41" s="38"/>
      <c r="GBN41" s="40"/>
      <c r="GBO41" s="41"/>
      <c r="GBP41" s="40"/>
      <c r="GBQ41" s="38"/>
      <c r="GBR41" s="42"/>
      <c r="GBS41" s="42"/>
      <c r="GBT41" s="42"/>
      <c r="GBU41" s="38"/>
      <c r="GBV41" s="38"/>
      <c r="GBW41" s="38"/>
      <c r="GBX41" s="39"/>
      <c r="GBY41" s="38"/>
      <c r="GBZ41" s="38"/>
      <c r="GCA41" s="38"/>
      <c r="GCB41" s="40"/>
      <c r="GCC41" s="41"/>
      <c r="GCD41" s="40"/>
      <c r="GCE41" s="38"/>
      <c r="GCF41" s="42"/>
      <c r="GCG41" s="42"/>
      <c r="GCH41" s="42"/>
      <c r="GCI41" s="38"/>
      <c r="GCJ41" s="38"/>
      <c r="GCK41" s="38"/>
      <c r="GCL41" s="39"/>
      <c r="GCM41" s="38"/>
      <c r="GCN41" s="38"/>
      <c r="GCO41" s="38"/>
      <c r="GCP41" s="40"/>
      <c r="GCQ41" s="41"/>
      <c r="GCR41" s="40"/>
      <c r="GCS41" s="38"/>
      <c r="GCT41" s="42"/>
      <c r="GCU41" s="42"/>
      <c r="GCV41" s="42"/>
      <c r="GCW41" s="38"/>
      <c r="GCX41" s="38"/>
      <c r="GCY41" s="38"/>
      <c r="GCZ41" s="39"/>
      <c r="GDA41" s="38"/>
      <c r="GDB41" s="38"/>
      <c r="GDC41" s="38"/>
      <c r="GDD41" s="40"/>
      <c r="GDE41" s="41"/>
      <c r="GDF41" s="40"/>
      <c r="GDG41" s="38"/>
      <c r="GDH41" s="42"/>
      <c r="GDI41" s="42"/>
      <c r="GDJ41" s="42"/>
      <c r="GDK41" s="38"/>
      <c r="GDL41" s="38"/>
      <c r="GDM41" s="38"/>
      <c r="GDN41" s="39"/>
      <c r="GDO41" s="38"/>
      <c r="GDP41" s="38"/>
      <c r="GDQ41" s="38"/>
      <c r="GDR41" s="40"/>
      <c r="GDS41" s="41"/>
      <c r="GDT41" s="40"/>
      <c r="GDU41" s="38"/>
      <c r="GDV41" s="42"/>
      <c r="GDW41" s="42"/>
      <c r="GDX41" s="42"/>
      <c r="GDY41" s="38"/>
      <c r="GDZ41" s="38"/>
      <c r="GEA41" s="38"/>
      <c r="GEB41" s="39"/>
      <c r="GEC41" s="38"/>
      <c r="GED41" s="38"/>
      <c r="GEE41" s="38"/>
      <c r="GEF41" s="40"/>
      <c r="GEG41" s="41"/>
      <c r="GEH41" s="40"/>
      <c r="GEI41" s="38"/>
      <c r="GEJ41" s="42"/>
      <c r="GEK41" s="42"/>
      <c r="GEL41" s="42"/>
      <c r="GEM41" s="38"/>
      <c r="GEN41" s="38"/>
      <c r="GEO41" s="38"/>
      <c r="GEP41" s="39"/>
      <c r="GEQ41" s="38"/>
      <c r="GER41" s="38"/>
      <c r="GES41" s="38"/>
      <c r="GET41" s="40"/>
      <c r="GEU41" s="41"/>
      <c r="GEV41" s="40"/>
      <c r="GEW41" s="38"/>
      <c r="GEX41" s="42"/>
      <c r="GEY41" s="42"/>
      <c r="GEZ41" s="42"/>
      <c r="GFA41" s="38"/>
      <c r="GFB41" s="38"/>
      <c r="GFC41" s="38"/>
      <c r="GFD41" s="39"/>
      <c r="GFE41" s="38"/>
      <c r="GFF41" s="38"/>
      <c r="GFG41" s="38"/>
      <c r="GFH41" s="40"/>
      <c r="GFI41" s="41"/>
      <c r="GFJ41" s="40"/>
      <c r="GFK41" s="38"/>
      <c r="GFL41" s="42"/>
      <c r="GFM41" s="42"/>
      <c r="GFN41" s="42"/>
      <c r="GFO41" s="38"/>
      <c r="GFP41" s="38"/>
      <c r="GFQ41" s="38"/>
      <c r="GFR41" s="39"/>
      <c r="GFS41" s="38"/>
      <c r="GFT41" s="38"/>
      <c r="GFU41" s="38"/>
      <c r="GFV41" s="40"/>
      <c r="GFW41" s="41"/>
      <c r="GFX41" s="40"/>
      <c r="GFY41" s="38"/>
      <c r="GFZ41" s="42"/>
      <c r="GGA41" s="42"/>
      <c r="GGB41" s="42"/>
      <c r="GGC41" s="38"/>
      <c r="GGD41" s="38"/>
      <c r="GGE41" s="38"/>
      <c r="GGF41" s="39"/>
      <c r="GGG41" s="38"/>
      <c r="GGH41" s="38"/>
      <c r="GGI41" s="38"/>
      <c r="GGJ41" s="40"/>
      <c r="GGK41" s="41"/>
      <c r="GGL41" s="40"/>
      <c r="GGM41" s="38"/>
      <c r="GGN41" s="42"/>
      <c r="GGO41" s="42"/>
      <c r="GGP41" s="42"/>
      <c r="GGQ41" s="38"/>
      <c r="GGR41" s="38"/>
      <c r="GGS41" s="38"/>
      <c r="GGT41" s="39"/>
      <c r="GGU41" s="38"/>
      <c r="GGV41" s="38"/>
      <c r="GGW41" s="38"/>
      <c r="GGX41" s="40"/>
      <c r="GGY41" s="41"/>
      <c r="GGZ41" s="40"/>
      <c r="GHA41" s="38"/>
      <c r="GHB41" s="42"/>
      <c r="GHC41" s="42"/>
      <c r="GHD41" s="42"/>
      <c r="GHE41" s="38"/>
      <c r="GHF41" s="38"/>
      <c r="GHG41" s="38"/>
      <c r="GHH41" s="39"/>
      <c r="GHI41" s="38"/>
      <c r="GHJ41" s="38"/>
      <c r="GHK41" s="38"/>
      <c r="GHL41" s="40"/>
      <c r="GHM41" s="41"/>
      <c r="GHN41" s="40"/>
      <c r="GHO41" s="38"/>
      <c r="GHP41" s="42"/>
      <c r="GHQ41" s="42"/>
      <c r="GHR41" s="42"/>
      <c r="GHS41" s="38"/>
      <c r="GHT41" s="38"/>
      <c r="GHU41" s="38"/>
      <c r="GHV41" s="39"/>
      <c r="GHW41" s="38"/>
      <c r="GHX41" s="38"/>
      <c r="GHY41" s="38"/>
      <c r="GHZ41" s="40"/>
      <c r="GIA41" s="41"/>
      <c r="GIB41" s="40"/>
      <c r="GIC41" s="38"/>
      <c r="GID41" s="42"/>
      <c r="GIE41" s="42"/>
      <c r="GIF41" s="42"/>
      <c r="GIG41" s="38"/>
      <c r="GIH41" s="38"/>
      <c r="GII41" s="38"/>
      <c r="GIJ41" s="39"/>
      <c r="GIK41" s="38"/>
      <c r="GIL41" s="38"/>
      <c r="GIM41" s="38"/>
      <c r="GIN41" s="40"/>
      <c r="GIO41" s="41"/>
      <c r="GIP41" s="40"/>
      <c r="GIQ41" s="38"/>
      <c r="GIR41" s="42"/>
      <c r="GIS41" s="42"/>
      <c r="GIT41" s="42"/>
      <c r="GIU41" s="38"/>
      <c r="GIV41" s="38"/>
      <c r="GIW41" s="38"/>
      <c r="GIX41" s="39"/>
      <c r="GIY41" s="38"/>
      <c r="GIZ41" s="38"/>
      <c r="GJA41" s="38"/>
      <c r="GJB41" s="40"/>
      <c r="GJC41" s="41"/>
      <c r="GJD41" s="40"/>
      <c r="GJE41" s="38"/>
      <c r="GJF41" s="42"/>
      <c r="GJG41" s="42"/>
      <c r="GJH41" s="42"/>
      <c r="GJI41" s="38"/>
      <c r="GJJ41" s="38"/>
      <c r="GJK41" s="38"/>
      <c r="GJL41" s="39"/>
      <c r="GJM41" s="38"/>
      <c r="GJN41" s="38"/>
      <c r="GJO41" s="38"/>
      <c r="GJP41" s="40"/>
      <c r="GJQ41" s="41"/>
      <c r="GJR41" s="40"/>
      <c r="GJS41" s="38"/>
      <c r="GJT41" s="42"/>
      <c r="GJU41" s="42"/>
      <c r="GJV41" s="42"/>
      <c r="GJW41" s="38"/>
      <c r="GJX41" s="38"/>
      <c r="GJY41" s="38"/>
      <c r="GJZ41" s="39"/>
      <c r="GKA41" s="38"/>
      <c r="GKB41" s="38"/>
      <c r="GKC41" s="38"/>
      <c r="GKD41" s="40"/>
      <c r="GKE41" s="41"/>
      <c r="GKF41" s="40"/>
      <c r="GKG41" s="38"/>
      <c r="GKH41" s="42"/>
      <c r="GKI41" s="42"/>
      <c r="GKJ41" s="42"/>
      <c r="GKK41" s="38"/>
      <c r="GKL41" s="38"/>
      <c r="GKM41" s="38"/>
      <c r="GKN41" s="39"/>
      <c r="GKO41" s="38"/>
      <c r="GKP41" s="38"/>
      <c r="GKQ41" s="38"/>
      <c r="GKR41" s="40"/>
      <c r="GKS41" s="41"/>
      <c r="GKT41" s="40"/>
      <c r="GKU41" s="38"/>
      <c r="GKV41" s="42"/>
      <c r="GKW41" s="42"/>
      <c r="GKX41" s="42"/>
      <c r="GKY41" s="38"/>
      <c r="GKZ41" s="38"/>
      <c r="GLA41" s="38"/>
      <c r="GLB41" s="39"/>
      <c r="GLC41" s="38"/>
      <c r="GLD41" s="38"/>
      <c r="GLE41" s="38"/>
      <c r="GLF41" s="40"/>
      <c r="GLG41" s="41"/>
      <c r="GLH41" s="40"/>
      <c r="GLI41" s="38"/>
      <c r="GLJ41" s="42"/>
      <c r="GLK41" s="42"/>
      <c r="GLL41" s="42"/>
      <c r="GLM41" s="38"/>
      <c r="GLN41" s="38"/>
      <c r="GLO41" s="38"/>
      <c r="GLP41" s="39"/>
      <c r="GLQ41" s="38"/>
      <c r="GLR41" s="38"/>
      <c r="GLS41" s="38"/>
      <c r="GLT41" s="40"/>
      <c r="GLU41" s="41"/>
      <c r="GLV41" s="40"/>
      <c r="GLW41" s="38"/>
      <c r="GLX41" s="42"/>
      <c r="GLY41" s="42"/>
      <c r="GLZ41" s="42"/>
      <c r="GMA41" s="38"/>
      <c r="GMB41" s="38"/>
      <c r="GMC41" s="38"/>
      <c r="GMD41" s="39"/>
      <c r="GME41" s="38"/>
      <c r="GMF41" s="38"/>
      <c r="GMG41" s="38"/>
      <c r="GMH41" s="40"/>
      <c r="GMI41" s="41"/>
      <c r="GMJ41" s="40"/>
      <c r="GMK41" s="38"/>
      <c r="GML41" s="42"/>
      <c r="GMM41" s="42"/>
      <c r="GMN41" s="42"/>
      <c r="GMO41" s="38"/>
      <c r="GMP41" s="38"/>
      <c r="GMQ41" s="38"/>
      <c r="GMR41" s="39"/>
      <c r="GMS41" s="38"/>
      <c r="GMT41" s="38"/>
      <c r="GMU41" s="38"/>
      <c r="GMV41" s="40"/>
      <c r="GMW41" s="41"/>
      <c r="GMX41" s="40"/>
      <c r="GMY41" s="38"/>
      <c r="GMZ41" s="42"/>
      <c r="GNA41" s="42"/>
      <c r="GNB41" s="42"/>
      <c r="GNC41" s="38"/>
      <c r="GND41" s="38"/>
      <c r="GNE41" s="38"/>
      <c r="GNF41" s="39"/>
      <c r="GNG41" s="38"/>
      <c r="GNH41" s="38"/>
      <c r="GNI41" s="38"/>
      <c r="GNJ41" s="40"/>
      <c r="GNK41" s="41"/>
      <c r="GNL41" s="40"/>
      <c r="GNM41" s="38"/>
      <c r="GNN41" s="42"/>
      <c r="GNO41" s="42"/>
      <c r="GNP41" s="42"/>
      <c r="GNQ41" s="38"/>
      <c r="GNR41" s="38"/>
      <c r="GNS41" s="38"/>
      <c r="GNT41" s="39"/>
      <c r="GNU41" s="38"/>
      <c r="GNV41" s="38"/>
      <c r="GNW41" s="38"/>
      <c r="GNX41" s="40"/>
      <c r="GNY41" s="41"/>
      <c r="GNZ41" s="40"/>
      <c r="GOA41" s="38"/>
      <c r="GOB41" s="42"/>
      <c r="GOC41" s="42"/>
      <c r="GOD41" s="42"/>
      <c r="GOE41" s="38"/>
      <c r="GOF41" s="38"/>
      <c r="GOG41" s="38"/>
      <c r="GOH41" s="39"/>
      <c r="GOI41" s="38"/>
      <c r="GOJ41" s="38"/>
      <c r="GOK41" s="38"/>
      <c r="GOL41" s="40"/>
      <c r="GOM41" s="41"/>
      <c r="GON41" s="40"/>
      <c r="GOO41" s="38"/>
      <c r="GOP41" s="42"/>
      <c r="GOQ41" s="42"/>
      <c r="GOR41" s="42"/>
      <c r="GOS41" s="38"/>
      <c r="GOT41" s="38"/>
      <c r="GOU41" s="38"/>
      <c r="GOV41" s="39"/>
      <c r="GOW41" s="38"/>
      <c r="GOX41" s="38"/>
      <c r="GOY41" s="38"/>
      <c r="GOZ41" s="40"/>
      <c r="GPA41" s="41"/>
      <c r="GPB41" s="40"/>
      <c r="GPC41" s="38"/>
      <c r="GPD41" s="42"/>
      <c r="GPE41" s="42"/>
      <c r="GPF41" s="42"/>
      <c r="GPG41" s="38"/>
      <c r="GPH41" s="38"/>
      <c r="GPI41" s="38"/>
      <c r="GPJ41" s="39"/>
      <c r="GPK41" s="38"/>
      <c r="GPL41" s="38"/>
      <c r="GPM41" s="38"/>
      <c r="GPN41" s="40"/>
      <c r="GPO41" s="41"/>
      <c r="GPP41" s="40"/>
      <c r="GPQ41" s="38"/>
      <c r="GPR41" s="42"/>
      <c r="GPS41" s="42"/>
      <c r="GPT41" s="42"/>
      <c r="GPU41" s="38"/>
      <c r="GPV41" s="38"/>
      <c r="GPW41" s="38"/>
      <c r="GPX41" s="39"/>
      <c r="GPY41" s="38"/>
      <c r="GPZ41" s="38"/>
      <c r="GQA41" s="38"/>
      <c r="GQB41" s="40"/>
      <c r="GQC41" s="41"/>
      <c r="GQD41" s="40"/>
      <c r="GQE41" s="38"/>
      <c r="GQF41" s="42"/>
      <c r="GQG41" s="42"/>
      <c r="GQH41" s="42"/>
      <c r="GQI41" s="38"/>
      <c r="GQJ41" s="38"/>
      <c r="GQK41" s="38"/>
      <c r="GQL41" s="39"/>
      <c r="GQM41" s="38"/>
      <c r="GQN41" s="38"/>
      <c r="GQO41" s="38"/>
      <c r="GQP41" s="40"/>
      <c r="GQQ41" s="41"/>
      <c r="GQR41" s="40"/>
      <c r="GQS41" s="38"/>
      <c r="GQT41" s="42"/>
      <c r="GQU41" s="42"/>
      <c r="GQV41" s="42"/>
      <c r="GQW41" s="38"/>
      <c r="GQX41" s="38"/>
      <c r="GQY41" s="38"/>
      <c r="GQZ41" s="39"/>
      <c r="GRA41" s="38"/>
      <c r="GRB41" s="38"/>
      <c r="GRC41" s="38"/>
      <c r="GRD41" s="40"/>
      <c r="GRE41" s="41"/>
      <c r="GRF41" s="40"/>
      <c r="GRG41" s="38"/>
      <c r="GRH41" s="42"/>
      <c r="GRI41" s="42"/>
      <c r="GRJ41" s="42"/>
      <c r="GRK41" s="38"/>
      <c r="GRL41" s="38"/>
      <c r="GRM41" s="38"/>
      <c r="GRN41" s="39"/>
      <c r="GRO41" s="38"/>
      <c r="GRP41" s="38"/>
      <c r="GRQ41" s="38"/>
      <c r="GRR41" s="40"/>
      <c r="GRS41" s="41"/>
      <c r="GRT41" s="40"/>
      <c r="GRU41" s="38"/>
      <c r="GRV41" s="42"/>
      <c r="GRW41" s="42"/>
      <c r="GRX41" s="42"/>
      <c r="GRY41" s="38"/>
      <c r="GRZ41" s="38"/>
      <c r="GSA41" s="38"/>
      <c r="GSB41" s="39"/>
      <c r="GSC41" s="38"/>
      <c r="GSD41" s="38"/>
      <c r="GSE41" s="38"/>
      <c r="GSF41" s="40"/>
      <c r="GSG41" s="41"/>
      <c r="GSH41" s="40"/>
      <c r="GSI41" s="38"/>
      <c r="GSJ41" s="42"/>
      <c r="GSK41" s="42"/>
      <c r="GSL41" s="42"/>
      <c r="GSM41" s="38"/>
      <c r="GSN41" s="38"/>
      <c r="GSO41" s="38"/>
      <c r="GSP41" s="39"/>
      <c r="GSQ41" s="38"/>
      <c r="GSR41" s="38"/>
      <c r="GSS41" s="38"/>
      <c r="GST41" s="40"/>
      <c r="GSU41" s="41"/>
      <c r="GSV41" s="40"/>
      <c r="GSW41" s="38"/>
      <c r="GSX41" s="42"/>
      <c r="GSY41" s="42"/>
      <c r="GSZ41" s="42"/>
      <c r="GTA41" s="38"/>
      <c r="GTB41" s="38"/>
      <c r="GTC41" s="38"/>
      <c r="GTD41" s="39"/>
      <c r="GTE41" s="38"/>
      <c r="GTF41" s="38"/>
      <c r="GTG41" s="38"/>
      <c r="GTH41" s="40"/>
      <c r="GTI41" s="41"/>
      <c r="GTJ41" s="40"/>
      <c r="GTK41" s="38"/>
      <c r="GTL41" s="42"/>
      <c r="GTM41" s="42"/>
      <c r="GTN41" s="42"/>
      <c r="GTO41" s="38"/>
      <c r="GTP41" s="38"/>
      <c r="GTQ41" s="38"/>
      <c r="GTR41" s="39"/>
      <c r="GTS41" s="38"/>
      <c r="GTT41" s="38"/>
      <c r="GTU41" s="38"/>
      <c r="GTV41" s="40"/>
      <c r="GTW41" s="41"/>
      <c r="GTX41" s="40"/>
      <c r="GTY41" s="38"/>
      <c r="GTZ41" s="42"/>
      <c r="GUA41" s="42"/>
      <c r="GUB41" s="42"/>
      <c r="GUC41" s="38"/>
      <c r="GUD41" s="38"/>
      <c r="GUE41" s="38"/>
      <c r="GUF41" s="39"/>
      <c r="GUG41" s="38"/>
      <c r="GUH41" s="38"/>
      <c r="GUI41" s="38"/>
      <c r="GUJ41" s="40"/>
      <c r="GUK41" s="41"/>
      <c r="GUL41" s="40"/>
      <c r="GUM41" s="38"/>
      <c r="GUN41" s="42"/>
      <c r="GUO41" s="42"/>
      <c r="GUP41" s="42"/>
      <c r="GUQ41" s="38"/>
      <c r="GUR41" s="38"/>
      <c r="GUS41" s="38"/>
      <c r="GUT41" s="39"/>
      <c r="GUU41" s="38"/>
      <c r="GUV41" s="38"/>
      <c r="GUW41" s="38"/>
      <c r="GUX41" s="40"/>
      <c r="GUY41" s="41"/>
      <c r="GUZ41" s="40"/>
      <c r="GVA41" s="38"/>
      <c r="GVB41" s="42"/>
      <c r="GVC41" s="42"/>
      <c r="GVD41" s="42"/>
      <c r="GVE41" s="38"/>
      <c r="GVF41" s="38"/>
      <c r="GVG41" s="38"/>
      <c r="GVH41" s="39"/>
      <c r="GVI41" s="38"/>
      <c r="GVJ41" s="38"/>
      <c r="GVK41" s="38"/>
      <c r="GVL41" s="40"/>
      <c r="GVM41" s="41"/>
      <c r="GVN41" s="40"/>
      <c r="GVO41" s="38"/>
      <c r="GVP41" s="42"/>
      <c r="GVQ41" s="42"/>
      <c r="GVR41" s="42"/>
      <c r="GVS41" s="38"/>
      <c r="GVT41" s="38"/>
      <c r="GVU41" s="38"/>
      <c r="GVV41" s="39"/>
      <c r="GVW41" s="38"/>
      <c r="GVX41" s="38"/>
      <c r="GVY41" s="38"/>
      <c r="GVZ41" s="40"/>
      <c r="GWA41" s="41"/>
      <c r="GWB41" s="40"/>
      <c r="GWC41" s="38"/>
      <c r="GWD41" s="42"/>
      <c r="GWE41" s="42"/>
      <c r="GWF41" s="42"/>
      <c r="GWG41" s="38"/>
      <c r="GWH41" s="38"/>
      <c r="GWI41" s="38"/>
      <c r="GWJ41" s="39"/>
      <c r="GWK41" s="38"/>
      <c r="GWL41" s="38"/>
      <c r="GWM41" s="38"/>
      <c r="GWN41" s="40"/>
      <c r="GWO41" s="41"/>
      <c r="GWP41" s="40"/>
      <c r="GWQ41" s="38"/>
      <c r="GWR41" s="42"/>
      <c r="GWS41" s="42"/>
      <c r="GWT41" s="42"/>
      <c r="GWU41" s="38"/>
      <c r="GWV41" s="38"/>
      <c r="GWW41" s="38"/>
      <c r="GWX41" s="39"/>
      <c r="GWY41" s="38"/>
      <c r="GWZ41" s="38"/>
      <c r="GXA41" s="38"/>
      <c r="GXB41" s="40"/>
      <c r="GXC41" s="41"/>
      <c r="GXD41" s="40"/>
      <c r="GXE41" s="38"/>
      <c r="GXF41" s="42"/>
      <c r="GXG41" s="42"/>
      <c r="GXH41" s="42"/>
      <c r="GXI41" s="38"/>
      <c r="GXJ41" s="38"/>
      <c r="GXK41" s="38"/>
      <c r="GXL41" s="39"/>
      <c r="GXM41" s="38"/>
      <c r="GXN41" s="38"/>
      <c r="GXO41" s="38"/>
      <c r="GXP41" s="40"/>
      <c r="GXQ41" s="41"/>
      <c r="GXR41" s="40"/>
      <c r="GXS41" s="38"/>
      <c r="GXT41" s="42"/>
      <c r="GXU41" s="42"/>
      <c r="GXV41" s="42"/>
      <c r="GXW41" s="38"/>
      <c r="GXX41" s="38"/>
      <c r="GXY41" s="38"/>
      <c r="GXZ41" s="39"/>
      <c r="GYA41" s="38"/>
      <c r="GYB41" s="38"/>
      <c r="GYC41" s="38"/>
      <c r="GYD41" s="40"/>
      <c r="GYE41" s="41"/>
      <c r="GYF41" s="40"/>
      <c r="GYG41" s="38"/>
      <c r="GYH41" s="42"/>
      <c r="GYI41" s="42"/>
      <c r="GYJ41" s="42"/>
      <c r="GYK41" s="38"/>
      <c r="GYL41" s="38"/>
      <c r="GYM41" s="38"/>
      <c r="GYN41" s="39"/>
      <c r="GYO41" s="38"/>
      <c r="GYP41" s="38"/>
      <c r="GYQ41" s="38"/>
      <c r="GYR41" s="40"/>
      <c r="GYS41" s="41"/>
      <c r="GYT41" s="40"/>
      <c r="GYU41" s="38"/>
      <c r="GYV41" s="42"/>
      <c r="GYW41" s="42"/>
      <c r="GYX41" s="42"/>
      <c r="GYY41" s="38"/>
      <c r="GYZ41" s="38"/>
      <c r="GZA41" s="38"/>
      <c r="GZB41" s="39"/>
      <c r="GZC41" s="38"/>
      <c r="GZD41" s="38"/>
      <c r="GZE41" s="38"/>
      <c r="GZF41" s="40"/>
      <c r="GZG41" s="41"/>
      <c r="GZH41" s="40"/>
      <c r="GZI41" s="38"/>
      <c r="GZJ41" s="42"/>
      <c r="GZK41" s="42"/>
      <c r="GZL41" s="42"/>
      <c r="GZM41" s="38"/>
      <c r="GZN41" s="38"/>
      <c r="GZO41" s="38"/>
      <c r="GZP41" s="39"/>
      <c r="GZQ41" s="38"/>
      <c r="GZR41" s="38"/>
      <c r="GZS41" s="38"/>
      <c r="GZT41" s="40"/>
      <c r="GZU41" s="41"/>
      <c r="GZV41" s="40"/>
      <c r="GZW41" s="38"/>
      <c r="GZX41" s="42"/>
      <c r="GZY41" s="42"/>
      <c r="GZZ41" s="42"/>
      <c r="HAA41" s="38"/>
      <c r="HAB41" s="38"/>
      <c r="HAC41" s="38"/>
      <c r="HAD41" s="39"/>
      <c r="HAE41" s="38"/>
      <c r="HAF41" s="38"/>
      <c r="HAG41" s="38"/>
      <c r="HAH41" s="40"/>
      <c r="HAI41" s="41"/>
      <c r="HAJ41" s="40"/>
      <c r="HAK41" s="38"/>
      <c r="HAL41" s="42"/>
      <c r="HAM41" s="42"/>
      <c r="HAN41" s="42"/>
      <c r="HAO41" s="38"/>
      <c r="HAP41" s="38"/>
      <c r="HAQ41" s="38"/>
      <c r="HAR41" s="39"/>
      <c r="HAS41" s="38"/>
      <c r="HAT41" s="38"/>
      <c r="HAU41" s="38"/>
      <c r="HAV41" s="40"/>
      <c r="HAW41" s="41"/>
      <c r="HAX41" s="40"/>
      <c r="HAY41" s="38"/>
      <c r="HAZ41" s="42"/>
      <c r="HBA41" s="42"/>
      <c r="HBB41" s="42"/>
      <c r="HBC41" s="38"/>
      <c r="HBD41" s="38"/>
      <c r="HBE41" s="38"/>
      <c r="HBF41" s="39"/>
      <c r="HBG41" s="38"/>
      <c r="HBH41" s="38"/>
      <c r="HBI41" s="38"/>
      <c r="HBJ41" s="40"/>
      <c r="HBK41" s="41"/>
      <c r="HBL41" s="40"/>
      <c r="HBM41" s="38"/>
      <c r="HBN41" s="42"/>
      <c r="HBO41" s="42"/>
      <c r="HBP41" s="42"/>
      <c r="HBQ41" s="38"/>
      <c r="HBR41" s="38"/>
      <c r="HBS41" s="38"/>
      <c r="HBT41" s="39"/>
      <c r="HBU41" s="38"/>
      <c r="HBV41" s="38"/>
      <c r="HBW41" s="38"/>
      <c r="HBX41" s="40"/>
      <c r="HBY41" s="41"/>
      <c r="HBZ41" s="40"/>
      <c r="HCA41" s="38"/>
      <c r="HCB41" s="42"/>
      <c r="HCC41" s="42"/>
      <c r="HCD41" s="42"/>
      <c r="HCE41" s="38"/>
      <c r="HCF41" s="38"/>
      <c r="HCG41" s="38"/>
      <c r="HCH41" s="39"/>
      <c r="HCI41" s="38"/>
      <c r="HCJ41" s="38"/>
      <c r="HCK41" s="38"/>
      <c r="HCL41" s="40"/>
      <c r="HCM41" s="41"/>
      <c r="HCN41" s="40"/>
      <c r="HCO41" s="38"/>
      <c r="HCP41" s="42"/>
      <c r="HCQ41" s="42"/>
      <c r="HCR41" s="42"/>
      <c r="HCS41" s="38"/>
      <c r="HCT41" s="38"/>
      <c r="HCU41" s="38"/>
      <c r="HCV41" s="39"/>
      <c r="HCW41" s="38"/>
      <c r="HCX41" s="38"/>
      <c r="HCY41" s="38"/>
      <c r="HCZ41" s="40"/>
      <c r="HDA41" s="41"/>
      <c r="HDB41" s="40"/>
      <c r="HDC41" s="38"/>
      <c r="HDD41" s="42"/>
      <c r="HDE41" s="42"/>
      <c r="HDF41" s="42"/>
      <c r="HDG41" s="38"/>
      <c r="HDH41" s="38"/>
      <c r="HDI41" s="38"/>
      <c r="HDJ41" s="39"/>
      <c r="HDK41" s="38"/>
      <c r="HDL41" s="38"/>
      <c r="HDM41" s="38"/>
      <c r="HDN41" s="40"/>
      <c r="HDO41" s="41"/>
      <c r="HDP41" s="40"/>
      <c r="HDQ41" s="38"/>
      <c r="HDR41" s="42"/>
      <c r="HDS41" s="42"/>
      <c r="HDT41" s="42"/>
      <c r="HDU41" s="38"/>
      <c r="HDV41" s="38"/>
      <c r="HDW41" s="38"/>
      <c r="HDX41" s="39"/>
      <c r="HDY41" s="38"/>
      <c r="HDZ41" s="38"/>
      <c r="HEA41" s="38"/>
      <c r="HEB41" s="40"/>
      <c r="HEC41" s="41"/>
      <c r="HED41" s="40"/>
      <c r="HEE41" s="38"/>
      <c r="HEF41" s="42"/>
      <c r="HEG41" s="42"/>
      <c r="HEH41" s="42"/>
      <c r="HEI41" s="38"/>
      <c r="HEJ41" s="38"/>
      <c r="HEK41" s="38"/>
      <c r="HEL41" s="39"/>
      <c r="HEM41" s="38"/>
      <c r="HEN41" s="38"/>
      <c r="HEO41" s="38"/>
      <c r="HEP41" s="40"/>
      <c r="HEQ41" s="41"/>
      <c r="HER41" s="40"/>
      <c r="HES41" s="38"/>
      <c r="HET41" s="42"/>
      <c r="HEU41" s="42"/>
      <c r="HEV41" s="42"/>
      <c r="HEW41" s="38"/>
      <c r="HEX41" s="38"/>
      <c r="HEY41" s="38"/>
      <c r="HEZ41" s="39"/>
      <c r="HFA41" s="38"/>
      <c r="HFB41" s="38"/>
      <c r="HFC41" s="38"/>
      <c r="HFD41" s="40"/>
      <c r="HFE41" s="41"/>
      <c r="HFF41" s="40"/>
      <c r="HFG41" s="38"/>
      <c r="HFH41" s="42"/>
      <c r="HFI41" s="42"/>
      <c r="HFJ41" s="42"/>
      <c r="HFK41" s="38"/>
      <c r="HFL41" s="38"/>
      <c r="HFM41" s="38"/>
      <c r="HFN41" s="39"/>
      <c r="HFO41" s="38"/>
      <c r="HFP41" s="38"/>
      <c r="HFQ41" s="38"/>
      <c r="HFR41" s="40"/>
      <c r="HFS41" s="41"/>
      <c r="HFT41" s="40"/>
      <c r="HFU41" s="38"/>
      <c r="HFV41" s="42"/>
      <c r="HFW41" s="42"/>
      <c r="HFX41" s="42"/>
      <c r="HFY41" s="38"/>
      <c r="HFZ41" s="38"/>
      <c r="HGA41" s="38"/>
      <c r="HGB41" s="39"/>
      <c r="HGC41" s="38"/>
      <c r="HGD41" s="38"/>
      <c r="HGE41" s="38"/>
      <c r="HGF41" s="40"/>
      <c r="HGG41" s="41"/>
      <c r="HGH41" s="40"/>
      <c r="HGI41" s="38"/>
      <c r="HGJ41" s="42"/>
      <c r="HGK41" s="42"/>
      <c r="HGL41" s="42"/>
      <c r="HGM41" s="38"/>
      <c r="HGN41" s="38"/>
      <c r="HGO41" s="38"/>
      <c r="HGP41" s="39"/>
      <c r="HGQ41" s="38"/>
      <c r="HGR41" s="38"/>
      <c r="HGS41" s="38"/>
      <c r="HGT41" s="40"/>
      <c r="HGU41" s="41"/>
      <c r="HGV41" s="40"/>
      <c r="HGW41" s="38"/>
      <c r="HGX41" s="42"/>
      <c r="HGY41" s="42"/>
      <c r="HGZ41" s="42"/>
      <c r="HHA41" s="38"/>
      <c r="HHB41" s="38"/>
      <c r="HHC41" s="38"/>
      <c r="HHD41" s="39"/>
      <c r="HHE41" s="38"/>
      <c r="HHF41" s="38"/>
      <c r="HHG41" s="38"/>
      <c r="HHH41" s="40"/>
      <c r="HHI41" s="41"/>
      <c r="HHJ41" s="40"/>
      <c r="HHK41" s="38"/>
      <c r="HHL41" s="42"/>
      <c r="HHM41" s="42"/>
      <c r="HHN41" s="42"/>
      <c r="HHO41" s="38"/>
      <c r="HHP41" s="38"/>
      <c r="HHQ41" s="38"/>
      <c r="HHR41" s="39"/>
      <c r="HHS41" s="38"/>
      <c r="HHT41" s="38"/>
      <c r="HHU41" s="38"/>
      <c r="HHV41" s="40"/>
      <c r="HHW41" s="41"/>
      <c r="HHX41" s="40"/>
      <c r="HHY41" s="38"/>
      <c r="HHZ41" s="42"/>
      <c r="HIA41" s="42"/>
      <c r="HIB41" s="42"/>
      <c r="HIC41" s="38"/>
      <c r="HID41" s="38"/>
      <c r="HIE41" s="38"/>
      <c r="HIF41" s="39"/>
      <c r="HIG41" s="38"/>
      <c r="HIH41" s="38"/>
      <c r="HII41" s="38"/>
      <c r="HIJ41" s="40"/>
      <c r="HIK41" s="41"/>
      <c r="HIL41" s="40"/>
      <c r="HIM41" s="38"/>
      <c r="HIN41" s="42"/>
      <c r="HIO41" s="42"/>
      <c r="HIP41" s="42"/>
      <c r="HIQ41" s="38"/>
      <c r="HIR41" s="38"/>
      <c r="HIS41" s="38"/>
      <c r="HIT41" s="39"/>
      <c r="HIU41" s="38"/>
      <c r="HIV41" s="38"/>
      <c r="HIW41" s="38"/>
      <c r="HIX41" s="40"/>
      <c r="HIY41" s="41"/>
      <c r="HIZ41" s="40"/>
      <c r="HJA41" s="38"/>
      <c r="HJB41" s="42"/>
      <c r="HJC41" s="42"/>
      <c r="HJD41" s="42"/>
      <c r="HJE41" s="38"/>
      <c r="HJF41" s="38"/>
      <c r="HJG41" s="38"/>
      <c r="HJH41" s="39"/>
      <c r="HJI41" s="38"/>
      <c r="HJJ41" s="38"/>
      <c r="HJK41" s="38"/>
      <c r="HJL41" s="40"/>
      <c r="HJM41" s="41"/>
      <c r="HJN41" s="40"/>
      <c r="HJO41" s="38"/>
      <c r="HJP41" s="42"/>
      <c r="HJQ41" s="42"/>
      <c r="HJR41" s="42"/>
      <c r="HJS41" s="38"/>
      <c r="HJT41" s="38"/>
      <c r="HJU41" s="38"/>
      <c r="HJV41" s="39"/>
      <c r="HJW41" s="38"/>
      <c r="HJX41" s="38"/>
      <c r="HJY41" s="38"/>
      <c r="HJZ41" s="40"/>
      <c r="HKA41" s="41"/>
      <c r="HKB41" s="40"/>
      <c r="HKC41" s="38"/>
      <c r="HKD41" s="42"/>
      <c r="HKE41" s="42"/>
      <c r="HKF41" s="42"/>
      <c r="HKG41" s="38"/>
      <c r="HKH41" s="38"/>
      <c r="HKI41" s="38"/>
      <c r="HKJ41" s="39"/>
      <c r="HKK41" s="38"/>
      <c r="HKL41" s="38"/>
      <c r="HKM41" s="38"/>
      <c r="HKN41" s="40"/>
      <c r="HKO41" s="41"/>
      <c r="HKP41" s="40"/>
      <c r="HKQ41" s="38"/>
      <c r="HKR41" s="42"/>
      <c r="HKS41" s="42"/>
      <c r="HKT41" s="42"/>
      <c r="HKU41" s="38"/>
      <c r="HKV41" s="38"/>
      <c r="HKW41" s="38"/>
      <c r="HKX41" s="39"/>
      <c r="HKY41" s="38"/>
      <c r="HKZ41" s="38"/>
      <c r="HLA41" s="38"/>
      <c r="HLB41" s="40"/>
      <c r="HLC41" s="41"/>
      <c r="HLD41" s="40"/>
      <c r="HLE41" s="38"/>
      <c r="HLF41" s="42"/>
      <c r="HLG41" s="42"/>
      <c r="HLH41" s="42"/>
      <c r="HLI41" s="38"/>
      <c r="HLJ41" s="38"/>
      <c r="HLK41" s="38"/>
      <c r="HLL41" s="39"/>
      <c r="HLM41" s="38"/>
      <c r="HLN41" s="38"/>
      <c r="HLO41" s="38"/>
      <c r="HLP41" s="40"/>
      <c r="HLQ41" s="41"/>
      <c r="HLR41" s="40"/>
      <c r="HLS41" s="38"/>
      <c r="HLT41" s="42"/>
      <c r="HLU41" s="42"/>
      <c r="HLV41" s="42"/>
      <c r="HLW41" s="38"/>
      <c r="HLX41" s="38"/>
      <c r="HLY41" s="38"/>
      <c r="HLZ41" s="39"/>
      <c r="HMA41" s="38"/>
      <c r="HMB41" s="38"/>
      <c r="HMC41" s="38"/>
      <c r="HMD41" s="40"/>
      <c r="HME41" s="41"/>
      <c r="HMF41" s="40"/>
      <c r="HMG41" s="38"/>
      <c r="HMH41" s="42"/>
      <c r="HMI41" s="42"/>
      <c r="HMJ41" s="42"/>
      <c r="HMK41" s="38"/>
      <c r="HML41" s="38"/>
      <c r="HMM41" s="38"/>
      <c r="HMN41" s="39"/>
      <c r="HMO41" s="38"/>
      <c r="HMP41" s="38"/>
      <c r="HMQ41" s="38"/>
      <c r="HMR41" s="40"/>
      <c r="HMS41" s="41"/>
      <c r="HMT41" s="40"/>
      <c r="HMU41" s="38"/>
      <c r="HMV41" s="42"/>
      <c r="HMW41" s="42"/>
      <c r="HMX41" s="42"/>
      <c r="HMY41" s="38"/>
      <c r="HMZ41" s="38"/>
      <c r="HNA41" s="38"/>
      <c r="HNB41" s="39"/>
      <c r="HNC41" s="38"/>
      <c r="HND41" s="38"/>
      <c r="HNE41" s="38"/>
      <c r="HNF41" s="40"/>
      <c r="HNG41" s="41"/>
      <c r="HNH41" s="40"/>
      <c r="HNI41" s="38"/>
      <c r="HNJ41" s="42"/>
      <c r="HNK41" s="42"/>
      <c r="HNL41" s="42"/>
      <c r="HNM41" s="38"/>
      <c r="HNN41" s="38"/>
      <c r="HNO41" s="38"/>
      <c r="HNP41" s="39"/>
      <c r="HNQ41" s="38"/>
      <c r="HNR41" s="38"/>
      <c r="HNS41" s="38"/>
      <c r="HNT41" s="40"/>
      <c r="HNU41" s="41"/>
      <c r="HNV41" s="40"/>
      <c r="HNW41" s="38"/>
      <c r="HNX41" s="42"/>
      <c r="HNY41" s="42"/>
      <c r="HNZ41" s="42"/>
      <c r="HOA41" s="38"/>
      <c r="HOB41" s="38"/>
      <c r="HOC41" s="38"/>
      <c r="HOD41" s="39"/>
      <c r="HOE41" s="38"/>
      <c r="HOF41" s="38"/>
      <c r="HOG41" s="38"/>
      <c r="HOH41" s="40"/>
      <c r="HOI41" s="41"/>
      <c r="HOJ41" s="40"/>
      <c r="HOK41" s="38"/>
      <c r="HOL41" s="42"/>
      <c r="HOM41" s="42"/>
      <c r="HON41" s="42"/>
      <c r="HOO41" s="38"/>
      <c r="HOP41" s="38"/>
      <c r="HOQ41" s="38"/>
      <c r="HOR41" s="39"/>
      <c r="HOS41" s="38"/>
      <c r="HOT41" s="38"/>
      <c r="HOU41" s="38"/>
      <c r="HOV41" s="40"/>
      <c r="HOW41" s="41"/>
      <c r="HOX41" s="40"/>
      <c r="HOY41" s="38"/>
      <c r="HOZ41" s="42"/>
      <c r="HPA41" s="42"/>
      <c r="HPB41" s="42"/>
      <c r="HPC41" s="38"/>
      <c r="HPD41" s="38"/>
      <c r="HPE41" s="38"/>
      <c r="HPF41" s="39"/>
      <c r="HPG41" s="38"/>
      <c r="HPH41" s="38"/>
      <c r="HPI41" s="38"/>
      <c r="HPJ41" s="40"/>
      <c r="HPK41" s="41"/>
      <c r="HPL41" s="40"/>
      <c r="HPM41" s="38"/>
      <c r="HPN41" s="42"/>
      <c r="HPO41" s="42"/>
      <c r="HPP41" s="42"/>
      <c r="HPQ41" s="38"/>
      <c r="HPR41" s="38"/>
      <c r="HPS41" s="38"/>
      <c r="HPT41" s="39"/>
      <c r="HPU41" s="38"/>
      <c r="HPV41" s="38"/>
      <c r="HPW41" s="38"/>
      <c r="HPX41" s="40"/>
      <c r="HPY41" s="41"/>
      <c r="HPZ41" s="40"/>
      <c r="HQA41" s="38"/>
      <c r="HQB41" s="42"/>
      <c r="HQC41" s="42"/>
      <c r="HQD41" s="42"/>
      <c r="HQE41" s="38"/>
      <c r="HQF41" s="38"/>
      <c r="HQG41" s="38"/>
      <c r="HQH41" s="39"/>
      <c r="HQI41" s="38"/>
      <c r="HQJ41" s="38"/>
      <c r="HQK41" s="38"/>
      <c r="HQL41" s="40"/>
      <c r="HQM41" s="41"/>
      <c r="HQN41" s="40"/>
      <c r="HQO41" s="38"/>
      <c r="HQP41" s="42"/>
      <c r="HQQ41" s="42"/>
      <c r="HQR41" s="42"/>
      <c r="HQS41" s="38"/>
      <c r="HQT41" s="38"/>
      <c r="HQU41" s="38"/>
      <c r="HQV41" s="39"/>
      <c r="HQW41" s="38"/>
      <c r="HQX41" s="38"/>
      <c r="HQY41" s="38"/>
      <c r="HQZ41" s="40"/>
      <c r="HRA41" s="41"/>
      <c r="HRB41" s="40"/>
      <c r="HRC41" s="38"/>
      <c r="HRD41" s="42"/>
      <c r="HRE41" s="42"/>
      <c r="HRF41" s="42"/>
      <c r="HRG41" s="38"/>
      <c r="HRH41" s="38"/>
      <c r="HRI41" s="38"/>
      <c r="HRJ41" s="39"/>
      <c r="HRK41" s="38"/>
      <c r="HRL41" s="38"/>
      <c r="HRM41" s="38"/>
      <c r="HRN41" s="40"/>
      <c r="HRO41" s="41"/>
      <c r="HRP41" s="40"/>
      <c r="HRQ41" s="38"/>
      <c r="HRR41" s="42"/>
      <c r="HRS41" s="42"/>
      <c r="HRT41" s="42"/>
      <c r="HRU41" s="38"/>
      <c r="HRV41" s="38"/>
      <c r="HRW41" s="38"/>
      <c r="HRX41" s="39"/>
      <c r="HRY41" s="38"/>
      <c r="HRZ41" s="38"/>
      <c r="HSA41" s="38"/>
      <c r="HSB41" s="40"/>
      <c r="HSC41" s="41"/>
      <c r="HSD41" s="40"/>
      <c r="HSE41" s="38"/>
      <c r="HSF41" s="42"/>
      <c r="HSG41" s="42"/>
      <c r="HSH41" s="42"/>
      <c r="HSI41" s="38"/>
      <c r="HSJ41" s="38"/>
      <c r="HSK41" s="38"/>
      <c r="HSL41" s="39"/>
      <c r="HSM41" s="38"/>
      <c r="HSN41" s="38"/>
      <c r="HSO41" s="38"/>
      <c r="HSP41" s="40"/>
      <c r="HSQ41" s="41"/>
      <c r="HSR41" s="40"/>
      <c r="HSS41" s="38"/>
      <c r="HST41" s="42"/>
      <c r="HSU41" s="42"/>
      <c r="HSV41" s="42"/>
      <c r="HSW41" s="38"/>
      <c r="HSX41" s="38"/>
      <c r="HSY41" s="38"/>
      <c r="HSZ41" s="39"/>
      <c r="HTA41" s="38"/>
      <c r="HTB41" s="38"/>
      <c r="HTC41" s="38"/>
      <c r="HTD41" s="40"/>
      <c r="HTE41" s="41"/>
      <c r="HTF41" s="40"/>
      <c r="HTG41" s="38"/>
      <c r="HTH41" s="42"/>
      <c r="HTI41" s="42"/>
      <c r="HTJ41" s="42"/>
      <c r="HTK41" s="38"/>
      <c r="HTL41" s="38"/>
      <c r="HTM41" s="38"/>
      <c r="HTN41" s="39"/>
      <c r="HTO41" s="38"/>
      <c r="HTP41" s="38"/>
      <c r="HTQ41" s="38"/>
      <c r="HTR41" s="40"/>
      <c r="HTS41" s="41"/>
      <c r="HTT41" s="40"/>
      <c r="HTU41" s="38"/>
      <c r="HTV41" s="42"/>
      <c r="HTW41" s="42"/>
      <c r="HTX41" s="42"/>
      <c r="HTY41" s="38"/>
      <c r="HTZ41" s="38"/>
      <c r="HUA41" s="38"/>
      <c r="HUB41" s="39"/>
      <c r="HUC41" s="38"/>
      <c r="HUD41" s="38"/>
      <c r="HUE41" s="38"/>
      <c r="HUF41" s="40"/>
      <c r="HUG41" s="41"/>
      <c r="HUH41" s="40"/>
      <c r="HUI41" s="38"/>
      <c r="HUJ41" s="42"/>
      <c r="HUK41" s="42"/>
      <c r="HUL41" s="42"/>
      <c r="HUM41" s="38"/>
      <c r="HUN41" s="38"/>
      <c r="HUO41" s="38"/>
      <c r="HUP41" s="39"/>
      <c r="HUQ41" s="38"/>
      <c r="HUR41" s="38"/>
      <c r="HUS41" s="38"/>
      <c r="HUT41" s="40"/>
      <c r="HUU41" s="41"/>
      <c r="HUV41" s="40"/>
      <c r="HUW41" s="38"/>
      <c r="HUX41" s="42"/>
      <c r="HUY41" s="42"/>
      <c r="HUZ41" s="42"/>
      <c r="HVA41" s="38"/>
      <c r="HVB41" s="38"/>
      <c r="HVC41" s="38"/>
      <c r="HVD41" s="39"/>
      <c r="HVE41" s="38"/>
      <c r="HVF41" s="38"/>
      <c r="HVG41" s="38"/>
      <c r="HVH41" s="40"/>
      <c r="HVI41" s="41"/>
      <c r="HVJ41" s="40"/>
      <c r="HVK41" s="38"/>
      <c r="HVL41" s="42"/>
      <c r="HVM41" s="42"/>
      <c r="HVN41" s="42"/>
      <c r="HVO41" s="38"/>
      <c r="HVP41" s="38"/>
      <c r="HVQ41" s="38"/>
      <c r="HVR41" s="39"/>
      <c r="HVS41" s="38"/>
      <c r="HVT41" s="38"/>
      <c r="HVU41" s="38"/>
      <c r="HVV41" s="40"/>
      <c r="HVW41" s="41"/>
      <c r="HVX41" s="40"/>
      <c r="HVY41" s="38"/>
      <c r="HVZ41" s="42"/>
      <c r="HWA41" s="42"/>
      <c r="HWB41" s="42"/>
      <c r="HWC41" s="38"/>
      <c r="HWD41" s="38"/>
      <c r="HWE41" s="38"/>
      <c r="HWF41" s="39"/>
      <c r="HWG41" s="38"/>
      <c r="HWH41" s="38"/>
      <c r="HWI41" s="38"/>
      <c r="HWJ41" s="40"/>
      <c r="HWK41" s="41"/>
      <c r="HWL41" s="40"/>
      <c r="HWM41" s="38"/>
      <c r="HWN41" s="42"/>
      <c r="HWO41" s="42"/>
      <c r="HWP41" s="42"/>
      <c r="HWQ41" s="38"/>
      <c r="HWR41" s="38"/>
      <c r="HWS41" s="38"/>
      <c r="HWT41" s="39"/>
      <c r="HWU41" s="38"/>
      <c r="HWV41" s="38"/>
      <c r="HWW41" s="38"/>
      <c r="HWX41" s="40"/>
      <c r="HWY41" s="41"/>
      <c r="HWZ41" s="40"/>
      <c r="HXA41" s="38"/>
      <c r="HXB41" s="42"/>
      <c r="HXC41" s="42"/>
      <c r="HXD41" s="42"/>
      <c r="HXE41" s="38"/>
      <c r="HXF41" s="38"/>
      <c r="HXG41" s="38"/>
      <c r="HXH41" s="39"/>
      <c r="HXI41" s="38"/>
      <c r="HXJ41" s="38"/>
      <c r="HXK41" s="38"/>
      <c r="HXL41" s="40"/>
      <c r="HXM41" s="41"/>
      <c r="HXN41" s="40"/>
      <c r="HXO41" s="38"/>
      <c r="HXP41" s="42"/>
      <c r="HXQ41" s="42"/>
      <c r="HXR41" s="42"/>
      <c r="HXS41" s="38"/>
      <c r="HXT41" s="38"/>
      <c r="HXU41" s="38"/>
      <c r="HXV41" s="39"/>
      <c r="HXW41" s="38"/>
      <c r="HXX41" s="38"/>
      <c r="HXY41" s="38"/>
      <c r="HXZ41" s="40"/>
      <c r="HYA41" s="41"/>
      <c r="HYB41" s="40"/>
      <c r="HYC41" s="38"/>
      <c r="HYD41" s="42"/>
      <c r="HYE41" s="42"/>
      <c r="HYF41" s="42"/>
      <c r="HYG41" s="38"/>
      <c r="HYH41" s="38"/>
      <c r="HYI41" s="38"/>
      <c r="HYJ41" s="39"/>
      <c r="HYK41" s="38"/>
      <c r="HYL41" s="38"/>
      <c r="HYM41" s="38"/>
      <c r="HYN41" s="40"/>
      <c r="HYO41" s="41"/>
      <c r="HYP41" s="40"/>
      <c r="HYQ41" s="38"/>
      <c r="HYR41" s="42"/>
      <c r="HYS41" s="42"/>
      <c r="HYT41" s="42"/>
      <c r="HYU41" s="38"/>
      <c r="HYV41" s="38"/>
      <c r="HYW41" s="38"/>
      <c r="HYX41" s="39"/>
      <c r="HYY41" s="38"/>
      <c r="HYZ41" s="38"/>
      <c r="HZA41" s="38"/>
      <c r="HZB41" s="40"/>
      <c r="HZC41" s="41"/>
      <c r="HZD41" s="40"/>
      <c r="HZE41" s="38"/>
      <c r="HZF41" s="42"/>
      <c r="HZG41" s="42"/>
      <c r="HZH41" s="42"/>
      <c r="HZI41" s="38"/>
      <c r="HZJ41" s="38"/>
      <c r="HZK41" s="38"/>
      <c r="HZL41" s="39"/>
      <c r="HZM41" s="38"/>
      <c r="HZN41" s="38"/>
      <c r="HZO41" s="38"/>
      <c r="HZP41" s="40"/>
      <c r="HZQ41" s="41"/>
      <c r="HZR41" s="40"/>
      <c r="HZS41" s="38"/>
      <c r="HZT41" s="42"/>
      <c r="HZU41" s="42"/>
      <c r="HZV41" s="42"/>
      <c r="HZW41" s="38"/>
      <c r="HZX41" s="38"/>
      <c r="HZY41" s="38"/>
      <c r="HZZ41" s="39"/>
      <c r="IAA41" s="38"/>
      <c r="IAB41" s="38"/>
      <c r="IAC41" s="38"/>
      <c r="IAD41" s="40"/>
      <c r="IAE41" s="41"/>
      <c r="IAF41" s="40"/>
      <c r="IAG41" s="38"/>
      <c r="IAH41" s="42"/>
      <c r="IAI41" s="42"/>
      <c r="IAJ41" s="42"/>
      <c r="IAK41" s="38"/>
      <c r="IAL41" s="38"/>
      <c r="IAM41" s="38"/>
      <c r="IAN41" s="39"/>
      <c r="IAO41" s="38"/>
      <c r="IAP41" s="38"/>
      <c r="IAQ41" s="38"/>
      <c r="IAR41" s="40"/>
      <c r="IAS41" s="41"/>
      <c r="IAT41" s="40"/>
      <c r="IAU41" s="38"/>
      <c r="IAV41" s="42"/>
      <c r="IAW41" s="42"/>
      <c r="IAX41" s="42"/>
      <c r="IAY41" s="38"/>
      <c r="IAZ41" s="38"/>
      <c r="IBA41" s="38"/>
      <c r="IBB41" s="39"/>
      <c r="IBC41" s="38"/>
      <c r="IBD41" s="38"/>
      <c r="IBE41" s="38"/>
      <c r="IBF41" s="40"/>
      <c r="IBG41" s="41"/>
      <c r="IBH41" s="40"/>
      <c r="IBI41" s="38"/>
      <c r="IBJ41" s="42"/>
      <c r="IBK41" s="42"/>
      <c r="IBL41" s="42"/>
      <c r="IBM41" s="38"/>
      <c r="IBN41" s="38"/>
      <c r="IBO41" s="38"/>
      <c r="IBP41" s="39"/>
      <c r="IBQ41" s="38"/>
      <c r="IBR41" s="38"/>
      <c r="IBS41" s="38"/>
      <c r="IBT41" s="40"/>
      <c r="IBU41" s="41"/>
      <c r="IBV41" s="40"/>
      <c r="IBW41" s="38"/>
      <c r="IBX41" s="42"/>
      <c r="IBY41" s="42"/>
      <c r="IBZ41" s="42"/>
      <c r="ICA41" s="38"/>
      <c r="ICB41" s="38"/>
      <c r="ICC41" s="38"/>
      <c r="ICD41" s="39"/>
      <c r="ICE41" s="38"/>
      <c r="ICF41" s="38"/>
      <c r="ICG41" s="38"/>
      <c r="ICH41" s="40"/>
      <c r="ICI41" s="41"/>
      <c r="ICJ41" s="40"/>
      <c r="ICK41" s="38"/>
      <c r="ICL41" s="42"/>
      <c r="ICM41" s="42"/>
      <c r="ICN41" s="42"/>
      <c r="ICO41" s="38"/>
      <c r="ICP41" s="38"/>
      <c r="ICQ41" s="38"/>
      <c r="ICR41" s="39"/>
      <c r="ICS41" s="38"/>
      <c r="ICT41" s="38"/>
      <c r="ICU41" s="38"/>
      <c r="ICV41" s="40"/>
      <c r="ICW41" s="41"/>
      <c r="ICX41" s="40"/>
      <c r="ICY41" s="38"/>
      <c r="ICZ41" s="42"/>
      <c r="IDA41" s="42"/>
      <c r="IDB41" s="42"/>
      <c r="IDC41" s="38"/>
      <c r="IDD41" s="38"/>
      <c r="IDE41" s="38"/>
      <c r="IDF41" s="39"/>
      <c r="IDG41" s="38"/>
      <c r="IDH41" s="38"/>
      <c r="IDI41" s="38"/>
      <c r="IDJ41" s="40"/>
      <c r="IDK41" s="41"/>
      <c r="IDL41" s="40"/>
      <c r="IDM41" s="38"/>
      <c r="IDN41" s="42"/>
      <c r="IDO41" s="42"/>
      <c r="IDP41" s="42"/>
      <c r="IDQ41" s="38"/>
      <c r="IDR41" s="38"/>
      <c r="IDS41" s="38"/>
      <c r="IDT41" s="39"/>
      <c r="IDU41" s="38"/>
      <c r="IDV41" s="38"/>
      <c r="IDW41" s="38"/>
      <c r="IDX41" s="40"/>
      <c r="IDY41" s="41"/>
      <c r="IDZ41" s="40"/>
      <c r="IEA41" s="38"/>
      <c r="IEB41" s="42"/>
      <c r="IEC41" s="42"/>
      <c r="IED41" s="42"/>
      <c r="IEE41" s="38"/>
      <c r="IEF41" s="38"/>
      <c r="IEG41" s="38"/>
      <c r="IEH41" s="39"/>
      <c r="IEI41" s="38"/>
      <c r="IEJ41" s="38"/>
      <c r="IEK41" s="38"/>
      <c r="IEL41" s="40"/>
      <c r="IEM41" s="41"/>
      <c r="IEN41" s="40"/>
      <c r="IEO41" s="38"/>
      <c r="IEP41" s="42"/>
      <c r="IEQ41" s="42"/>
      <c r="IER41" s="42"/>
      <c r="IES41" s="38"/>
      <c r="IET41" s="38"/>
      <c r="IEU41" s="38"/>
      <c r="IEV41" s="39"/>
      <c r="IEW41" s="38"/>
      <c r="IEX41" s="38"/>
      <c r="IEY41" s="38"/>
      <c r="IEZ41" s="40"/>
      <c r="IFA41" s="41"/>
      <c r="IFB41" s="40"/>
      <c r="IFC41" s="38"/>
      <c r="IFD41" s="42"/>
      <c r="IFE41" s="42"/>
      <c r="IFF41" s="42"/>
      <c r="IFG41" s="38"/>
      <c r="IFH41" s="38"/>
      <c r="IFI41" s="38"/>
      <c r="IFJ41" s="39"/>
      <c r="IFK41" s="38"/>
      <c r="IFL41" s="38"/>
      <c r="IFM41" s="38"/>
      <c r="IFN41" s="40"/>
      <c r="IFO41" s="41"/>
      <c r="IFP41" s="40"/>
      <c r="IFQ41" s="38"/>
      <c r="IFR41" s="42"/>
      <c r="IFS41" s="42"/>
      <c r="IFT41" s="42"/>
      <c r="IFU41" s="38"/>
      <c r="IFV41" s="38"/>
      <c r="IFW41" s="38"/>
      <c r="IFX41" s="39"/>
      <c r="IFY41" s="38"/>
      <c r="IFZ41" s="38"/>
      <c r="IGA41" s="38"/>
      <c r="IGB41" s="40"/>
      <c r="IGC41" s="41"/>
      <c r="IGD41" s="40"/>
      <c r="IGE41" s="38"/>
      <c r="IGF41" s="42"/>
      <c r="IGG41" s="42"/>
      <c r="IGH41" s="42"/>
      <c r="IGI41" s="38"/>
      <c r="IGJ41" s="38"/>
      <c r="IGK41" s="38"/>
      <c r="IGL41" s="39"/>
      <c r="IGM41" s="38"/>
      <c r="IGN41" s="38"/>
      <c r="IGO41" s="38"/>
      <c r="IGP41" s="40"/>
      <c r="IGQ41" s="41"/>
      <c r="IGR41" s="40"/>
      <c r="IGS41" s="38"/>
      <c r="IGT41" s="42"/>
      <c r="IGU41" s="42"/>
      <c r="IGV41" s="42"/>
      <c r="IGW41" s="38"/>
      <c r="IGX41" s="38"/>
      <c r="IGY41" s="38"/>
      <c r="IGZ41" s="39"/>
      <c r="IHA41" s="38"/>
      <c r="IHB41" s="38"/>
      <c r="IHC41" s="38"/>
      <c r="IHD41" s="40"/>
      <c r="IHE41" s="41"/>
      <c r="IHF41" s="40"/>
      <c r="IHG41" s="38"/>
      <c r="IHH41" s="42"/>
      <c r="IHI41" s="42"/>
      <c r="IHJ41" s="42"/>
      <c r="IHK41" s="38"/>
      <c r="IHL41" s="38"/>
      <c r="IHM41" s="38"/>
      <c r="IHN41" s="39"/>
      <c r="IHO41" s="38"/>
      <c r="IHP41" s="38"/>
      <c r="IHQ41" s="38"/>
      <c r="IHR41" s="40"/>
      <c r="IHS41" s="41"/>
      <c r="IHT41" s="40"/>
      <c r="IHU41" s="38"/>
      <c r="IHV41" s="42"/>
      <c r="IHW41" s="42"/>
      <c r="IHX41" s="42"/>
      <c r="IHY41" s="38"/>
      <c r="IHZ41" s="38"/>
      <c r="IIA41" s="38"/>
      <c r="IIB41" s="39"/>
      <c r="IIC41" s="38"/>
      <c r="IID41" s="38"/>
      <c r="IIE41" s="38"/>
      <c r="IIF41" s="40"/>
      <c r="IIG41" s="41"/>
      <c r="IIH41" s="40"/>
      <c r="III41" s="38"/>
      <c r="IIJ41" s="42"/>
      <c r="IIK41" s="42"/>
      <c r="IIL41" s="42"/>
      <c r="IIM41" s="38"/>
      <c r="IIN41" s="38"/>
      <c r="IIO41" s="38"/>
      <c r="IIP41" s="39"/>
      <c r="IIQ41" s="38"/>
      <c r="IIR41" s="38"/>
      <c r="IIS41" s="38"/>
      <c r="IIT41" s="40"/>
      <c r="IIU41" s="41"/>
      <c r="IIV41" s="40"/>
      <c r="IIW41" s="38"/>
      <c r="IIX41" s="42"/>
      <c r="IIY41" s="42"/>
      <c r="IIZ41" s="42"/>
      <c r="IJA41" s="38"/>
      <c r="IJB41" s="38"/>
      <c r="IJC41" s="38"/>
      <c r="IJD41" s="39"/>
      <c r="IJE41" s="38"/>
      <c r="IJF41" s="38"/>
      <c r="IJG41" s="38"/>
      <c r="IJH41" s="40"/>
      <c r="IJI41" s="41"/>
      <c r="IJJ41" s="40"/>
      <c r="IJK41" s="38"/>
      <c r="IJL41" s="42"/>
      <c r="IJM41" s="42"/>
      <c r="IJN41" s="42"/>
      <c r="IJO41" s="38"/>
      <c r="IJP41" s="38"/>
      <c r="IJQ41" s="38"/>
      <c r="IJR41" s="39"/>
      <c r="IJS41" s="38"/>
      <c r="IJT41" s="38"/>
      <c r="IJU41" s="38"/>
      <c r="IJV41" s="40"/>
      <c r="IJW41" s="41"/>
      <c r="IJX41" s="40"/>
      <c r="IJY41" s="38"/>
      <c r="IJZ41" s="42"/>
      <c r="IKA41" s="42"/>
      <c r="IKB41" s="42"/>
      <c r="IKC41" s="38"/>
      <c r="IKD41" s="38"/>
      <c r="IKE41" s="38"/>
      <c r="IKF41" s="39"/>
      <c r="IKG41" s="38"/>
      <c r="IKH41" s="38"/>
      <c r="IKI41" s="38"/>
      <c r="IKJ41" s="40"/>
      <c r="IKK41" s="41"/>
      <c r="IKL41" s="40"/>
      <c r="IKM41" s="38"/>
      <c r="IKN41" s="42"/>
      <c r="IKO41" s="42"/>
      <c r="IKP41" s="42"/>
      <c r="IKQ41" s="38"/>
      <c r="IKR41" s="38"/>
      <c r="IKS41" s="38"/>
      <c r="IKT41" s="39"/>
      <c r="IKU41" s="38"/>
      <c r="IKV41" s="38"/>
      <c r="IKW41" s="38"/>
      <c r="IKX41" s="40"/>
      <c r="IKY41" s="41"/>
      <c r="IKZ41" s="40"/>
      <c r="ILA41" s="38"/>
      <c r="ILB41" s="42"/>
      <c r="ILC41" s="42"/>
      <c r="ILD41" s="42"/>
      <c r="ILE41" s="38"/>
      <c r="ILF41" s="38"/>
      <c r="ILG41" s="38"/>
      <c r="ILH41" s="39"/>
      <c r="ILI41" s="38"/>
      <c r="ILJ41" s="38"/>
      <c r="ILK41" s="38"/>
      <c r="ILL41" s="40"/>
      <c r="ILM41" s="41"/>
      <c r="ILN41" s="40"/>
      <c r="ILO41" s="38"/>
      <c r="ILP41" s="42"/>
      <c r="ILQ41" s="42"/>
      <c r="ILR41" s="42"/>
      <c r="ILS41" s="38"/>
      <c r="ILT41" s="38"/>
      <c r="ILU41" s="38"/>
      <c r="ILV41" s="39"/>
      <c r="ILW41" s="38"/>
      <c r="ILX41" s="38"/>
      <c r="ILY41" s="38"/>
      <c r="ILZ41" s="40"/>
      <c r="IMA41" s="41"/>
      <c r="IMB41" s="40"/>
      <c r="IMC41" s="38"/>
      <c r="IMD41" s="42"/>
      <c r="IME41" s="42"/>
      <c r="IMF41" s="42"/>
      <c r="IMG41" s="38"/>
      <c r="IMH41" s="38"/>
      <c r="IMI41" s="38"/>
      <c r="IMJ41" s="39"/>
      <c r="IMK41" s="38"/>
      <c r="IML41" s="38"/>
      <c r="IMM41" s="38"/>
      <c r="IMN41" s="40"/>
      <c r="IMO41" s="41"/>
      <c r="IMP41" s="40"/>
      <c r="IMQ41" s="38"/>
      <c r="IMR41" s="42"/>
      <c r="IMS41" s="42"/>
      <c r="IMT41" s="42"/>
      <c r="IMU41" s="38"/>
      <c r="IMV41" s="38"/>
      <c r="IMW41" s="38"/>
      <c r="IMX41" s="39"/>
      <c r="IMY41" s="38"/>
      <c r="IMZ41" s="38"/>
      <c r="INA41" s="38"/>
      <c r="INB41" s="40"/>
      <c r="INC41" s="41"/>
      <c r="IND41" s="40"/>
      <c r="INE41" s="38"/>
      <c r="INF41" s="42"/>
      <c r="ING41" s="42"/>
      <c r="INH41" s="42"/>
      <c r="INI41" s="38"/>
      <c r="INJ41" s="38"/>
      <c r="INK41" s="38"/>
      <c r="INL41" s="39"/>
      <c r="INM41" s="38"/>
      <c r="INN41" s="38"/>
      <c r="INO41" s="38"/>
      <c r="INP41" s="40"/>
      <c r="INQ41" s="41"/>
      <c r="INR41" s="40"/>
      <c r="INS41" s="38"/>
      <c r="INT41" s="42"/>
      <c r="INU41" s="42"/>
      <c r="INV41" s="42"/>
      <c r="INW41" s="38"/>
      <c r="INX41" s="38"/>
      <c r="INY41" s="38"/>
      <c r="INZ41" s="39"/>
      <c r="IOA41" s="38"/>
      <c r="IOB41" s="38"/>
      <c r="IOC41" s="38"/>
      <c r="IOD41" s="40"/>
      <c r="IOE41" s="41"/>
      <c r="IOF41" s="40"/>
      <c r="IOG41" s="38"/>
      <c r="IOH41" s="42"/>
      <c r="IOI41" s="42"/>
      <c r="IOJ41" s="42"/>
      <c r="IOK41" s="38"/>
      <c r="IOL41" s="38"/>
      <c r="IOM41" s="38"/>
      <c r="ION41" s="39"/>
      <c r="IOO41" s="38"/>
      <c r="IOP41" s="38"/>
      <c r="IOQ41" s="38"/>
      <c r="IOR41" s="40"/>
      <c r="IOS41" s="41"/>
      <c r="IOT41" s="40"/>
      <c r="IOU41" s="38"/>
      <c r="IOV41" s="42"/>
      <c r="IOW41" s="42"/>
      <c r="IOX41" s="42"/>
      <c r="IOY41" s="38"/>
      <c r="IOZ41" s="38"/>
      <c r="IPA41" s="38"/>
      <c r="IPB41" s="39"/>
      <c r="IPC41" s="38"/>
      <c r="IPD41" s="38"/>
      <c r="IPE41" s="38"/>
      <c r="IPF41" s="40"/>
      <c r="IPG41" s="41"/>
      <c r="IPH41" s="40"/>
      <c r="IPI41" s="38"/>
      <c r="IPJ41" s="42"/>
      <c r="IPK41" s="42"/>
      <c r="IPL41" s="42"/>
      <c r="IPM41" s="38"/>
      <c r="IPN41" s="38"/>
      <c r="IPO41" s="38"/>
      <c r="IPP41" s="39"/>
      <c r="IPQ41" s="38"/>
      <c r="IPR41" s="38"/>
      <c r="IPS41" s="38"/>
      <c r="IPT41" s="40"/>
      <c r="IPU41" s="41"/>
      <c r="IPV41" s="40"/>
      <c r="IPW41" s="38"/>
      <c r="IPX41" s="42"/>
      <c r="IPY41" s="42"/>
      <c r="IPZ41" s="42"/>
      <c r="IQA41" s="38"/>
      <c r="IQB41" s="38"/>
      <c r="IQC41" s="38"/>
      <c r="IQD41" s="39"/>
      <c r="IQE41" s="38"/>
      <c r="IQF41" s="38"/>
      <c r="IQG41" s="38"/>
      <c r="IQH41" s="40"/>
      <c r="IQI41" s="41"/>
      <c r="IQJ41" s="40"/>
      <c r="IQK41" s="38"/>
      <c r="IQL41" s="42"/>
      <c r="IQM41" s="42"/>
      <c r="IQN41" s="42"/>
      <c r="IQO41" s="38"/>
      <c r="IQP41" s="38"/>
      <c r="IQQ41" s="38"/>
      <c r="IQR41" s="39"/>
      <c r="IQS41" s="38"/>
      <c r="IQT41" s="38"/>
      <c r="IQU41" s="38"/>
      <c r="IQV41" s="40"/>
      <c r="IQW41" s="41"/>
      <c r="IQX41" s="40"/>
      <c r="IQY41" s="38"/>
      <c r="IQZ41" s="42"/>
      <c r="IRA41" s="42"/>
      <c r="IRB41" s="42"/>
      <c r="IRC41" s="38"/>
      <c r="IRD41" s="38"/>
      <c r="IRE41" s="38"/>
      <c r="IRF41" s="39"/>
      <c r="IRG41" s="38"/>
      <c r="IRH41" s="38"/>
      <c r="IRI41" s="38"/>
      <c r="IRJ41" s="40"/>
      <c r="IRK41" s="41"/>
      <c r="IRL41" s="40"/>
      <c r="IRM41" s="38"/>
      <c r="IRN41" s="42"/>
      <c r="IRO41" s="42"/>
      <c r="IRP41" s="42"/>
      <c r="IRQ41" s="38"/>
      <c r="IRR41" s="38"/>
      <c r="IRS41" s="38"/>
      <c r="IRT41" s="39"/>
      <c r="IRU41" s="38"/>
      <c r="IRV41" s="38"/>
      <c r="IRW41" s="38"/>
      <c r="IRX41" s="40"/>
      <c r="IRY41" s="41"/>
      <c r="IRZ41" s="40"/>
      <c r="ISA41" s="38"/>
      <c r="ISB41" s="42"/>
      <c r="ISC41" s="42"/>
      <c r="ISD41" s="42"/>
      <c r="ISE41" s="38"/>
      <c r="ISF41" s="38"/>
      <c r="ISG41" s="38"/>
      <c r="ISH41" s="39"/>
      <c r="ISI41" s="38"/>
      <c r="ISJ41" s="38"/>
      <c r="ISK41" s="38"/>
      <c r="ISL41" s="40"/>
      <c r="ISM41" s="41"/>
      <c r="ISN41" s="40"/>
      <c r="ISO41" s="38"/>
      <c r="ISP41" s="42"/>
      <c r="ISQ41" s="42"/>
      <c r="ISR41" s="42"/>
      <c r="ISS41" s="38"/>
      <c r="IST41" s="38"/>
      <c r="ISU41" s="38"/>
      <c r="ISV41" s="39"/>
      <c r="ISW41" s="38"/>
      <c r="ISX41" s="38"/>
      <c r="ISY41" s="38"/>
      <c r="ISZ41" s="40"/>
      <c r="ITA41" s="41"/>
      <c r="ITB41" s="40"/>
      <c r="ITC41" s="38"/>
      <c r="ITD41" s="42"/>
      <c r="ITE41" s="42"/>
      <c r="ITF41" s="42"/>
      <c r="ITG41" s="38"/>
      <c r="ITH41" s="38"/>
      <c r="ITI41" s="38"/>
      <c r="ITJ41" s="39"/>
      <c r="ITK41" s="38"/>
      <c r="ITL41" s="38"/>
      <c r="ITM41" s="38"/>
      <c r="ITN41" s="40"/>
      <c r="ITO41" s="41"/>
      <c r="ITP41" s="40"/>
      <c r="ITQ41" s="38"/>
      <c r="ITR41" s="42"/>
      <c r="ITS41" s="42"/>
      <c r="ITT41" s="42"/>
      <c r="ITU41" s="38"/>
      <c r="ITV41" s="38"/>
      <c r="ITW41" s="38"/>
      <c r="ITX41" s="39"/>
      <c r="ITY41" s="38"/>
      <c r="ITZ41" s="38"/>
      <c r="IUA41" s="38"/>
      <c r="IUB41" s="40"/>
      <c r="IUC41" s="41"/>
      <c r="IUD41" s="40"/>
      <c r="IUE41" s="38"/>
      <c r="IUF41" s="42"/>
      <c r="IUG41" s="42"/>
      <c r="IUH41" s="42"/>
      <c r="IUI41" s="38"/>
      <c r="IUJ41" s="38"/>
      <c r="IUK41" s="38"/>
      <c r="IUL41" s="39"/>
      <c r="IUM41" s="38"/>
      <c r="IUN41" s="38"/>
      <c r="IUO41" s="38"/>
      <c r="IUP41" s="40"/>
      <c r="IUQ41" s="41"/>
      <c r="IUR41" s="40"/>
      <c r="IUS41" s="38"/>
      <c r="IUT41" s="42"/>
      <c r="IUU41" s="42"/>
      <c r="IUV41" s="42"/>
      <c r="IUW41" s="38"/>
      <c r="IUX41" s="38"/>
      <c r="IUY41" s="38"/>
      <c r="IUZ41" s="39"/>
      <c r="IVA41" s="38"/>
      <c r="IVB41" s="38"/>
      <c r="IVC41" s="38"/>
      <c r="IVD41" s="40"/>
      <c r="IVE41" s="41"/>
      <c r="IVF41" s="40"/>
      <c r="IVG41" s="38"/>
      <c r="IVH41" s="42"/>
      <c r="IVI41" s="42"/>
      <c r="IVJ41" s="42"/>
      <c r="IVK41" s="38"/>
      <c r="IVL41" s="38"/>
      <c r="IVM41" s="38"/>
      <c r="IVN41" s="39"/>
      <c r="IVO41" s="38"/>
      <c r="IVP41" s="38"/>
      <c r="IVQ41" s="38"/>
      <c r="IVR41" s="40"/>
      <c r="IVS41" s="41"/>
      <c r="IVT41" s="40"/>
      <c r="IVU41" s="38"/>
      <c r="IVV41" s="42"/>
      <c r="IVW41" s="42"/>
      <c r="IVX41" s="42"/>
      <c r="IVY41" s="38"/>
      <c r="IVZ41" s="38"/>
      <c r="IWA41" s="38"/>
      <c r="IWB41" s="39"/>
      <c r="IWC41" s="38"/>
      <c r="IWD41" s="38"/>
      <c r="IWE41" s="38"/>
      <c r="IWF41" s="40"/>
      <c r="IWG41" s="41"/>
      <c r="IWH41" s="40"/>
      <c r="IWI41" s="38"/>
      <c r="IWJ41" s="42"/>
      <c r="IWK41" s="42"/>
      <c r="IWL41" s="42"/>
      <c r="IWM41" s="38"/>
      <c r="IWN41" s="38"/>
      <c r="IWO41" s="38"/>
      <c r="IWP41" s="39"/>
      <c r="IWQ41" s="38"/>
      <c r="IWR41" s="38"/>
      <c r="IWS41" s="38"/>
      <c r="IWT41" s="40"/>
      <c r="IWU41" s="41"/>
      <c r="IWV41" s="40"/>
      <c r="IWW41" s="38"/>
      <c r="IWX41" s="42"/>
      <c r="IWY41" s="42"/>
      <c r="IWZ41" s="42"/>
      <c r="IXA41" s="38"/>
      <c r="IXB41" s="38"/>
      <c r="IXC41" s="38"/>
      <c r="IXD41" s="39"/>
      <c r="IXE41" s="38"/>
      <c r="IXF41" s="38"/>
      <c r="IXG41" s="38"/>
      <c r="IXH41" s="40"/>
      <c r="IXI41" s="41"/>
      <c r="IXJ41" s="40"/>
      <c r="IXK41" s="38"/>
      <c r="IXL41" s="42"/>
      <c r="IXM41" s="42"/>
      <c r="IXN41" s="42"/>
      <c r="IXO41" s="38"/>
      <c r="IXP41" s="38"/>
      <c r="IXQ41" s="38"/>
      <c r="IXR41" s="39"/>
      <c r="IXS41" s="38"/>
      <c r="IXT41" s="38"/>
      <c r="IXU41" s="38"/>
      <c r="IXV41" s="40"/>
      <c r="IXW41" s="41"/>
      <c r="IXX41" s="40"/>
      <c r="IXY41" s="38"/>
      <c r="IXZ41" s="42"/>
      <c r="IYA41" s="42"/>
      <c r="IYB41" s="42"/>
      <c r="IYC41" s="38"/>
      <c r="IYD41" s="38"/>
      <c r="IYE41" s="38"/>
      <c r="IYF41" s="39"/>
      <c r="IYG41" s="38"/>
      <c r="IYH41" s="38"/>
      <c r="IYI41" s="38"/>
      <c r="IYJ41" s="40"/>
      <c r="IYK41" s="41"/>
      <c r="IYL41" s="40"/>
      <c r="IYM41" s="38"/>
      <c r="IYN41" s="42"/>
      <c r="IYO41" s="42"/>
      <c r="IYP41" s="42"/>
      <c r="IYQ41" s="38"/>
      <c r="IYR41" s="38"/>
      <c r="IYS41" s="38"/>
      <c r="IYT41" s="39"/>
      <c r="IYU41" s="38"/>
      <c r="IYV41" s="38"/>
      <c r="IYW41" s="38"/>
      <c r="IYX41" s="40"/>
      <c r="IYY41" s="41"/>
      <c r="IYZ41" s="40"/>
      <c r="IZA41" s="38"/>
      <c r="IZB41" s="42"/>
      <c r="IZC41" s="42"/>
      <c r="IZD41" s="42"/>
      <c r="IZE41" s="38"/>
      <c r="IZF41" s="38"/>
      <c r="IZG41" s="38"/>
      <c r="IZH41" s="39"/>
      <c r="IZI41" s="38"/>
      <c r="IZJ41" s="38"/>
      <c r="IZK41" s="38"/>
      <c r="IZL41" s="40"/>
      <c r="IZM41" s="41"/>
      <c r="IZN41" s="40"/>
      <c r="IZO41" s="38"/>
      <c r="IZP41" s="42"/>
      <c r="IZQ41" s="42"/>
      <c r="IZR41" s="42"/>
      <c r="IZS41" s="38"/>
      <c r="IZT41" s="38"/>
      <c r="IZU41" s="38"/>
      <c r="IZV41" s="39"/>
      <c r="IZW41" s="38"/>
      <c r="IZX41" s="38"/>
      <c r="IZY41" s="38"/>
      <c r="IZZ41" s="40"/>
      <c r="JAA41" s="41"/>
      <c r="JAB41" s="40"/>
      <c r="JAC41" s="38"/>
      <c r="JAD41" s="42"/>
      <c r="JAE41" s="42"/>
      <c r="JAF41" s="42"/>
      <c r="JAG41" s="38"/>
      <c r="JAH41" s="38"/>
      <c r="JAI41" s="38"/>
      <c r="JAJ41" s="39"/>
      <c r="JAK41" s="38"/>
      <c r="JAL41" s="38"/>
      <c r="JAM41" s="38"/>
      <c r="JAN41" s="40"/>
      <c r="JAO41" s="41"/>
      <c r="JAP41" s="40"/>
      <c r="JAQ41" s="38"/>
      <c r="JAR41" s="42"/>
      <c r="JAS41" s="42"/>
      <c r="JAT41" s="42"/>
      <c r="JAU41" s="38"/>
      <c r="JAV41" s="38"/>
      <c r="JAW41" s="38"/>
      <c r="JAX41" s="39"/>
      <c r="JAY41" s="38"/>
      <c r="JAZ41" s="38"/>
      <c r="JBA41" s="38"/>
      <c r="JBB41" s="40"/>
      <c r="JBC41" s="41"/>
      <c r="JBD41" s="40"/>
      <c r="JBE41" s="38"/>
      <c r="JBF41" s="42"/>
      <c r="JBG41" s="42"/>
      <c r="JBH41" s="42"/>
      <c r="JBI41" s="38"/>
      <c r="JBJ41" s="38"/>
      <c r="JBK41" s="38"/>
      <c r="JBL41" s="39"/>
      <c r="JBM41" s="38"/>
      <c r="JBN41" s="38"/>
      <c r="JBO41" s="38"/>
      <c r="JBP41" s="40"/>
      <c r="JBQ41" s="41"/>
      <c r="JBR41" s="40"/>
      <c r="JBS41" s="38"/>
      <c r="JBT41" s="42"/>
      <c r="JBU41" s="42"/>
      <c r="JBV41" s="42"/>
      <c r="JBW41" s="38"/>
      <c r="JBX41" s="38"/>
      <c r="JBY41" s="38"/>
      <c r="JBZ41" s="39"/>
      <c r="JCA41" s="38"/>
      <c r="JCB41" s="38"/>
      <c r="JCC41" s="38"/>
      <c r="JCD41" s="40"/>
      <c r="JCE41" s="41"/>
      <c r="JCF41" s="40"/>
      <c r="JCG41" s="38"/>
      <c r="JCH41" s="42"/>
      <c r="JCI41" s="42"/>
      <c r="JCJ41" s="42"/>
      <c r="JCK41" s="38"/>
      <c r="JCL41" s="38"/>
      <c r="JCM41" s="38"/>
      <c r="JCN41" s="39"/>
      <c r="JCO41" s="38"/>
      <c r="JCP41" s="38"/>
      <c r="JCQ41" s="38"/>
      <c r="JCR41" s="40"/>
      <c r="JCS41" s="41"/>
      <c r="JCT41" s="40"/>
      <c r="JCU41" s="38"/>
      <c r="JCV41" s="42"/>
      <c r="JCW41" s="42"/>
      <c r="JCX41" s="42"/>
      <c r="JCY41" s="38"/>
      <c r="JCZ41" s="38"/>
      <c r="JDA41" s="38"/>
      <c r="JDB41" s="39"/>
      <c r="JDC41" s="38"/>
      <c r="JDD41" s="38"/>
      <c r="JDE41" s="38"/>
      <c r="JDF41" s="40"/>
      <c r="JDG41" s="41"/>
      <c r="JDH41" s="40"/>
      <c r="JDI41" s="38"/>
      <c r="JDJ41" s="42"/>
      <c r="JDK41" s="42"/>
      <c r="JDL41" s="42"/>
      <c r="JDM41" s="38"/>
      <c r="JDN41" s="38"/>
      <c r="JDO41" s="38"/>
      <c r="JDP41" s="39"/>
      <c r="JDQ41" s="38"/>
      <c r="JDR41" s="38"/>
      <c r="JDS41" s="38"/>
      <c r="JDT41" s="40"/>
      <c r="JDU41" s="41"/>
      <c r="JDV41" s="40"/>
      <c r="JDW41" s="38"/>
      <c r="JDX41" s="42"/>
      <c r="JDY41" s="42"/>
      <c r="JDZ41" s="42"/>
      <c r="JEA41" s="38"/>
      <c r="JEB41" s="38"/>
      <c r="JEC41" s="38"/>
      <c r="JED41" s="39"/>
      <c r="JEE41" s="38"/>
      <c r="JEF41" s="38"/>
      <c r="JEG41" s="38"/>
      <c r="JEH41" s="40"/>
      <c r="JEI41" s="41"/>
      <c r="JEJ41" s="40"/>
      <c r="JEK41" s="38"/>
      <c r="JEL41" s="42"/>
      <c r="JEM41" s="42"/>
      <c r="JEN41" s="42"/>
      <c r="JEO41" s="38"/>
      <c r="JEP41" s="38"/>
      <c r="JEQ41" s="38"/>
      <c r="JER41" s="39"/>
      <c r="JES41" s="38"/>
      <c r="JET41" s="38"/>
      <c r="JEU41" s="38"/>
      <c r="JEV41" s="40"/>
      <c r="JEW41" s="41"/>
      <c r="JEX41" s="40"/>
      <c r="JEY41" s="38"/>
      <c r="JEZ41" s="42"/>
      <c r="JFA41" s="42"/>
      <c r="JFB41" s="42"/>
      <c r="JFC41" s="38"/>
      <c r="JFD41" s="38"/>
      <c r="JFE41" s="38"/>
      <c r="JFF41" s="39"/>
      <c r="JFG41" s="38"/>
      <c r="JFH41" s="38"/>
      <c r="JFI41" s="38"/>
      <c r="JFJ41" s="40"/>
      <c r="JFK41" s="41"/>
      <c r="JFL41" s="40"/>
      <c r="JFM41" s="38"/>
      <c r="JFN41" s="42"/>
      <c r="JFO41" s="42"/>
      <c r="JFP41" s="42"/>
      <c r="JFQ41" s="38"/>
      <c r="JFR41" s="38"/>
      <c r="JFS41" s="38"/>
      <c r="JFT41" s="39"/>
      <c r="JFU41" s="38"/>
      <c r="JFV41" s="38"/>
      <c r="JFW41" s="38"/>
      <c r="JFX41" s="40"/>
      <c r="JFY41" s="41"/>
      <c r="JFZ41" s="40"/>
      <c r="JGA41" s="38"/>
      <c r="JGB41" s="42"/>
      <c r="JGC41" s="42"/>
      <c r="JGD41" s="42"/>
      <c r="JGE41" s="38"/>
      <c r="JGF41" s="38"/>
      <c r="JGG41" s="38"/>
      <c r="JGH41" s="39"/>
      <c r="JGI41" s="38"/>
      <c r="JGJ41" s="38"/>
      <c r="JGK41" s="38"/>
      <c r="JGL41" s="40"/>
      <c r="JGM41" s="41"/>
      <c r="JGN41" s="40"/>
      <c r="JGO41" s="38"/>
      <c r="JGP41" s="42"/>
      <c r="JGQ41" s="42"/>
      <c r="JGR41" s="42"/>
      <c r="JGS41" s="38"/>
      <c r="JGT41" s="38"/>
      <c r="JGU41" s="38"/>
      <c r="JGV41" s="39"/>
      <c r="JGW41" s="38"/>
      <c r="JGX41" s="38"/>
      <c r="JGY41" s="38"/>
      <c r="JGZ41" s="40"/>
      <c r="JHA41" s="41"/>
      <c r="JHB41" s="40"/>
      <c r="JHC41" s="38"/>
      <c r="JHD41" s="42"/>
      <c r="JHE41" s="42"/>
      <c r="JHF41" s="42"/>
      <c r="JHG41" s="38"/>
      <c r="JHH41" s="38"/>
      <c r="JHI41" s="38"/>
      <c r="JHJ41" s="39"/>
      <c r="JHK41" s="38"/>
      <c r="JHL41" s="38"/>
      <c r="JHM41" s="38"/>
      <c r="JHN41" s="40"/>
      <c r="JHO41" s="41"/>
      <c r="JHP41" s="40"/>
      <c r="JHQ41" s="38"/>
      <c r="JHR41" s="42"/>
      <c r="JHS41" s="42"/>
      <c r="JHT41" s="42"/>
      <c r="JHU41" s="38"/>
      <c r="JHV41" s="38"/>
      <c r="JHW41" s="38"/>
      <c r="JHX41" s="39"/>
      <c r="JHY41" s="38"/>
      <c r="JHZ41" s="38"/>
      <c r="JIA41" s="38"/>
      <c r="JIB41" s="40"/>
      <c r="JIC41" s="41"/>
      <c r="JID41" s="40"/>
      <c r="JIE41" s="38"/>
      <c r="JIF41" s="42"/>
      <c r="JIG41" s="42"/>
      <c r="JIH41" s="42"/>
      <c r="JII41" s="38"/>
      <c r="JIJ41" s="38"/>
      <c r="JIK41" s="38"/>
      <c r="JIL41" s="39"/>
      <c r="JIM41" s="38"/>
      <c r="JIN41" s="38"/>
      <c r="JIO41" s="38"/>
      <c r="JIP41" s="40"/>
      <c r="JIQ41" s="41"/>
      <c r="JIR41" s="40"/>
      <c r="JIS41" s="38"/>
      <c r="JIT41" s="42"/>
      <c r="JIU41" s="42"/>
      <c r="JIV41" s="42"/>
      <c r="JIW41" s="38"/>
      <c r="JIX41" s="38"/>
      <c r="JIY41" s="38"/>
      <c r="JIZ41" s="39"/>
      <c r="JJA41" s="38"/>
      <c r="JJB41" s="38"/>
      <c r="JJC41" s="38"/>
      <c r="JJD41" s="40"/>
      <c r="JJE41" s="41"/>
      <c r="JJF41" s="40"/>
      <c r="JJG41" s="38"/>
      <c r="JJH41" s="42"/>
      <c r="JJI41" s="42"/>
      <c r="JJJ41" s="42"/>
      <c r="JJK41" s="38"/>
      <c r="JJL41" s="38"/>
      <c r="JJM41" s="38"/>
      <c r="JJN41" s="39"/>
      <c r="JJO41" s="38"/>
      <c r="JJP41" s="38"/>
      <c r="JJQ41" s="38"/>
      <c r="JJR41" s="40"/>
      <c r="JJS41" s="41"/>
      <c r="JJT41" s="40"/>
      <c r="JJU41" s="38"/>
      <c r="JJV41" s="42"/>
      <c r="JJW41" s="42"/>
      <c r="JJX41" s="42"/>
      <c r="JJY41" s="38"/>
      <c r="JJZ41" s="38"/>
      <c r="JKA41" s="38"/>
      <c r="JKB41" s="39"/>
      <c r="JKC41" s="38"/>
      <c r="JKD41" s="38"/>
      <c r="JKE41" s="38"/>
      <c r="JKF41" s="40"/>
      <c r="JKG41" s="41"/>
      <c r="JKH41" s="40"/>
      <c r="JKI41" s="38"/>
      <c r="JKJ41" s="42"/>
      <c r="JKK41" s="42"/>
      <c r="JKL41" s="42"/>
      <c r="JKM41" s="38"/>
      <c r="JKN41" s="38"/>
      <c r="JKO41" s="38"/>
      <c r="JKP41" s="39"/>
      <c r="JKQ41" s="38"/>
      <c r="JKR41" s="38"/>
      <c r="JKS41" s="38"/>
      <c r="JKT41" s="40"/>
      <c r="JKU41" s="41"/>
      <c r="JKV41" s="40"/>
      <c r="JKW41" s="38"/>
      <c r="JKX41" s="42"/>
      <c r="JKY41" s="42"/>
      <c r="JKZ41" s="42"/>
      <c r="JLA41" s="38"/>
      <c r="JLB41" s="38"/>
      <c r="JLC41" s="38"/>
      <c r="JLD41" s="39"/>
      <c r="JLE41" s="38"/>
      <c r="JLF41" s="38"/>
      <c r="JLG41" s="38"/>
      <c r="JLH41" s="40"/>
      <c r="JLI41" s="41"/>
      <c r="JLJ41" s="40"/>
      <c r="JLK41" s="38"/>
      <c r="JLL41" s="42"/>
      <c r="JLM41" s="42"/>
      <c r="JLN41" s="42"/>
      <c r="JLO41" s="38"/>
      <c r="JLP41" s="38"/>
      <c r="JLQ41" s="38"/>
      <c r="JLR41" s="39"/>
      <c r="JLS41" s="38"/>
      <c r="JLT41" s="38"/>
      <c r="JLU41" s="38"/>
      <c r="JLV41" s="40"/>
      <c r="JLW41" s="41"/>
      <c r="JLX41" s="40"/>
      <c r="JLY41" s="38"/>
      <c r="JLZ41" s="42"/>
      <c r="JMA41" s="42"/>
      <c r="JMB41" s="42"/>
      <c r="JMC41" s="38"/>
      <c r="JMD41" s="38"/>
      <c r="JME41" s="38"/>
      <c r="JMF41" s="39"/>
      <c r="JMG41" s="38"/>
      <c r="JMH41" s="38"/>
      <c r="JMI41" s="38"/>
      <c r="JMJ41" s="40"/>
      <c r="JMK41" s="41"/>
      <c r="JML41" s="40"/>
      <c r="JMM41" s="38"/>
      <c r="JMN41" s="42"/>
      <c r="JMO41" s="42"/>
      <c r="JMP41" s="42"/>
      <c r="JMQ41" s="38"/>
      <c r="JMR41" s="38"/>
      <c r="JMS41" s="38"/>
      <c r="JMT41" s="39"/>
      <c r="JMU41" s="38"/>
      <c r="JMV41" s="38"/>
      <c r="JMW41" s="38"/>
      <c r="JMX41" s="40"/>
      <c r="JMY41" s="41"/>
      <c r="JMZ41" s="40"/>
      <c r="JNA41" s="38"/>
      <c r="JNB41" s="42"/>
      <c r="JNC41" s="42"/>
      <c r="JND41" s="42"/>
      <c r="JNE41" s="38"/>
      <c r="JNF41" s="38"/>
      <c r="JNG41" s="38"/>
      <c r="JNH41" s="39"/>
      <c r="JNI41" s="38"/>
      <c r="JNJ41" s="38"/>
      <c r="JNK41" s="38"/>
      <c r="JNL41" s="40"/>
      <c r="JNM41" s="41"/>
      <c r="JNN41" s="40"/>
      <c r="JNO41" s="38"/>
      <c r="JNP41" s="42"/>
      <c r="JNQ41" s="42"/>
      <c r="JNR41" s="42"/>
      <c r="JNS41" s="38"/>
      <c r="JNT41" s="38"/>
      <c r="JNU41" s="38"/>
      <c r="JNV41" s="39"/>
      <c r="JNW41" s="38"/>
      <c r="JNX41" s="38"/>
      <c r="JNY41" s="38"/>
      <c r="JNZ41" s="40"/>
      <c r="JOA41" s="41"/>
      <c r="JOB41" s="40"/>
      <c r="JOC41" s="38"/>
      <c r="JOD41" s="42"/>
      <c r="JOE41" s="42"/>
      <c r="JOF41" s="42"/>
      <c r="JOG41" s="38"/>
      <c r="JOH41" s="38"/>
      <c r="JOI41" s="38"/>
      <c r="JOJ41" s="39"/>
      <c r="JOK41" s="38"/>
      <c r="JOL41" s="38"/>
      <c r="JOM41" s="38"/>
      <c r="JON41" s="40"/>
      <c r="JOO41" s="41"/>
      <c r="JOP41" s="40"/>
      <c r="JOQ41" s="38"/>
      <c r="JOR41" s="42"/>
      <c r="JOS41" s="42"/>
      <c r="JOT41" s="42"/>
      <c r="JOU41" s="38"/>
      <c r="JOV41" s="38"/>
      <c r="JOW41" s="38"/>
      <c r="JOX41" s="39"/>
      <c r="JOY41" s="38"/>
      <c r="JOZ41" s="38"/>
      <c r="JPA41" s="38"/>
      <c r="JPB41" s="40"/>
      <c r="JPC41" s="41"/>
      <c r="JPD41" s="40"/>
      <c r="JPE41" s="38"/>
      <c r="JPF41" s="42"/>
      <c r="JPG41" s="42"/>
      <c r="JPH41" s="42"/>
      <c r="JPI41" s="38"/>
      <c r="JPJ41" s="38"/>
      <c r="JPK41" s="38"/>
      <c r="JPL41" s="39"/>
      <c r="JPM41" s="38"/>
      <c r="JPN41" s="38"/>
      <c r="JPO41" s="38"/>
      <c r="JPP41" s="40"/>
      <c r="JPQ41" s="41"/>
      <c r="JPR41" s="40"/>
      <c r="JPS41" s="38"/>
      <c r="JPT41" s="42"/>
      <c r="JPU41" s="42"/>
      <c r="JPV41" s="42"/>
      <c r="JPW41" s="38"/>
      <c r="JPX41" s="38"/>
      <c r="JPY41" s="38"/>
      <c r="JPZ41" s="39"/>
      <c r="JQA41" s="38"/>
      <c r="JQB41" s="38"/>
      <c r="JQC41" s="38"/>
      <c r="JQD41" s="40"/>
      <c r="JQE41" s="41"/>
      <c r="JQF41" s="40"/>
      <c r="JQG41" s="38"/>
      <c r="JQH41" s="42"/>
      <c r="JQI41" s="42"/>
      <c r="JQJ41" s="42"/>
      <c r="JQK41" s="38"/>
      <c r="JQL41" s="38"/>
      <c r="JQM41" s="38"/>
      <c r="JQN41" s="39"/>
      <c r="JQO41" s="38"/>
      <c r="JQP41" s="38"/>
      <c r="JQQ41" s="38"/>
      <c r="JQR41" s="40"/>
      <c r="JQS41" s="41"/>
      <c r="JQT41" s="40"/>
      <c r="JQU41" s="38"/>
      <c r="JQV41" s="42"/>
      <c r="JQW41" s="42"/>
      <c r="JQX41" s="42"/>
      <c r="JQY41" s="38"/>
      <c r="JQZ41" s="38"/>
      <c r="JRA41" s="38"/>
      <c r="JRB41" s="39"/>
      <c r="JRC41" s="38"/>
      <c r="JRD41" s="38"/>
      <c r="JRE41" s="38"/>
      <c r="JRF41" s="40"/>
      <c r="JRG41" s="41"/>
      <c r="JRH41" s="40"/>
      <c r="JRI41" s="38"/>
      <c r="JRJ41" s="42"/>
      <c r="JRK41" s="42"/>
      <c r="JRL41" s="42"/>
      <c r="JRM41" s="38"/>
      <c r="JRN41" s="38"/>
      <c r="JRO41" s="38"/>
      <c r="JRP41" s="39"/>
      <c r="JRQ41" s="38"/>
      <c r="JRR41" s="38"/>
      <c r="JRS41" s="38"/>
      <c r="JRT41" s="40"/>
      <c r="JRU41" s="41"/>
      <c r="JRV41" s="40"/>
      <c r="JRW41" s="38"/>
      <c r="JRX41" s="42"/>
      <c r="JRY41" s="42"/>
      <c r="JRZ41" s="42"/>
      <c r="JSA41" s="38"/>
      <c r="JSB41" s="38"/>
      <c r="JSC41" s="38"/>
      <c r="JSD41" s="39"/>
      <c r="JSE41" s="38"/>
      <c r="JSF41" s="38"/>
      <c r="JSG41" s="38"/>
      <c r="JSH41" s="40"/>
      <c r="JSI41" s="41"/>
      <c r="JSJ41" s="40"/>
      <c r="JSK41" s="38"/>
      <c r="JSL41" s="42"/>
      <c r="JSM41" s="42"/>
      <c r="JSN41" s="42"/>
      <c r="JSO41" s="38"/>
      <c r="JSP41" s="38"/>
      <c r="JSQ41" s="38"/>
      <c r="JSR41" s="39"/>
      <c r="JSS41" s="38"/>
      <c r="JST41" s="38"/>
      <c r="JSU41" s="38"/>
      <c r="JSV41" s="40"/>
      <c r="JSW41" s="41"/>
      <c r="JSX41" s="40"/>
      <c r="JSY41" s="38"/>
      <c r="JSZ41" s="42"/>
      <c r="JTA41" s="42"/>
      <c r="JTB41" s="42"/>
      <c r="JTC41" s="38"/>
      <c r="JTD41" s="38"/>
      <c r="JTE41" s="38"/>
      <c r="JTF41" s="39"/>
      <c r="JTG41" s="38"/>
      <c r="JTH41" s="38"/>
      <c r="JTI41" s="38"/>
      <c r="JTJ41" s="40"/>
      <c r="JTK41" s="41"/>
      <c r="JTL41" s="40"/>
      <c r="JTM41" s="38"/>
      <c r="JTN41" s="42"/>
      <c r="JTO41" s="42"/>
      <c r="JTP41" s="42"/>
      <c r="JTQ41" s="38"/>
      <c r="JTR41" s="38"/>
      <c r="JTS41" s="38"/>
      <c r="JTT41" s="39"/>
      <c r="JTU41" s="38"/>
      <c r="JTV41" s="38"/>
      <c r="JTW41" s="38"/>
      <c r="JTX41" s="40"/>
      <c r="JTY41" s="41"/>
      <c r="JTZ41" s="40"/>
      <c r="JUA41" s="38"/>
      <c r="JUB41" s="42"/>
      <c r="JUC41" s="42"/>
      <c r="JUD41" s="42"/>
      <c r="JUE41" s="38"/>
      <c r="JUF41" s="38"/>
      <c r="JUG41" s="38"/>
      <c r="JUH41" s="39"/>
      <c r="JUI41" s="38"/>
      <c r="JUJ41" s="38"/>
      <c r="JUK41" s="38"/>
      <c r="JUL41" s="40"/>
      <c r="JUM41" s="41"/>
      <c r="JUN41" s="40"/>
      <c r="JUO41" s="38"/>
      <c r="JUP41" s="42"/>
      <c r="JUQ41" s="42"/>
      <c r="JUR41" s="42"/>
      <c r="JUS41" s="38"/>
      <c r="JUT41" s="38"/>
      <c r="JUU41" s="38"/>
      <c r="JUV41" s="39"/>
      <c r="JUW41" s="38"/>
      <c r="JUX41" s="38"/>
      <c r="JUY41" s="38"/>
      <c r="JUZ41" s="40"/>
      <c r="JVA41" s="41"/>
      <c r="JVB41" s="40"/>
      <c r="JVC41" s="38"/>
      <c r="JVD41" s="42"/>
      <c r="JVE41" s="42"/>
      <c r="JVF41" s="42"/>
      <c r="JVG41" s="38"/>
      <c r="JVH41" s="38"/>
      <c r="JVI41" s="38"/>
      <c r="JVJ41" s="39"/>
      <c r="JVK41" s="38"/>
      <c r="JVL41" s="38"/>
      <c r="JVM41" s="38"/>
      <c r="JVN41" s="40"/>
      <c r="JVO41" s="41"/>
      <c r="JVP41" s="40"/>
      <c r="JVQ41" s="38"/>
      <c r="JVR41" s="42"/>
      <c r="JVS41" s="42"/>
      <c r="JVT41" s="42"/>
      <c r="JVU41" s="38"/>
      <c r="JVV41" s="38"/>
      <c r="JVW41" s="38"/>
      <c r="JVX41" s="39"/>
      <c r="JVY41" s="38"/>
      <c r="JVZ41" s="38"/>
      <c r="JWA41" s="38"/>
      <c r="JWB41" s="40"/>
      <c r="JWC41" s="41"/>
      <c r="JWD41" s="40"/>
      <c r="JWE41" s="38"/>
      <c r="JWF41" s="42"/>
      <c r="JWG41" s="42"/>
      <c r="JWH41" s="42"/>
      <c r="JWI41" s="38"/>
      <c r="JWJ41" s="38"/>
      <c r="JWK41" s="38"/>
      <c r="JWL41" s="39"/>
      <c r="JWM41" s="38"/>
      <c r="JWN41" s="38"/>
      <c r="JWO41" s="38"/>
      <c r="JWP41" s="40"/>
      <c r="JWQ41" s="41"/>
      <c r="JWR41" s="40"/>
      <c r="JWS41" s="38"/>
      <c r="JWT41" s="42"/>
      <c r="JWU41" s="42"/>
      <c r="JWV41" s="42"/>
      <c r="JWW41" s="38"/>
      <c r="JWX41" s="38"/>
      <c r="JWY41" s="38"/>
      <c r="JWZ41" s="39"/>
      <c r="JXA41" s="38"/>
      <c r="JXB41" s="38"/>
      <c r="JXC41" s="38"/>
      <c r="JXD41" s="40"/>
      <c r="JXE41" s="41"/>
      <c r="JXF41" s="40"/>
      <c r="JXG41" s="38"/>
      <c r="JXH41" s="42"/>
      <c r="JXI41" s="42"/>
      <c r="JXJ41" s="42"/>
      <c r="JXK41" s="38"/>
      <c r="JXL41" s="38"/>
      <c r="JXM41" s="38"/>
      <c r="JXN41" s="39"/>
      <c r="JXO41" s="38"/>
      <c r="JXP41" s="38"/>
      <c r="JXQ41" s="38"/>
      <c r="JXR41" s="40"/>
      <c r="JXS41" s="41"/>
      <c r="JXT41" s="40"/>
      <c r="JXU41" s="38"/>
      <c r="JXV41" s="42"/>
      <c r="JXW41" s="42"/>
      <c r="JXX41" s="42"/>
      <c r="JXY41" s="38"/>
      <c r="JXZ41" s="38"/>
      <c r="JYA41" s="38"/>
      <c r="JYB41" s="39"/>
      <c r="JYC41" s="38"/>
      <c r="JYD41" s="38"/>
      <c r="JYE41" s="38"/>
      <c r="JYF41" s="40"/>
      <c r="JYG41" s="41"/>
      <c r="JYH41" s="40"/>
      <c r="JYI41" s="38"/>
      <c r="JYJ41" s="42"/>
      <c r="JYK41" s="42"/>
      <c r="JYL41" s="42"/>
      <c r="JYM41" s="38"/>
      <c r="JYN41" s="38"/>
      <c r="JYO41" s="38"/>
      <c r="JYP41" s="39"/>
      <c r="JYQ41" s="38"/>
      <c r="JYR41" s="38"/>
      <c r="JYS41" s="38"/>
      <c r="JYT41" s="40"/>
      <c r="JYU41" s="41"/>
      <c r="JYV41" s="40"/>
      <c r="JYW41" s="38"/>
      <c r="JYX41" s="42"/>
      <c r="JYY41" s="42"/>
      <c r="JYZ41" s="42"/>
      <c r="JZA41" s="38"/>
      <c r="JZB41" s="38"/>
      <c r="JZC41" s="38"/>
      <c r="JZD41" s="39"/>
      <c r="JZE41" s="38"/>
      <c r="JZF41" s="38"/>
      <c r="JZG41" s="38"/>
      <c r="JZH41" s="40"/>
      <c r="JZI41" s="41"/>
      <c r="JZJ41" s="40"/>
      <c r="JZK41" s="38"/>
      <c r="JZL41" s="42"/>
      <c r="JZM41" s="42"/>
      <c r="JZN41" s="42"/>
      <c r="JZO41" s="38"/>
      <c r="JZP41" s="38"/>
      <c r="JZQ41" s="38"/>
      <c r="JZR41" s="39"/>
      <c r="JZS41" s="38"/>
      <c r="JZT41" s="38"/>
      <c r="JZU41" s="38"/>
      <c r="JZV41" s="40"/>
      <c r="JZW41" s="41"/>
      <c r="JZX41" s="40"/>
      <c r="JZY41" s="38"/>
      <c r="JZZ41" s="42"/>
      <c r="KAA41" s="42"/>
      <c r="KAB41" s="42"/>
      <c r="KAC41" s="38"/>
      <c r="KAD41" s="38"/>
      <c r="KAE41" s="38"/>
      <c r="KAF41" s="39"/>
      <c r="KAG41" s="38"/>
      <c r="KAH41" s="38"/>
      <c r="KAI41" s="38"/>
      <c r="KAJ41" s="40"/>
      <c r="KAK41" s="41"/>
      <c r="KAL41" s="40"/>
      <c r="KAM41" s="38"/>
      <c r="KAN41" s="42"/>
      <c r="KAO41" s="42"/>
      <c r="KAP41" s="42"/>
      <c r="KAQ41" s="38"/>
      <c r="KAR41" s="38"/>
      <c r="KAS41" s="38"/>
      <c r="KAT41" s="39"/>
      <c r="KAU41" s="38"/>
      <c r="KAV41" s="38"/>
      <c r="KAW41" s="38"/>
      <c r="KAX41" s="40"/>
      <c r="KAY41" s="41"/>
      <c r="KAZ41" s="40"/>
      <c r="KBA41" s="38"/>
      <c r="KBB41" s="42"/>
      <c r="KBC41" s="42"/>
      <c r="KBD41" s="42"/>
      <c r="KBE41" s="38"/>
      <c r="KBF41" s="38"/>
      <c r="KBG41" s="38"/>
      <c r="KBH41" s="39"/>
      <c r="KBI41" s="38"/>
      <c r="KBJ41" s="38"/>
      <c r="KBK41" s="38"/>
      <c r="KBL41" s="40"/>
      <c r="KBM41" s="41"/>
      <c r="KBN41" s="40"/>
      <c r="KBO41" s="38"/>
      <c r="KBP41" s="42"/>
      <c r="KBQ41" s="42"/>
      <c r="KBR41" s="42"/>
      <c r="KBS41" s="38"/>
      <c r="KBT41" s="38"/>
      <c r="KBU41" s="38"/>
      <c r="KBV41" s="39"/>
      <c r="KBW41" s="38"/>
      <c r="KBX41" s="38"/>
      <c r="KBY41" s="38"/>
      <c r="KBZ41" s="40"/>
      <c r="KCA41" s="41"/>
      <c r="KCB41" s="40"/>
      <c r="KCC41" s="38"/>
      <c r="KCD41" s="42"/>
      <c r="KCE41" s="42"/>
      <c r="KCF41" s="42"/>
      <c r="KCG41" s="38"/>
      <c r="KCH41" s="38"/>
      <c r="KCI41" s="38"/>
      <c r="KCJ41" s="39"/>
      <c r="KCK41" s="38"/>
      <c r="KCL41" s="38"/>
      <c r="KCM41" s="38"/>
      <c r="KCN41" s="40"/>
      <c r="KCO41" s="41"/>
      <c r="KCP41" s="40"/>
      <c r="KCQ41" s="38"/>
      <c r="KCR41" s="42"/>
      <c r="KCS41" s="42"/>
      <c r="KCT41" s="42"/>
      <c r="KCU41" s="38"/>
      <c r="KCV41" s="38"/>
      <c r="KCW41" s="38"/>
      <c r="KCX41" s="39"/>
      <c r="KCY41" s="38"/>
      <c r="KCZ41" s="38"/>
      <c r="KDA41" s="38"/>
      <c r="KDB41" s="40"/>
      <c r="KDC41" s="41"/>
      <c r="KDD41" s="40"/>
      <c r="KDE41" s="38"/>
      <c r="KDF41" s="42"/>
      <c r="KDG41" s="42"/>
      <c r="KDH41" s="42"/>
      <c r="KDI41" s="38"/>
      <c r="KDJ41" s="38"/>
      <c r="KDK41" s="38"/>
      <c r="KDL41" s="39"/>
      <c r="KDM41" s="38"/>
      <c r="KDN41" s="38"/>
      <c r="KDO41" s="38"/>
      <c r="KDP41" s="40"/>
      <c r="KDQ41" s="41"/>
      <c r="KDR41" s="40"/>
      <c r="KDS41" s="38"/>
      <c r="KDT41" s="42"/>
      <c r="KDU41" s="42"/>
      <c r="KDV41" s="42"/>
      <c r="KDW41" s="38"/>
      <c r="KDX41" s="38"/>
      <c r="KDY41" s="38"/>
      <c r="KDZ41" s="39"/>
      <c r="KEA41" s="38"/>
      <c r="KEB41" s="38"/>
      <c r="KEC41" s="38"/>
      <c r="KED41" s="40"/>
      <c r="KEE41" s="41"/>
      <c r="KEF41" s="40"/>
      <c r="KEG41" s="38"/>
      <c r="KEH41" s="42"/>
      <c r="KEI41" s="42"/>
      <c r="KEJ41" s="42"/>
      <c r="KEK41" s="38"/>
      <c r="KEL41" s="38"/>
      <c r="KEM41" s="38"/>
      <c r="KEN41" s="39"/>
      <c r="KEO41" s="38"/>
      <c r="KEP41" s="38"/>
      <c r="KEQ41" s="38"/>
      <c r="KER41" s="40"/>
      <c r="KES41" s="41"/>
      <c r="KET41" s="40"/>
      <c r="KEU41" s="38"/>
      <c r="KEV41" s="42"/>
      <c r="KEW41" s="42"/>
      <c r="KEX41" s="42"/>
      <c r="KEY41" s="38"/>
      <c r="KEZ41" s="38"/>
      <c r="KFA41" s="38"/>
      <c r="KFB41" s="39"/>
      <c r="KFC41" s="38"/>
      <c r="KFD41" s="38"/>
      <c r="KFE41" s="38"/>
      <c r="KFF41" s="40"/>
      <c r="KFG41" s="41"/>
      <c r="KFH41" s="40"/>
      <c r="KFI41" s="38"/>
      <c r="KFJ41" s="42"/>
      <c r="KFK41" s="42"/>
      <c r="KFL41" s="42"/>
      <c r="KFM41" s="38"/>
      <c r="KFN41" s="38"/>
      <c r="KFO41" s="38"/>
      <c r="KFP41" s="39"/>
      <c r="KFQ41" s="38"/>
      <c r="KFR41" s="38"/>
      <c r="KFS41" s="38"/>
      <c r="KFT41" s="40"/>
      <c r="KFU41" s="41"/>
      <c r="KFV41" s="40"/>
      <c r="KFW41" s="38"/>
      <c r="KFX41" s="42"/>
      <c r="KFY41" s="42"/>
      <c r="KFZ41" s="42"/>
      <c r="KGA41" s="38"/>
      <c r="KGB41" s="38"/>
      <c r="KGC41" s="38"/>
      <c r="KGD41" s="39"/>
      <c r="KGE41" s="38"/>
      <c r="KGF41" s="38"/>
      <c r="KGG41" s="38"/>
      <c r="KGH41" s="40"/>
      <c r="KGI41" s="41"/>
      <c r="KGJ41" s="40"/>
      <c r="KGK41" s="38"/>
      <c r="KGL41" s="42"/>
      <c r="KGM41" s="42"/>
      <c r="KGN41" s="42"/>
      <c r="KGO41" s="38"/>
      <c r="KGP41" s="38"/>
      <c r="KGQ41" s="38"/>
      <c r="KGR41" s="39"/>
      <c r="KGS41" s="38"/>
      <c r="KGT41" s="38"/>
      <c r="KGU41" s="38"/>
      <c r="KGV41" s="40"/>
      <c r="KGW41" s="41"/>
      <c r="KGX41" s="40"/>
      <c r="KGY41" s="38"/>
      <c r="KGZ41" s="42"/>
      <c r="KHA41" s="42"/>
      <c r="KHB41" s="42"/>
      <c r="KHC41" s="38"/>
      <c r="KHD41" s="38"/>
      <c r="KHE41" s="38"/>
      <c r="KHF41" s="39"/>
      <c r="KHG41" s="38"/>
      <c r="KHH41" s="38"/>
      <c r="KHI41" s="38"/>
      <c r="KHJ41" s="40"/>
      <c r="KHK41" s="41"/>
      <c r="KHL41" s="40"/>
      <c r="KHM41" s="38"/>
      <c r="KHN41" s="42"/>
      <c r="KHO41" s="42"/>
      <c r="KHP41" s="42"/>
      <c r="KHQ41" s="38"/>
      <c r="KHR41" s="38"/>
      <c r="KHS41" s="38"/>
      <c r="KHT41" s="39"/>
      <c r="KHU41" s="38"/>
      <c r="KHV41" s="38"/>
      <c r="KHW41" s="38"/>
      <c r="KHX41" s="40"/>
      <c r="KHY41" s="41"/>
      <c r="KHZ41" s="40"/>
      <c r="KIA41" s="38"/>
      <c r="KIB41" s="42"/>
      <c r="KIC41" s="42"/>
      <c r="KID41" s="42"/>
      <c r="KIE41" s="38"/>
      <c r="KIF41" s="38"/>
      <c r="KIG41" s="38"/>
      <c r="KIH41" s="39"/>
      <c r="KII41" s="38"/>
      <c r="KIJ41" s="38"/>
      <c r="KIK41" s="38"/>
      <c r="KIL41" s="40"/>
      <c r="KIM41" s="41"/>
      <c r="KIN41" s="40"/>
      <c r="KIO41" s="38"/>
      <c r="KIP41" s="42"/>
      <c r="KIQ41" s="42"/>
      <c r="KIR41" s="42"/>
      <c r="KIS41" s="38"/>
      <c r="KIT41" s="38"/>
      <c r="KIU41" s="38"/>
      <c r="KIV41" s="39"/>
      <c r="KIW41" s="38"/>
      <c r="KIX41" s="38"/>
      <c r="KIY41" s="38"/>
      <c r="KIZ41" s="40"/>
      <c r="KJA41" s="41"/>
      <c r="KJB41" s="40"/>
      <c r="KJC41" s="38"/>
      <c r="KJD41" s="42"/>
      <c r="KJE41" s="42"/>
      <c r="KJF41" s="42"/>
      <c r="KJG41" s="38"/>
      <c r="KJH41" s="38"/>
      <c r="KJI41" s="38"/>
      <c r="KJJ41" s="39"/>
      <c r="KJK41" s="38"/>
      <c r="KJL41" s="38"/>
      <c r="KJM41" s="38"/>
      <c r="KJN41" s="40"/>
      <c r="KJO41" s="41"/>
      <c r="KJP41" s="40"/>
      <c r="KJQ41" s="38"/>
      <c r="KJR41" s="42"/>
      <c r="KJS41" s="42"/>
      <c r="KJT41" s="42"/>
      <c r="KJU41" s="38"/>
      <c r="KJV41" s="38"/>
      <c r="KJW41" s="38"/>
      <c r="KJX41" s="39"/>
      <c r="KJY41" s="38"/>
      <c r="KJZ41" s="38"/>
      <c r="KKA41" s="38"/>
      <c r="KKB41" s="40"/>
      <c r="KKC41" s="41"/>
      <c r="KKD41" s="40"/>
      <c r="KKE41" s="38"/>
      <c r="KKF41" s="42"/>
      <c r="KKG41" s="42"/>
      <c r="KKH41" s="42"/>
      <c r="KKI41" s="38"/>
      <c r="KKJ41" s="38"/>
      <c r="KKK41" s="38"/>
      <c r="KKL41" s="39"/>
      <c r="KKM41" s="38"/>
      <c r="KKN41" s="38"/>
      <c r="KKO41" s="38"/>
      <c r="KKP41" s="40"/>
      <c r="KKQ41" s="41"/>
      <c r="KKR41" s="40"/>
      <c r="KKS41" s="38"/>
      <c r="KKT41" s="42"/>
      <c r="KKU41" s="42"/>
      <c r="KKV41" s="42"/>
      <c r="KKW41" s="38"/>
      <c r="KKX41" s="38"/>
      <c r="KKY41" s="38"/>
      <c r="KKZ41" s="39"/>
      <c r="KLA41" s="38"/>
      <c r="KLB41" s="38"/>
      <c r="KLC41" s="38"/>
      <c r="KLD41" s="40"/>
      <c r="KLE41" s="41"/>
      <c r="KLF41" s="40"/>
      <c r="KLG41" s="38"/>
      <c r="KLH41" s="42"/>
      <c r="KLI41" s="42"/>
      <c r="KLJ41" s="42"/>
      <c r="KLK41" s="38"/>
      <c r="KLL41" s="38"/>
      <c r="KLM41" s="38"/>
      <c r="KLN41" s="39"/>
      <c r="KLO41" s="38"/>
      <c r="KLP41" s="38"/>
      <c r="KLQ41" s="38"/>
      <c r="KLR41" s="40"/>
      <c r="KLS41" s="41"/>
      <c r="KLT41" s="40"/>
      <c r="KLU41" s="38"/>
      <c r="KLV41" s="42"/>
      <c r="KLW41" s="42"/>
      <c r="KLX41" s="42"/>
      <c r="KLY41" s="38"/>
      <c r="KLZ41" s="38"/>
      <c r="KMA41" s="38"/>
      <c r="KMB41" s="39"/>
      <c r="KMC41" s="38"/>
      <c r="KMD41" s="38"/>
      <c r="KME41" s="38"/>
      <c r="KMF41" s="40"/>
      <c r="KMG41" s="41"/>
      <c r="KMH41" s="40"/>
      <c r="KMI41" s="38"/>
      <c r="KMJ41" s="42"/>
      <c r="KMK41" s="42"/>
      <c r="KML41" s="42"/>
      <c r="KMM41" s="38"/>
      <c r="KMN41" s="38"/>
      <c r="KMO41" s="38"/>
      <c r="KMP41" s="39"/>
      <c r="KMQ41" s="38"/>
      <c r="KMR41" s="38"/>
      <c r="KMS41" s="38"/>
      <c r="KMT41" s="40"/>
      <c r="KMU41" s="41"/>
      <c r="KMV41" s="40"/>
      <c r="KMW41" s="38"/>
      <c r="KMX41" s="42"/>
      <c r="KMY41" s="42"/>
      <c r="KMZ41" s="42"/>
      <c r="KNA41" s="38"/>
      <c r="KNB41" s="38"/>
      <c r="KNC41" s="38"/>
      <c r="KND41" s="39"/>
      <c r="KNE41" s="38"/>
      <c r="KNF41" s="38"/>
      <c r="KNG41" s="38"/>
      <c r="KNH41" s="40"/>
      <c r="KNI41" s="41"/>
      <c r="KNJ41" s="40"/>
      <c r="KNK41" s="38"/>
      <c r="KNL41" s="42"/>
      <c r="KNM41" s="42"/>
      <c r="KNN41" s="42"/>
      <c r="KNO41" s="38"/>
      <c r="KNP41" s="38"/>
      <c r="KNQ41" s="38"/>
      <c r="KNR41" s="39"/>
      <c r="KNS41" s="38"/>
      <c r="KNT41" s="38"/>
      <c r="KNU41" s="38"/>
      <c r="KNV41" s="40"/>
      <c r="KNW41" s="41"/>
      <c r="KNX41" s="40"/>
      <c r="KNY41" s="38"/>
      <c r="KNZ41" s="42"/>
      <c r="KOA41" s="42"/>
      <c r="KOB41" s="42"/>
      <c r="KOC41" s="38"/>
      <c r="KOD41" s="38"/>
      <c r="KOE41" s="38"/>
      <c r="KOF41" s="39"/>
      <c r="KOG41" s="38"/>
      <c r="KOH41" s="38"/>
      <c r="KOI41" s="38"/>
      <c r="KOJ41" s="40"/>
      <c r="KOK41" s="41"/>
      <c r="KOL41" s="40"/>
      <c r="KOM41" s="38"/>
      <c r="KON41" s="42"/>
      <c r="KOO41" s="42"/>
      <c r="KOP41" s="42"/>
      <c r="KOQ41" s="38"/>
      <c r="KOR41" s="38"/>
      <c r="KOS41" s="38"/>
      <c r="KOT41" s="39"/>
      <c r="KOU41" s="38"/>
      <c r="KOV41" s="38"/>
      <c r="KOW41" s="38"/>
      <c r="KOX41" s="40"/>
      <c r="KOY41" s="41"/>
      <c r="KOZ41" s="40"/>
      <c r="KPA41" s="38"/>
      <c r="KPB41" s="42"/>
      <c r="KPC41" s="42"/>
      <c r="KPD41" s="42"/>
      <c r="KPE41" s="38"/>
      <c r="KPF41" s="38"/>
      <c r="KPG41" s="38"/>
      <c r="KPH41" s="39"/>
      <c r="KPI41" s="38"/>
      <c r="KPJ41" s="38"/>
      <c r="KPK41" s="38"/>
      <c r="KPL41" s="40"/>
      <c r="KPM41" s="41"/>
      <c r="KPN41" s="40"/>
      <c r="KPO41" s="38"/>
      <c r="KPP41" s="42"/>
      <c r="KPQ41" s="42"/>
      <c r="KPR41" s="42"/>
      <c r="KPS41" s="38"/>
      <c r="KPT41" s="38"/>
      <c r="KPU41" s="38"/>
      <c r="KPV41" s="39"/>
      <c r="KPW41" s="38"/>
      <c r="KPX41" s="38"/>
      <c r="KPY41" s="38"/>
      <c r="KPZ41" s="40"/>
      <c r="KQA41" s="41"/>
      <c r="KQB41" s="40"/>
      <c r="KQC41" s="38"/>
      <c r="KQD41" s="42"/>
      <c r="KQE41" s="42"/>
      <c r="KQF41" s="42"/>
      <c r="KQG41" s="38"/>
      <c r="KQH41" s="38"/>
      <c r="KQI41" s="38"/>
      <c r="KQJ41" s="39"/>
      <c r="KQK41" s="38"/>
      <c r="KQL41" s="38"/>
      <c r="KQM41" s="38"/>
      <c r="KQN41" s="40"/>
      <c r="KQO41" s="41"/>
      <c r="KQP41" s="40"/>
      <c r="KQQ41" s="38"/>
      <c r="KQR41" s="42"/>
      <c r="KQS41" s="42"/>
      <c r="KQT41" s="42"/>
      <c r="KQU41" s="38"/>
      <c r="KQV41" s="38"/>
      <c r="KQW41" s="38"/>
      <c r="KQX41" s="39"/>
      <c r="KQY41" s="38"/>
      <c r="KQZ41" s="38"/>
      <c r="KRA41" s="38"/>
      <c r="KRB41" s="40"/>
      <c r="KRC41" s="41"/>
      <c r="KRD41" s="40"/>
      <c r="KRE41" s="38"/>
      <c r="KRF41" s="42"/>
      <c r="KRG41" s="42"/>
      <c r="KRH41" s="42"/>
      <c r="KRI41" s="38"/>
      <c r="KRJ41" s="38"/>
      <c r="KRK41" s="38"/>
      <c r="KRL41" s="39"/>
      <c r="KRM41" s="38"/>
      <c r="KRN41" s="38"/>
      <c r="KRO41" s="38"/>
      <c r="KRP41" s="40"/>
      <c r="KRQ41" s="41"/>
      <c r="KRR41" s="40"/>
      <c r="KRS41" s="38"/>
      <c r="KRT41" s="42"/>
      <c r="KRU41" s="42"/>
      <c r="KRV41" s="42"/>
      <c r="KRW41" s="38"/>
      <c r="KRX41" s="38"/>
      <c r="KRY41" s="38"/>
      <c r="KRZ41" s="39"/>
      <c r="KSA41" s="38"/>
      <c r="KSB41" s="38"/>
      <c r="KSC41" s="38"/>
      <c r="KSD41" s="40"/>
      <c r="KSE41" s="41"/>
      <c r="KSF41" s="40"/>
      <c r="KSG41" s="38"/>
      <c r="KSH41" s="42"/>
      <c r="KSI41" s="42"/>
      <c r="KSJ41" s="42"/>
      <c r="KSK41" s="38"/>
      <c r="KSL41" s="38"/>
      <c r="KSM41" s="38"/>
      <c r="KSN41" s="39"/>
      <c r="KSO41" s="38"/>
      <c r="KSP41" s="38"/>
      <c r="KSQ41" s="38"/>
      <c r="KSR41" s="40"/>
      <c r="KSS41" s="41"/>
      <c r="KST41" s="40"/>
      <c r="KSU41" s="38"/>
      <c r="KSV41" s="42"/>
      <c r="KSW41" s="42"/>
      <c r="KSX41" s="42"/>
      <c r="KSY41" s="38"/>
      <c r="KSZ41" s="38"/>
      <c r="KTA41" s="38"/>
      <c r="KTB41" s="39"/>
      <c r="KTC41" s="38"/>
      <c r="KTD41" s="38"/>
      <c r="KTE41" s="38"/>
      <c r="KTF41" s="40"/>
      <c r="KTG41" s="41"/>
      <c r="KTH41" s="40"/>
      <c r="KTI41" s="38"/>
      <c r="KTJ41" s="42"/>
      <c r="KTK41" s="42"/>
      <c r="KTL41" s="42"/>
      <c r="KTM41" s="38"/>
      <c r="KTN41" s="38"/>
      <c r="KTO41" s="38"/>
      <c r="KTP41" s="39"/>
      <c r="KTQ41" s="38"/>
      <c r="KTR41" s="38"/>
      <c r="KTS41" s="38"/>
      <c r="KTT41" s="40"/>
      <c r="KTU41" s="41"/>
      <c r="KTV41" s="40"/>
      <c r="KTW41" s="38"/>
      <c r="KTX41" s="42"/>
      <c r="KTY41" s="42"/>
      <c r="KTZ41" s="42"/>
      <c r="KUA41" s="38"/>
      <c r="KUB41" s="38"/>
      <c r="KUC41" s="38"/>
      <c r="KUD41" s="39"/>
      <c r="KUE41" s="38"/>
      <c r="KUF41" s="38"/>
      <c r="KUG41" s="38"/>
      <c r="KUH41" s="40"/>
      <c r="KUI41" s="41"/>
      <c r="KUJ41" s="40"/>
      <c r="KUK41" s="38"/>
      <c r="KUL41" s="42"/>
      <c r="KUM41" s="42"/>
      <c r="KUN41" s="42"/>
      <c r="KUO41" s="38"/>
      <c r="KUP41" s="38"/>
      <c r="KUQ41" s="38"/>
      <c r="KUR41" s="39"/>
      <c r="KUS41" s="38"/>
      <c r="KUT41" s="38"/>
      <c r="KUU41" s="38"/>
      <c r="KUV41" s="40"/>
      <c r="KUW41" s="41"/>
      <c r="KUX41" s="40"/>
      <c r="KUY41" s="38"/>
      <c r="KUZ41" s="42"/>
      <c r="KVA41" s="42"/>
      <c r="KVB41" s="42"/>
      <c r="KVC41" s="38"/>
      <c r="KVD41" s="38"/>
      <c r="KVE41" s="38"/>
      <c r="KVF41" s="39"/>
      <c r="KVG41" s="38"/>
      <c r="KVH41" s="38"/>
      <c r="KVI41" s="38"/>
      <c r="KVJ41" s="40"/>
      <c r="KVK41" s="41"/>
      <c r="KVL41" s="40"/>
      <c r="KVM41" s="38"/>
      <c r="KVN41" s="42"/>
      <c r="KVO41" s="42"/>
      <c r="KVP41" s="42"/>
      <c r="KVQ41" s="38"/>
      <c r="KVR41" s="38"/>
      <c r="KVS41" s="38"/>
      <c r="KVT41" s="39"/>
      <c r="KVU41" s="38"/>
      <c r="KVV41" s="38"/>
      <c r="KVW41" s="38"/>
      <c r="KVX41" s="40"/>
      <c r="KVY41" s="41"/>
      <c r="KVZ41" s="40"/>
      <c r="KWA41" s="38"/>
      <c r="KWB41" s="42"/>
      <c r="KWC41" s="42"/>
      <c r="KWD41" s="42"/>
      <c r="KWE41" s="38"/>
      <c r="KWF41" s="38"/>
      <c r="KWG41" s="38"/>
      <c r="KWH41" s="39"/>
      <c r="KWI41" s="38"/>
      <c r="KWJ41" s="38"/>
      <c r="KWK41" s="38"/>
      <c r="KWL41" s="40"/>
      <c r="KWM41" s="41"/>
      <c r="KWN41" s="40"/>
      <c r="KWO41" s="38"/>
      <c r="KWP41" s="42"/>
      <c r="KWQ41" s="42"/>
      <c r="KWR41" s="42"/>
      <c r="KWS41" s="38"/>
      <c r="KWT41" s="38"/>
      <c r="KWU41" s="38"/>
      <c r="KWV41" s="39"/>
      <c r="KWW41" s="38"/>
      <c r="KWX41" s="38"/>
      <c r="KWY41" s="38"/>
      <c r="KWZ41" s="40"/>
      <c r="KXA41" s="41"/>
      <c r="KXB41" s="40"/>
      <c r="KXC41" s="38"/>
      <c r="KXD41" s="42"/>
      <c r="KXE41" s="42"/>
      <c r="KXF41" s="42"/>
      <c r="KXG41" s="38"/>
      <c r="KXH41" s="38"/>
      <c r="KXI41" s="38"/>
      <c r="KXJ41" s="39"/>
      <c r="KXK41" s="38"/>
      <c r="KXL41" s="38"/>
      <c r="KXM41" s="38"/>
      <c r="KXN41" s="40"/>
      <c r="KXO41" s="41"/>
      <c r="KXP41" s="40"/>
      <c r="KXQ41" s="38"/>
      <c r="KXR41" s="42"/>
      <c r="KXS41" s="42"/>
      <c r="KXT41" s="42"/>
      <c r="KXU41" s="38"/>
      <c r="KXV41" s="38"/>
      <c r="KXW41" s="38"/>
      <c r="KXX41" s="39"/>
      <c r="KXY41" s="38"/>
      <c r="KXZ41" s="38"/>
      <c r="KYA41" s="38"/>
      <c r="KYB41" s="40"/>
      <c r="KYC41" s="41"/>
      <c r="KYD41" s="40"/>
      <c r="KYE41" s="38"/>
      <c r="KYF41" s="42"/>
      <c r="KYG41" s="42"/>
      <c r="KYH41" s="42"/>
      <c r="KYI41" s="38"/>
      <c r="KYJ41" s="38"/>
      <c r="KYK41" s="38"/>
      <c r="KYL41" s="39"/>
      <c r="KYM41" s="38"/>
      <c r="KYN41" s="38"/>
      <c r="KYO41" s="38"/>
      <c r="KYP41" s="40"/>
      <c r="KYQ41" s="41"/>
      <c r="KYR41" s="40"/>
      <c r="KYS41" s="38"/>
      <c r="KYT41" s="42"/>
      <c r="KYU41" s="42"/>
      <c r="KYV41" s="42"/>
      <c r="KYW41" s="38"/>
      <c r="KYX41" s="38"/>
      <c r="KYY41" s="38"/>
      <c r="KYZ41" s="39"/>
      <c r="KZA41" s="38"/>
      <c r="KZB41" s="38"/>
      <c r="KZC41" s="38"/>
      <c r="KZD41" s="40"/>
      <c r="KZE41" s="41"/>
      <c r="KZF41" s="40"/>
      <c r="KZG41" s="38"/>
      <c r="KZH41" s="42"/>
      <c r="KZI41" s="42"/>
      <c r="KZJ41" s="42"/>
      <c r="KZK41" s="38"/>
      <c r="KZL41" s="38"/>
      <c r="KZM41" s="38"/>
      <c r="KZN41" s="39"/>
      <c r="KZO41" s="38"/>
      <c r="KZP41" s="38"/>
      <c r="KZQ41" s="38"/>
      <c r="KZR41" s="40"/>
      <c r="KZS41" s="41"/>
      <c r="KZT41" s="40"/>
      <c r="KZU41" s="38"/>
      <c r="KZV41" s="42"/>
      <c r="KZW41" s="42"/>
      <c r="KZX41" s="42"/>
      <c r="KZY41" s="38"/>
      <c r="KZZ41" s="38"/>
      <c r="LAA41" s="38"/>
      <c r="LAB41" s="39"/>
      <c r="LAC41" s="38"/>
      <c r="LAD41" s="38"/>
      <c r="LAE41" s="38"/>
      <c r="LAF41" s="40"/>
      <c r="LAG41" s="41"/>
      <c r="LAH41" s="40"/>
      <c r="LAI41" s="38"/>
      <c r="LAJ41" s="42"/>
      <c r="LAK41" s="42"/>
      <c r="LAL41" s="42"/>
      <c r="LAM41" s="38"/>
      <c r="LAN41" s="38"/>
      <c r="LAO41" s="38"/>
      <c r="LAP41" s="39"/>
      <c r="LAQ41" s="38"/>
      <c r="LAR41" s="38"/>
      <c r="LAS41" s="38"/>
      <c r="LAT41" s="40"/>
      <c r="LAU41" s="41"/>
      <c r="LAV41" s="40"/>
      <c r="LAW41" s="38"/>
      <c r="LAX41" s="42"/>
      <c r="LAY41" s="42"/>
      <c r="LAZ41" s="42"/>
      <c r="LBA41" s="38"/>
      <c r="LBB41" s="38"/>
      <c r="LBC41" s="38"/>
      <c r="LBD41" s="39"/>
      <c r="LBE41" s="38"/>
      <c r="LBF41" s="38"/>
      <c r="LBG41" s="38"/>
      <c r="LBH41" s="40"/>
      <c r="LBI41" s="41"/>
      <c r="LBJ41" s="40"/>
      <c r="LBK41" s="38"/>
      <c r="LBL41" s="42"/>
      <c r="LBM41" s="42"/>
      <c r="LBN41" s="42"/>
      <c r="LBO41" s="38"/>
      <c r="LBP41" s="38"/>
      <c r="LBQ41" s="38"/>
      <c r="LBR41" s="39"/>
      <c r="LBS41" s="38"/>
      <c r="LBT41" s="38"/>
      <c r="LBU41" s="38"/>
      <c r="LBV41" s="40"/>
      <c r="LBW41" s="41"/>
      <c r="LBX41" s="40"/>
      <c r="LBY41" s="38"/>
      <c r="LBZ41" s="42"/>
      <c r="LCA41" s="42"/>
      <c r="LCB41" s="42"/>
      <c r="LCC41" s="38"/>
      <c r="LCD41" s="38"/>
      <c r="LCE41" s="38"/>
      <c r="LCF41" s="39"/>
      <c r="LCG41" s="38"/>
      <c r="LCH41" s="38"/>
      <c r="LCI41" s="38"/>
      <c r="LCJ41" s="40"/>
      <c r="LCK41" s="41"/>
      <c r="LCL41" s="40"/>
      <c r="LCM41" s="38"/>
      <c r="LCN41" s="42"/>
      <c r="LCO41" s="42"/>
      <c r="LCP41" s="42"/>
      <c r="LCQ41" s="38"/>
      <c r="LCR41" s="38"/>
      <c r="LCS41" s="38"/>
      <c r="LCT41" s="39"/>
      <c r="LCU41" s="38"/>
      <c r="LCV41" s="38"/>
      <c r="LCW41" s="38"/>
      <c r="LCX41" s="40"/>
      <c r="LCY41" s="41"/>
      <c r="LCZ41" s="40"/>
      <c r="LDA41" s="38"/>
      <c r="LDB41" s="42"/>
      <c r="LDC41" s="42"/>
      <c r="LDD41" s="42"/>
      <c r="LDE41" s="38"/>
      <c r="LDF41" s="38"/>
      <c r="LDG41" s="38"/>
      <c r="LDH41" s="39"/>
      <c r="LDI41" s="38"/>
      <c r="LDJ41" s="38"/>
      <c r="LDK41" s="38"/>
      <c r="LDL41" s="40"/>
      <c r="LDM41" s="41"/>
      <c r="LDN41" s="40"/>
      <c r="LDO41" s="38"/>
      <c r="LDP41" s="42"/>
      <c r="LDQ41" s="42"/>
      <c r="LDR41" s="42"/>
      <c r="LDS41" s="38"/>
      <c r="LDT41" s="38"/>
      <c r="LDU41" s="38"/>
      <c r="LDV41" s="39"/>
      <c r="LDW41" s="38"/>
      <c r="LDX41" s="38"/>
      <c r="LDY41" s="38"/>
      <c r="LDZ41" s="40"/>
      <c r="LEA41" s="41"/>
      <c r="LEB41" s="40"/>
      <c r="LEC41" s="38"/>
      <c r="LED41" s="42"/>
      <c r="LEE41" s="42"/>
      <c r="LEF41" s="42"/>
      <c r="LEG41" s="38"/>
      <c r="LEH41" s="38"/>
      <c r="LEI41" s="38"/>
      <c r="LEJ41" s="39"/>
      <c r="LEK41" s="38"/>
      <c r="LEL41" s="38"/>
      <c r="LEM41" s="38"/>
      <c r="LEN41" s="40"/>
      <c r="LEO41" s="41"/>
      <c r="LEP41" s="40"/>
      <c r="LEQ41" s="38"/>
      <c r="LER41" s="42"/>
      <c r="LES41" s="42"/>
      <c r="LET41" s="42"/>
      <c r="LEU41" s="38"/>
      <c r="LEV41" s="38"/>
      <c r="LEW41" s="38"/>
      <c r="LEX41" s="39"/>
      <c r="LEY41" s="38"/>
      <c r="LEZ41" s="38"/>
      <c r="LFA41" s="38"/>
      <c r="LFB41" s="40"/>
      <c r="LFC41" s="41"/>
      <c r="LFD41" s="40"/>
      <c r="LFE41" s="38"/>
      <c r="LFF41" s="42"/>
      <c r="LFG41" s="42"/>
      <c r="LFH41" s="42"/>
      <c r="LFI41" s="38"/>
      <c r="LFJ41" s="38"/>
      <c r="LFK41" s="38"/>
      <c r="LFL41" s="39"/>
      <c r="LFM41" s="38"/>
      <c r="LFN41" s="38"/>
      <c r="LFO41" s="38"/>
      <c r="LFP41" s="40"/>
      <c r="LFQ41" s="41"/>
      <c r="LFR41" s="40"/>
      <c r="LFS41" s="38"/>
      <c r="LFT41" s="42"/>
      <c r="LFU41" s="42"/>
      <c r="LFV41" s="42"/>
      <c r="LFW41" s="38"/>
      <c r="LFX41" s="38"/>
      <c r="LFY41" s="38"/>
      <c r="LFZ41" s="39"/>
      <c r="LGA41" s="38"/>
      <c r="LGB41" s="38"/>
      <c r="LGC41" s="38"/>
      <c r="LGD41" s="40"/>
      <c r="LGE41" s="41"/>
      <c r="LGF41" s="40"/>
      <c r="LGG41" s="38"/>
      <c r="LGH41" s="42"/>
      <c r="LGI41" s="42"/>
      <c r="LGJ41" s="42"/>
      <c r="LGK41" s="38"/>
      <c r="LGL41" s="38"/>
      <c r="LGM41" s="38"/>
      <c r="LGN41" s="39"/>
      <c r="LGO41" s="38"/>
      <c r="LGP41" s="38"/>
      <c r="LGQ41" s="38"/>
      <c r="LGR41" s="40"/>
      <c r="LGS41" s="41"/>
      <c r="LGT41" s="40"/>
      <c r="LGU41" s="38"/>
      <c r="LGV41" s="42"/>
      <c r="LGW41" s="42"/>
      <c r="LGX41" s="42"/>
      <c r="LGY41" s="38"/>
      <c r="LGZ41" s="38"/>
      <c r="LHA41" s="38"/>
      <c r="LHB41" s="39"/>
      <c r="LHC41" s="38"/>
      <c r="LHD41" s="38"/>
      <c r="LHE41" s="38"/>
      <c r="LHF41" s="40"/>
      <c r="LHG41" s="41"/>
      <c r="LHH41" s="40"/>
      <c r="LHI41" s="38"/>
      <c r="LHJ41" s="42"/>
      <c r="LHK41" s="42"/>
      <c r="LHL41" s="42"/>
      <c r="LHM41" s="38"/>
      <c r="LHN41" s="38"/>
      <c r="LHO41" s="38"/>
      <c r="LHP41" s="39"/>
      <c r="LHQ41" s="38"/>
      <c r="LHR41" s="38"/>
      <c r="LHS41" s="38"/>
      <c r="LHT41" s="40"/>
      <c r="LHU41" s="41"/>
      <c r="LHV41" s="40"/>
      <c r="LHW41" s="38"/>
      <c r="LHX41" s="42"/>
      <c r="LHY41" s="42"/>
      <c r="LHZ41" s="42"/>
      <c r="LIA41" s="38"/>
      <c r="LIB41" s="38"/>
      <c r="LIC41" s="38"/>
      <c r="LID41" s="39"/>
      <c r="LIE41" s="38"/>
      <c r="LIF41" s="38"/>
      <c r="LIG41" s="38"/>
      <c r="LIH41" s="40"/>
      <c r="LII41" s="41"/>
      <c r="LIJ41" s="40"/>
      <c r="LIK41" s="38"/>
      <c r="LIL41" s="42"/>
      <c r="LIM41" s="42"/>
      <c r="LIN41" s="42"/>
      <c r="LIO41" s="38"/>
      <c r="LIP41" s="38"/>
      <c r="LIQ41" s="38"/>
      <c r="LIR41" s="39"/>
      <c r="LIS41" s="38"/>
      <c r="LIT41" s="38"/>
      <c r="LIU41" s="38"/>
      <c r="LIV41" s="40"/>
      <c r="LIW41" s="41"/>
      <c r="LIX41" s="40"/>
      <c r="LIY41" s="38"/>
      <c r="LIZ41" s="42"/>
      <c r="LJA41" s="42"/>
      <c r="LJB41" s="42"/>
      <c r="LJC41" s="38"/>
      <c r="LJD41" s="38"/>
      <c r="LJE41" s="38"/>
      <c r="LJF41" s="39"/>
      <c r="LJG41" s="38"/>
      <c r="LJH41" s="38"/>
      <c r="LJI41" s="38"/>
      <c r="LJJ41" s="40"/>
      <c r="LJK41" s="41"/>
      <c r="LJL41" s="40"/>
      <c r="LJM41" s="38"/>
      <c r="LJN41" s="42"/>
      <c r="LJO41" s="42"/>
      <c r="LJP41" s="42"/>
      <c r="LJQ41" s="38"/>
      <c r="LJR41" s="38"/>
      <c r="LJS41" s="38"/>
      <c r="LJT41" s="39"/>
      <c r="LJU41" s="38"/>
      <c r="LJV41" s="38"/>
      <c r="LJW41" s="38"/>
      <c r="LJX41" s="40"/>
      <c r="LJY41" s="41"/>
      <c r="LJZ41" s="40"/>
      <c r="LKA41" s="38"/>
      <c r="LKB41" s="42"/>
      <c r="LKC41" s="42"/>
      <c r="LKD41" s="42"/>
      <c r="LKE41" s="38"/>
      <c r="LKF41" s="38"/>
      <c r="LKG41" s="38"/>
      <c r="LKH41" s="39"/>
      <c r="LKI41" s="38"/>
      <c r="LKJ41" s="38"/>
      <c r="LKK41" s="38"/>
      <c r="LKL41" s="40"/>
      <c r="LKM41" s="41"/>
      <c r="LKN41" s="40"/>
      <c r="LKO41" s="38"/>
      <c r="LKP41" s="42"/>
      <c r="LKQ41" s="42"/>
      <c r="LKR41" s="42"/>
      <c r="LKS41" s="38"/>
      <c r="LKT41" s="38"/>
      <c r="LKU41" s="38"/>
      <c r="LKV41" s="39"/>
      <c r="LKW41" s="38"/>
      <c r="LKX41" s="38"/>
      <c r="LKY41" s="38"/>
      <c r="LKZ41" s="40"/>
      <c r="LLA41" s="41"/>
      <c r="LLB41" s="40"/>
      <c r="LLC41" s="38"/>
      <c r="LLD41" s="42"/>
      <c r="LLE41" s="42"/>
      <c r="LLF41" s="42"/>
      <c r="LLG41" s="38"/>
      <c r="LLH41" s="38"/>
      <c r="LLI41" s="38"/>
      <c r="LLJ41" s="39"/>
      <c r="LLK41" s="38"/>
      <c r="LLL41" s="38"/>
      <c r="LLM41" s="38"/>
      <c r="LLN41" s="40"/>
      <c r="LLO41" s="41"/>
      <c r="LLP41" s="40"/>
      <c r="LLQ41" s="38"/>
      <c r="LLR41" s="42"/>
      <c r="LLS41" s="42"/>
      <c r="LLT41" s="42"/>
      <c r="LLU41" s="38"/>
      <c r="LLV41" s="38"/>
      <c r="LLW41" s="38"/>
      <c r="LLX41" s="39"/>
      <c r="LLY41" s="38"/>
      <c r="LLZ41" s="38"/>
      <c r="LMA41" s="38"/>
      <c r="LMB41" s="40"/>
      <c r="LMC41" s="41"/>
      <c r="LMD41" s="40"/>
      <c r="LME41" s="38"/>
      <c r="LMF41" s="42"/>
      <c r="LMG41" s="42"/>
      <c r="LMH41" s="42"/>
      <c r="LMI41" s="38"/>
      <c r="LMJ41" s="38"/>
      <c r="LMK41" s="38"/>
      <c r="LML41" s="39"/>
      <c r="LMM41" s="38"/>
      <c r="LMN41" s="38"/>
      <c r="LMO41" s="38"/>
      <c r="LMP41" s="40"/>
      <c r="LMQ41" s="41"/>
      <c r="LMR41" s="40"/>
      <c r="LMS41" s="38"/>
      <c r="LMT41" s="42"/>
      <c r="LMU41" s="42"/>
      <c r="LMV41" s="42"/>
      <c r="LMW41" s="38"/>
      <c r="LMX41" s="38"/>
      <c r="LMY41" s="38"/>
      <c r="LMZ41" s="39"/>
      <c r="LNA41" s="38"/>
      <c r="LNB41" s="38"/>
      <c r="LNC41" s="38"/>
      <c r="LND41" s="40"/>
      <c r="LNE41" s="41"/>
      <c r="LNF41" s="40"/>
      <c r="LNG41" s="38"/>
      <c r="LNH41" s="42"/>
      <c r="LNI41" s="42"/>
      <c r="LNJ41" s="42"/>
      <c r="LNK41" s="38"/>
      <c r="LNL41" s="38"/>
      <c r="LNM41" s="38"/>
      <c r="LNN41" s="39"/>
      <c r="LNO41" s="38"/>
      <c r="LNP41" s="38"/>
      <c r="LNQ41" s="38"/>
      <c r="LNR41" s="40"/>
      <c r="LNS41" s="41"/>
      <c r="LNT41" s="40"/>
      <c r="LNU41" s="38"/>
      <c r="LNV41" s="42"/>
      <c r="LNW41" s="42"/>
      <c r="LNX41" s="42"/>
      <c r="LNY41" s="38"/>
      <c r="LNZ41" s="38"/>
      <c r="LOA41" s="38"/>
      <c r="LOB41" s="39"/>
      <c r="LOC41" s="38"/>
      <c r="LOD41" s="38"/>
      <c r="LOE41" s="38"/>
      <c r="LOF41" s="40"/>
      <c r="LOG41" s="41"/>
      <c r="LOH41" s="40"/>
      <c r="LOI41" s="38"/>
      <c r="LOJ41" s="42"/>
      <c r="LOK41" s="42"/>
      <c r="LOL41" s="42"/>
      <c r="LOM41" s="38"/>
      <c r="LON41" s="38"/>
      <c r="LOO41" s="38"/>
      <c r="LOP41" s="39"/>
      <c r="LOQ41" s="38"/>
      <c r="LOR41" s="38"/>
      <c r="LOS41" s="38"/>
      <c r="LOT41" s="40"/>
      <c r="LOU41" s="41"/>
      <c r="LOV41" s="40"/>
      <c r="LOW41" s="38"/>
      <c r="LOX41" s="42"/>
      <c r="LOY41" s="42"/>
      <c r="LOZ41" s="42"/>
      <c r="LPA41" s="38"/>
      <c r="LPB41" s="38"/>
      <c r="LPC41" s="38"/>
      <c r="LPD41" s="39"/>
      <c r="LPE41" s="38"/>
      <c r="LPF41" s="38"/>
      <c r="LPG41" s="38"/>
      <c r="LPH41" s="40"/>
      <c r="LPI41" s="41"/>
      <c r="LPJ41" s="40"/>
      <c r="LPK41" s="38"/>
      <c r="LPL41" s="42"/>
      <c r="LPM41" s="42"/>
      <c r="LPN41" s="42"/>
      <c r="LPO41" s="38"/>
      <c r="LPP41" s="38"/>
      <c r="LPQ41" s="38"/>
      <c r="LPR41" s="39"/>
      <c r="LPS41" s="38"/>
      <c r="LPT41" s="38"/>
      <c r="LPU41" s="38"/>
      <c r="LPV41" s="40"/>
      <c r="LPW41" s="41"/>
      <c r="LPX41" s="40"/>
      <c r="LPY41" s="38"/>
      <c r="LPZ41" s="42"/>
      <c r="LQA41" s="42"/>
      <c r="LQB41" s="42"/>
      <c r="LQC41" s="38"/>
      <c r="LQD41" s="38"/>
      <c r="LQE41" s="38"/>
      <c r="LQF41" s="39"/>
      <c r="LQG41" s="38"/>
      <c r="LQH41" s="38"/>
      <c r="LQI41" s="38"/>
      <c r="LQJ41" s="40"/>
      <c r="LQK41" s="41"/>
      <c r="LQL41" s="40"/>
      <c r="LQM41" s="38"/>
      <c r="LQN41" s="42"/>
      <c r="LQO41" s="42"/>
      <c r="LQP41" s="42"/>
      <c r="LQQ41" s="38"/>
      <c r="LQR41" s="38"/>
      <c r="LQS41" s="38"/>
      <c r="LQT41" s="39"/>
      <c r="LQU41" s="38"/>
      <c r="LQV41" s="38"/>
      <c r="LQW41" s="38"/>
      <c r="LQX41" s="40"/>
      <c r="LQY41" s="41"/>
      <c r="LQZ41" s="40"/>
      <c r="LRA41" s="38"/>
      <c r="LRB41" s="42"/>
      <c r="LRC41" s="42"/>
      <c r="LRD41" s="42"/>
      <c r="LRE41" s="38"/>
      <c r="LRF41" s="38"/>
      <c r="LRG41" s="38"/>
      <c r="LRH41" s="39"/>
      <c r="LRI41" s="38"/>
      <c r="LRJ41" s="38"/>
      <c r="LRK41" s="38"/>
      <c r="LRL41" s="40"/>
      <c r="LRM41" s="41"/>
      <c r="LRN41" s="40"/>
      <c r="LRO41" s="38"/>
      <c r="LRP41" s="42"/>
      <c r="LRQ41" s="42"/>
      <c r="LRR41" s="42"/>
      <c r="LRS41" s="38"/>
      <c r="LRT41" s="38"/>
      <c r="LRU41" s="38"/>
      <c r="LRV41" s="39"/>
      <c r="LRW41" s="38"/>
      <c r="LRX41" s="38"/>
      <c r="LRY41" s="38"/>
      <c r="LRZ41" s="40"/>
      <c r="LSA41" s="41"/>
      <c r="LSB41" s="40"/>
      <c r="LSC41" s="38"/>
      <c r="LSD41" s="42"/>
      <c r="LSE41" s="42"/>
      <c r="LSF41" s="42"/>
      <c r="LSG41" s="38"/>
      <c r="LSH41" s="38"/>
      <c r="LSI41" s="38"/>
      <c r="LSJ41" s="39"/>
      <c r="LSK41" s="38"/>
      <c r="LSL41" s="38"/>
      <c r="LSM41" s="38"/>
      <c r="LSN41" s="40"/>
      <c r="LSO41" s="41"/>
      <c r="LSP41" s="40"/>
      <c r="LSQ41" s="38"/>
      <c r="LSR41" s="42"/>
      <c r="LSS41" s="42"/>
      <c r="LST41" s="42"/>
      <c r="LSU41" s="38"/>
      <c r="LSV41" s="38"/>
      <c r="LSW41" s="38"/>
      <c r="LSX41" s="39"/>
      <c r="LSY41" s="38"/>
      <c r="LSZ41" s="38"/>
      <c r="LTA41" s="38"/>
      <c r="LTB41" s="40"/>
      <c r="LTC41" s="41"/>
      <c r="LTD41" s="40"/>
      <c r="LTE41" s="38"/>
      <c r="LTF41" s="42"/>
      <c r="LTG41" s="42"/>
      <c r="LTH41" s="42"/>
      <c r="LTI41" s="38"/>
      <c r="LTJ41" s="38"/>
      <c r="LTK41" s="38"/>
      <c r="LTL41" s="39"/>
      <c r="LTM41" s="38"/>
      <c r="LTN41" s="38"/>
      <c r="LTO41" s="38"/>
      <c r="LTP41" s="40"/>
      <c r="LTQ41" s="41"/>
      <c r="LTR41" s="40"/>
      <c r="LTS41" s="38"/>
      <c r="LTT41" s="42"/>
      <c r="LTU41" s="42"/>
      <c r="LTV41" s="42"/>
      <c r="LTW41" s="38"/>
      <c r="LTX41" s="38"/>
      <c r="LTY41" s="38"/>
      <c r="LTZ41" s="39"/>
      <c r="LUA41" s="38"/>
      <c r="LUB41" s="38"/>
      <c r="LUC41" s="38"/>
      <c r="LUD41" s="40"/>
      <c r="LUE41" s="41"/>
      <c r="LUF41" s="40"/>
      <c r="LUG41" s="38"/>
      <c r="LUH41" s="42"/>
      <c r="LUI41" s="42"/>
      <c r="LUJ41" s="42"/>
      <c r="LUK41" s="38"/>
      <c r="LUL41" s="38"/>
      <c r="LUM41" s="38"/>
      <c r="LUN41" s="39"/>
      <c r="LUO41" s="38"/>
      <c r="LUP41" s="38"/>
      <c r="LUQ41" s="38"/>
      <c r="LUR41" s="40"/>
      <c r="LUS41" s="41"/>
      <c r="LUT41" s="40"/>
      <c r="LUU41" s="38"/>
      <c r="LUV41" s="42"/>
      <c r="LUW41" s="42"/>
      <c r="LUX41" s="42"/>
      <c r="LUY41" s="38"/>
      <c r="LUZ41" s="38"/>
      <c r="LVA41" s="38"/>
      <c r="LVB41" s="39"/>
      <c r="LVC41" s="38"/>
      <c r="LVD41" s="38"/>
      <c r="LVE41" s="38"/>
      <c r="LVF41" s="40"/>
      <c r="LVG41" s="41"/>
      <c r="LVH41" s="40"/>
      <c r="LVI41" s="38"/>
      <c r="LVJ41" s="42"/>
      <c r="LVK41" s="42"/>
      <c r="LVL41" s="42"/>
      <c r="LVM41" s="38"/>
      <c r="LVN41" s="38"/>
      <c r="LVO41" s="38"/>
      <c r="LVP41" s="39"/>
      <c r="LVQ41" s="38"/>
      <c r="LVR41" s="38"/>
      <c r="LVS41" s="38"/>
      <c r="LVT41" s="40"/>
      <c r="LVU41" s="41"/>
      <c r="LVV41" s="40"/>
      <c r="LVW41" s="38"/>
      <c r="LVX41" s="42"/>
      <c r="LVY41" s="42"/>
      <c r="LVZ41" s="42"/>
      <c r="LWA41" s="38"/>
      <c r="LWB41" s="38"/>
      <c r="LWC41" s="38"/>
      <c r="LWD41" s="39"/>
      <c r="LWE41" s="38"/>
      <c r="LWF41" s="38"/>
      <c r="LWG41" s="38"/>
      <c r="LWH41" s="40"/>
      <c r="LWI41" s="41"/>
      <c r="LWJ41" s="40"/>
      <c r="LWK41" s="38"/>
      <c r="LWL41" s="42"/>
      <c r="LWM41" s="42"/>
      <c r="LWN41" s="42"/>
      <c r="LWO41" s="38"/>
      <c r="LWP41" s="38"/>
      <c r="LWQ41" s="38"/>
      <c r="LWR41" s="39"/>
      <c r="LWS41" s="38"/>
      <c r="LWT41" s="38"/>
      <c r="LWU41" s="38"/>
      <c r="LWV41" s="40"/>
      <c r="LWW41" s="41"/>
      <c r="LWX41" s="40"/>
      <c r="LWY41" s="38"/>
      <c r="LWZ41" s="42"/>
      <c r="LXA41" s="42"/>
      <c r="LXB41" s="42"/>
      <c r="LXC41" s="38"/>
      <c r="LXD41" s="38"/>
      <c r="LXE41" s="38"/>
      <c r="LXF41" s="39"/>
      <c r="LXG41" s="38"/>
      <c r="LXH41" s="38"/>
      <c r="LXI41" s="38"/>
      <c r="LXJ41" s="40"/>
      <c r="LXK41" s="41"/>
      <c r="LXL41" s="40"/>
      <c r="LXM41" s="38"/>
      <c r="LXN41" s="42"/>
      <c r="LXO41" s="42"/>
      <c r="LXP41" s="42"/>
      <c r="LXQ41" s="38"/>
      <c r="LXR41" s="38"/>
      <c r="LXS41" s="38"/>
      <c r="LXT41" s="39"/>
      <c r="LXU41" s="38"/>
      <c r="LXV41" s="38"/>
      <c r="LXW41" s="38"/>
      <c r="LXX41" s="40"/>
      <c r="LXY41" s="41"/>
      <c r="LXZ41" s="40"/>
      <c r="LYA41" s="38"/>
      <c r="LYB41" s="42"/>
      <c r="LYC41" s="42"/>
      <c r="LYD41" s="42"/>
      <c r="LYE41" s="38"/>
      <c r="LYF41" s="38"/>
      <c r="LYG41" s="38"/>
      <c r="LYH41" s="39"/>
      <c r="LYI41" s="38"/>
      <c r="LYJ41" s="38"/>
      <c r="LYK41" s="38"/>
      <c r="LYL41" s="40"/>
      <c r="LYM41" s="41"/>
      <c r="LYN41" s="40"/>
      <c r="LYO41" s="38"/>
      <c r="LYP41" s="42"/>
      <c r="LYQ41" s="42"/>
      <c r="LYR41" s="42"/>
      <c r="LYS41" s="38"/>
      <c r="LYT41" s="38"/>
      <c r="LYU41" s="38"/>
      <c r="LYV41" s="39"/>
      <c r="LYW41" s="38"/>
      <c r="LYX41" s="38"/>
      <c r="LYY41" s="38"/>
      <c r="LYZ41" s="40"/>
      <c r="LZA41" s="41"/>
      <c r="LZB41" s="40"/>
      <c r="LZC41" s="38"/>
      <c r="LZD41" s="42"/>
      <c r="LZE41" s="42"/>
      <c r="LZF41" s="42"/>
      <c r="LZG41" s="38"/>
      <c r="LZH41" s="38"/>
      <c r="LZI41" s="38"/>
      <c r="LZJ41" s="39"/>
      <c r="LZK41" s="38"/>
      <c r="LZL41" s="38"/>
      <c r="LZM41" s="38"/>
      <c r="LZN41" s="40"/>
      <c r="LZO41" s="41"/>
      <c r="LZP41" s="40"/>
      <c r="LZQ41" s="38"/>
      <c r="LZR41" s="42"/>
      <c r="LZS41" s="42"/>
      <c r="LZT41" s="42"/>
      <c r="LZU41" s="38"/>
      <c r="LZV41" s="38"/>
      <c r="LZW41" s="38"/>
      <c r="LZX41" s="39"/>
      <c r="LZY41" s="38"/>
      <c r="LZZ41" s="38"/>
      <c r="MAA41" s="38"/>
      <c r="MAB41" s="40"/>
      <c r="MAC41" s="41"/>
      <c r="MAD41" s="40"/>
      <c r="MAE41" s="38"/>
      <c r="MAF41" s="42"/>
      <c r="MAG41" s="42"/>
      <c r="MAH41" s="42"/>
      <c r="MAI41" s="38"/>
      <c r="MAJ41" s="38"/>
      <c r="MAK41" s="38"/>
      <c r="MAL41" s="39"/>
      <c r="MAM41" s="38"/>
      <c r="MAN41" s="38"/>
      <c r="MAO41" s="38"/>
      <c r="MAP41" s="40"/>
      <c r="MAQ41" s="41"/>
      <c r="MAR41" s="40"/>
      <c r="MAS41" s="38"/>
      <c r="MAT41" s="42"/>
      <c r="MAU41" s="42"/>
      <c r="MAV41" s="42"/>
      <c r="MAW41" s="38"/>
      <c r="MAX41" s="38"/>
      <c r="MAY41" s="38"/>
      <c r="MAZ41" s="39"/>
      <c r="MBA41" s="38"/>
      <c r="MBB41" s="38"/>
      <c r="MBC41" s="38"/>
      <c r="MBD41" s="40"/>
      <c r="MBE41" s="41"/>
      <c r="MBF41" s="40"/>
      <c r="MBG41" s="38"/>
      <c r="MBH41" s="42"/>
      <c r="MBI41" s="42"/>
      <c r="MBJ41" s="42"/>
      <c r="MBK41" s="38"/>
      <c r="MBL41" s="38"/>
      <c r="MBM41" s="38"/>
      <c r="MBN41" s="39"/>
      <c r="MBO41" s="38"/>
      <c r="MBP41" s="38"/>
      <c r="MBQ41" s="38"/>
      <c r="MBR41" s="40"/>
      <c r="MBS41" s="41"/>
      <c r="MBT41" s="40"/>
      <c r="MBU41" s="38"/>
      <c r="MBV41" s="42"/>
      <c r="MBW41" s="42"/>
      <c r="MBX41" s="42"/>
      <c r="MBY41" s="38"/>
      <c r="MBZ41" s="38"/>
      <c r="MCA41" s="38"/>
      <c r="MCB41" s="39"/>
      <c r="MCC41" s="38"/>
      <c r="MCD41" s="38"/>
      <c r="MCE41" s="38"/>
      <c r="MCF41" s="40"/>
      <c r="MCG41" s="41"/>
      <c r="MCH41" s="40"/>
      <c r="MCI41" s="38"/>
      <c r="MCJ41" s="42"/>
      <c r="MCK41" s="42"/>
      <c r="MCL41" s="42"/>
      <c r="MCM41" s="38"/>
      <c r="MCN41" s="38"/>
      <c r="MCO41" s="38"/>
      <c r="MCP41" s="39"/>
      <c r="MCQ41" s="38"/>
      <c r="MCR41" s="38"/>
      <c r="MCS41" s="38"/>
      <c r="MCT41" s="40"/>
      <c r="MCU41" s="41"/>
      <c r="MCV41" s="40"/>
      <c r="MCW41" s="38"/>
      <c r="MCX41" s="42"/>
      <c r="MCY41" s="42"/>
      <c r="MCZ41" s="42"/>
      <c r="MDA41" s="38"/>
      <c r="MDB41" s="38"/>
      <c r="MDC41" s="38"/>
      <c r="MDD41" s="39"/>
      <c r="MDE41" s="38"/>
      <c r="MDF41" s="38"/>
      <c r="MDG41" s="38"/>
      <c r="MDH41" s="40"/>
      <c r="MDI41" s="41"/>
      <c r="MDJ41" s="40"/>
      <c r="MDK41" s="38"/>
      <c r="MDL41" s="42"/>
      <c r="MDM41" s="42"/>
      <c r="MDN41" s="42"/>
      <c r="MDO41" s="38"/>
      <c r="MDP41" s="38"/>
      <c r="MDQ41" s="38"/>
      <c r="MDR41" s="39"/>
      <c r="MDS41" s="38"/>
      <c r="MDT41" s="38"/>
      <c r="MDU41" s="38"/>
      <c r="MDV41" s="40"/>
      <c r="MDW41" s="41"/>
      <c r="MDX41" s="40"/>
      <c r="MDY41" s="38"/>
      <c r="MDZ41" s="42"/>
      <c r="MEA41" s="42"/>
      <c r="MEB41" s="42"/>
      <c r="MEC41" s="38"/>
      <c r="MED41" s="38"/>
      <c r="MEE41" s="38"/>
      <c r="MEF41" s="39"/>
      <c r="MEG41" s="38"/>
      <c r="MEH41" s="38"/>
      <c r="MEI41" s="38"/>
      <c r="MEJ41" s="40"/>
      <c r="MEK41" s="41"/>
      <c r="MEL41" s="40"/>
      <c r="MEM41" s="38"/>
      <c r="MEN41" s="42"/>
      <c r="MEO41" s="42"/>
      <c r="MEP41" s="42"/>
      <c r="MEQ41" s="38"/>
      <c r="MER41" s="38"/>
      <c r="MES41" s="38"/>
      <c r="MET41" s="39"/>
      <c r="MEU41" s="38"/>
      <c r="MEV41" s="38"/>
      <c r="MEW41" s="38"/>
      <c r="MEX41" s="40"/>
      <c r="MEY41" s="41"/>
      <c r="MEZ41" s="40"/>
      <c r="MFA41" s="38"/>
      <c r="MFB41" s="42"/>
      <c r="MFC41" s="42"/>
      <c r="MFD41" s="42"/>
      <c r="MFE41" s="38"/>
      <c r="MFF41" s="38"/>
      <c r="MFG41" s="38"/>
      <c r="MFH41" s="39"/>
      <c r="MFI41" s="38"/>
      <c r="MFJ41" s="38"/>
      <c r="MFK41" s="38"/>
      <c r="MFL41" s="40"/>
      <c r="MFM41" s="41"/>
      <c r="MFN41" s="40"/>
      <c r="MFO41" s="38"/>
      <c r="MFP41" s="42"/>
      <c r="MFQ41" s="42"/>
      <c r="MFR41" s="42"/>
      <c r="MFS41" s="38"/>
      <c r="MFT41" s="38"/>
      <c r="MFU41" s="38"/>
      <c r="MFV41" s="39"/>
      <c r="MFW41" s="38"/>
      <c r="MFX41" s="38"/>
      <c r="MFY41" s="38"/>
      <c r="MFZ41" s="40"/>
      <c r="MGA41" s="41"/>
      <c r="MGB41" s="40"/>
      <c r="MGC41" s="38"/>
      <c r="MGD41" s="42"/>
      <c r="MGE41" s="42"/>
      <c r="MGF41" s="42"/>
      <c r="MGG41" s="38"/>
      <c r="MGH41" s="38"/>
      <c r="MGI41" s="38"/>
      <c r="MGJ41" s="39"/>
      <c r="MGK41" s="38"/>
      <c r="MGL41" s="38"/>
      <c r="MGM41" s="38"/>
      <c r="MGN41" s="40"/>
      <c r="MGO41" s="41"/>
      <c r="MGP41" s="40"/>
      <c r="MGQ41" s="38"/>
      <c r="MGR41" s="42"/>
      <c r="MGS41" s="42"/>
      <c r="MGT41" s="42"/>
      <c r="MGU41" s="38"/>
      <c r="MGV41" s="38"/>
      <c r="MGW41" s="38"/>
      <c r="MGX41" s="39"/>
      <c r="MGY41" s="38"/>
      <c r="MGZ41" s="38"/>
      <c r="MHA41" s="38"/>
      <c r="MHB41" s="40"/>
      <c r="MHC41" s="41"/>
      <c r="MHD41" s="40"/>
      <c r="MHE41" s="38"/>
      <c r="MHF41" s="42"/>
      <c r="MHG41" s="42"/>
      <c r="MHH41" s="42"/>
      <c r="MHI41" s="38"/>
      <c r="MHJ41" s="38"/>
      <c r="MHK41" s="38"/>
      <c r="MHL41" s="39"/>
      <c r="MHM41" s="38"/>
      <c r="MHN41" s="38"/>
      <c r="MHO41" s="38"/>
      <c r="MHP41" s="40"/>
      <c r="MHQ41" s="41"/>
      <c r="MHR41" s="40"/>
      <c r="MHS41" s="38"/>
      <c r="MHT41" s="42"/>
      <c r="MHU41" s="42"/>
      <c r="MHV41" s="42"/>
      <c r="MHW41" s="38"/>
      <c r="MHX41" s="38"/>
      <c r="MHY41" s="38"/>
      <c r="MHZ41" s="39"/>
      <c r="MIA41" s="38"/>
      <c r="MIB41" s="38"/>
      <c r="MIC41" s="38"/>
      <c r="MID41" s="40"/>
      <c r="MIE41" s="41"/>
      <c r="MIF41" s="40"/>
      <c r="MIG41" s="38"/>
      <c r="MIH41" s="42"/>
      <c r="MII41" s="42"/>
      <c r="MIJ41" s="42"/>
      <c r="MIK41" s="38"/>
      <c r="MIL41" s="38"/>
      <c r="MIM41" s="38"/>
      <c r="MIN41" s="39"/>
      <c r="MIO41" s="38"/>
      <c r="MIP41" s="38"/>
      <c r="MIQ41" s="38"/>
      <c r="MIR41" s="40"/>
      <c r="MIS41" s="41"/>
      <c r="MIT41" s="40"/>
      <c r="MIU41" s="38"/>
      <c r="MIV41" s="42"/>
      <c r="MIW41" s="42"/>
      <c r="MIX41" s="42"/>
      <c r="MIY41" s="38"/>
      <c r="MIZ41" s="38"/>
      <c r="MJA41" s="38"/>
      <c r="MJB41" s="39"/>
      <c r="MJC41" s="38"/>
      <c r="MJD41" s="38"/>
      <c r="MJE41" s="38"/>
      <c r="MJF41" s="40"/>
      <c r="MJG41" s="41"/>
      <c r="MJH41" s="40"/>
      <c r="MJI41" s="38"/>
      <c r="MJJ41" s="42"/>
      <c r="MJK41" s="42"/>
      <c r="MJL41" s="42"/>
      <c r="MJM41" s="38"/>
      <c r="MJN41" s="38"/>
      <c r="MJO41" s="38"/>
      <c r="MJP41" s="39"/>
      <c r="MJQ41" s="38"/>
      <c r="MJR41" s="38"/>
      <c r="MJS41" s="38"/>
      <c r="MJT41" s="40"/>
      <c r="MJU41" s="41"/>
      <c r="MJV41" s="40"/>
      <c r="MJW41" s="38"/>
      <c r="MJX41" s="42"/>
      <c r="MJY41" s="42"/>
      <c r="MJZ41" s="42"/>
      <c r="MKA41" s="38"/>
      <c r="MKB41" s="38"/>
      <c r="MKC41" s="38"/>
      <c r="MKD41" s="39"/>
      <c r="MKE41" s="38"/>
      <c r="MKF41" s="38"/>
      <c r="MKG41" s="38"/>
      <c r="MKH41" s="40"/>
      <c r="MKI41" s="41"/>
      <c r="MKJ41" s="40"/>
      <c r="MKK41" s="38"/>
      <c r="MKL41" s="42"/>
      <c r="MKM41" s="42"/>
      <c r="MKN41" s="42"/>
      <c r="MKO41" s="38"/>
      <c r="MKP41" s="38"/>
      <c r="MKQ41" s="38"/>
      <c r="MKR41" s="39"/>
      <c r="MKS41" s="38"/>
      <c r="MKT41" s="38"/>
      <c r="MKU41" s="38"/>
      <c r="MKV41" s="40"/>
      <c r="MKW41" s="41"/>
      <c r="MKX41" s="40"/>
      <c r="MKY41" s="38"/>
      <c r="MKZ41" s="42"/>
      <c r="MLA41" s="42"/>
      <c r="MLB41" s="42"/>
      <c r="MLC41" s="38"/>
      <c r="MLD41" s="38"/>
      <c r="MLE41" s="38"/>
      <c r="MLF41" s="39"/>
      <c r="MLG41" s="38"/>
      <c r="MLH41" s="38"/>
      <c r="MLI41" s="38"/>
      <c r="MLJ41" s="40"/>
      <c r="MLK41" s="41"/>
      <c r="MLL41" s="40"/>
      <c r="MLM41" s="38"/>
      <c r="MLN41" s="42"/>
      <c r="MLO41" s="42"/>
      <c r="MLP41" s="42"/>
      <c r="MLQ41" s="38"/>
      <c r="MLR41" s="38"/>
      <c r="MLS41" s="38"/>
      <c r="MLT41" s="39"/>
      <c r="MLU41" s="38"/>
      <c r="MLV41" s="38"/>
      <c r="MLW41" s="38"/>
      <c r="MLX41" s="40"/>
      <c r="MLY41" s="41"/>
      <c r="MLZ41" s="40"/>
      <c r="MMA41" s="38"/>
      <c r="MMB41" s="42"/>
      <c r="MMC41" s="42"/>
      <c r="MMD41" s="42"/>
      <c r="MME41" s="38"/>
      <c r="MMF41" s="38"/>
      <c r="MMG41" s="38"/>
      <c r="MMH41" s="39"/>
      <c r="MMI41" s="38"/>
      <c r="MMJ41" s="38"/>
      <c r="MMK41" s="38"/>
      <c r="MML41" s="40"/>
      <c r="MMM41" s="41"/>
      <c r="MMN41" s="40"/>
      <c r="MMO41" s="38"/>
      <c r="MMP41" s="42"/>
      <c r="MMQ41" s="42"/>
      <c r="MMR41" s="42"/>
      <c r="MMS41" s="38"/>
      <c r="MMT41" s="38"/>
      <c r="MMU41" s="38"/>
      <c r="MMV41" s="39"/>
      <c r="MMW41" s="38"/>
      <c r="MMX41" s="38"/>
      <c r="MMY41" s="38"/>
      <c r="MMZ41" s="40"/>
      <c r="MNA41" s="41"/>
      <c r="MNB41" s="40"/>
      <c r="MNC41" s="38"/>
      <c r="MND41" s="42"/>
      <c r="MNE41" s="42"/>
      <c r="MNF41" s="42"/>
      <c r="MNG41" s="38"/>
      <c r="MNH41" s="38"/>
      <c r="MNI41" s="38"/>
      <c r="MNJ41" s="39"/>
      <c r="MNK41" s="38"/>
      <c r="MNL41" s="38"/>
      <c r="MNM41" s="38"/>
      <c r="MNN41" s="40"/>
      <c r="MNO41" s="41"/>
      <c r="MNP41" s="40"/>
      <c r="MNQ41" s="38"/>
      <c r="MNR41" s="42"/>
      <c r="MNS41" s="42"/>
      <c r="MNT41" s="42"/>
      <c r="MNU41" s="38"/>
      <c r="MNV41" s="38"/>
      <c r="MNW41" s="38"/>
      <c r="MNX41" s="39"/>
      <c r="MNY41" s="38"/>
      <c r="MNZ41" s="38"/>
      <c r="MOA41" s="38"/>
      <c r="MOB41" s="40"/>
      <c r="MOC41" s="41"/>
      <c r="MOD41" s="40"/>
      <c r="MOE41" s="38"/>
      <c r="MOF41" s="42"/>
      <c r="MOG41" s="42"/>
      <c r="MOH41" s="42"/>
      <c r="MOI41" s="38"/>
      <c r="MOJ41" s="38"/>
      <c r="MOK41" s="38"/>
      <c r="MOL41" s="39"/>
      <c r="MOM41" s="38"/>
      <c r="MON41" s="38"/>
      <c r="MOO41" s="38"/>
      <c r="MOP41" s="40"/>
      <c r="MOQ41" s="41"/>
      <c r="MOR41" s="40"/>
      <c r="MOS41" s="38"/>
      <c r="MOT41" s="42"/>
      <c r="MOU41" s="42"/>
      <c r="MOV41" s="42"/>
      <c r="MOW41" s="38"/>
      <c r="MOX41" s="38"/>
      <c r="MOY41" s="38"/>
      <c r="MOZ41" s="39"/>
      <c r="MPA41" s="38"/>
      <c r="MPB41" s="38"/>
      <c r="MPC41" s="38"/>
      <c r="MPD41" s="40"/>
      <c r="MPE41" s="41"/>
      <c r="MPF41" s="40"/>
      <c r="MPG41" s="38"/>
      <c r="MPH41" s="42"/>
      <c r="MPI41" s="42"/>
      <c r="MPJ41" s="42"/>
      <c r="MPK41" s="38"/>
      <c r="MPL41" s="38"/>
      <c r="MPM41" s="38"/>
      <c r="MPN41" s="39"/>
      <c r="MPO41" s="38"/>
      <c r="MPP41" s="38"/>
      <c r="MPQ41" s="38"/>
      <c r="MPR41" s="40"/>
      <c r="MPS41" s="41"/>
      <c r="MPT41" s="40"/>
      <c r="MPU41" s="38"/>
      <c r="MPV41" s="42"/>
      <c r="MPW41" s="42"/>
      <c r="MPX41" s="42"/>
      <c r="MPY41" s="38"/>
      <c r="MPZ41" s="38"/>
      <c r="MQA41" s="38"/>
      <c r="MQB41" s="39"/>
      <c r="MQC41" s="38"/>
      <c r="MQD41" s="38"/>
      <c r="MQE41" s="38"/>
      <c r="MQF41" s="40"/>
      <c r="MQG41" s="41"/>
      <c r="MQH41" s="40"/>
      <c r="MQI41" s="38"/>
      <c r="MQJ41" s="42"/>
      <c r="MQK41" s="42"/>
      <c r="MQL41" s="42"/>
      <c r="MQM41" s="38"/>
      <c r="MQN41" s="38"/>
      <c r="MQO41" s="38"/>
      <c r="MQP41" s="39"/>
      <c r="MQQ41" s="38"/>
      <c r="MQR41" s="38"/>
      <c r="MQS41" s="38"/>
      <c r="MQT41" s="40"/>
      <c r="MQU41" s="41"/>
      <c r="MQV41" s="40"/>
      <c r="MQW41" s="38"/>
      <c r="MQX41" s="42"/>
      <c r="MQY41" s="42"/>
      <c r="MQZ41" s="42"/>
      <c r="MRA41" s="38"/>
      <c r="MRB41" s="38"/>
      <c r="MRC41" s="38"/>
      <c r="MRD41" s="39"/>
      <c r="MRE41" s="38"/>
      <c r="MRF41" s="38"/>
      <c r="MRG41" s="38"/>
      <c r="MRH41" s="40"/>
      <c r="MRI41" s="41"/>
      <c r="MRJ41" s="40"/>
      <c r="MRK41" s="38"/>
      <c r="MRL41" s="42"/>
      <c r="MRM41" s="42"/>
      <c r="MRN41" s="42"/>
      <c r="MRO41" s="38"/>
      <c r="MRP41" s="38"/>
      <c r="MRQ41" s="38"/>
      <c r="MRR41" s="39"/>
      <c r="MRS41" s="38"/>
      <c r="MRT41" s="38"/>
      <c r="MRU41" s="38"/>
      <c r="MRV41" s="40"/>
      <c r="MRW41" s="41"/>
      <c r="MRX41" s="40"/>
      <c r="MRY41" s="38"/>
      <c r="MRZ41" s="42"/>
      <c r="MSA41" s="42"/>
      <c r="MSB41" s="42"/>
      <c r="MSC41" s="38"/>
      <c r="MSD41" s="38"/>
      <c r="MSE41" s="38"/>
      <c r="MSF41" s="39"/>
      <c r="MSG41" s="38"/>
      <c r="MSH41" s="38"/>
      <c r="MSI41" s="38"/>
      <c r="MSJ41" s="40"/>
      <c r="MSK41" s="41"/>
      <c r="MSL41" s="40"/>
      <c r="MSM41" s="38"/>
      <c r="MSN41" s="42"/>
      <c r="MSO41" s="42"/>
      <c r="MSP41" s="42"/>
      <c r="MSQ41" s="38"/>
      <c r="MSR41" s="38"/>
      <c r="MSS41" s="38"/>
      <c r="MST41" s="39"/>
      <c r="MSU41" s="38"/>
      <c r="MSV41" s="38"/>
      <c r="MSW41" s="38"/>
      <c r="MSX41" s="40"/>
      <c r="MSY41" s="41"/>
      <c r="MSZ41" s="40"/>
      <c r="MTA41" s="38"/>
      <c r="MTB41" s="42"/>
      <c r="MTC41" s="42"/>
      <c r="MTD41" s="42"/>
      <c r="MTE41" s="38"/>
      <c r="MTF41" s="38"/>
      <c r="MTG41" s="38"/>
      <c r="MTH41" s="39"/>
      <c r="MTI41" s="38"/>
      <c r="MTJ41" s="38"/>
      <c r="MTK41" s="38"/>
      <c r="MTL41" s="40"/>
      <c r="MTM41" s="41"/>
      <c r="MTN41" s="40"/>
      <c r="MTO41" s="38"/>
      <c r="MTP41" s="42"/>
      <c r="MTQ41" s="42"/>
      <c r="MTR41" s="42"/>
      <c r="MTS41" s="38"/>
      <c r="MTT41" s="38"/>
      <c r="MTU41" s="38"/>
      <c r="MTV41" s="39"/>
      <c r="MTW41" s="38"/>
      <c r="MTX41" s="38"/>
      <c r="MTY41" s="38"/>
      <c r="MTZ41" s="40"/>
      <c r="MUA41" s="41"/>
      <c r="MUB41" s="40"/>
      <c r="MUC41" s="38"/>
      <c r="MUD41" s="42"/>
      <c r="MUE41" s="42"/>
      <c r="MUF41" s="42"/>
      <c r="MUG41" s="38"/>
      <c r="MUH41" s="38"/>
      <c r="MUI41" s="38"/>
      <c r="MUJ41" s="39"/>
      <c r="MUK41" s="38"/>
      <c r="MUL41" s="38"/>
      <c r="MUM41" s="38"/>
      <c r="MUN41" s="40"/>
      <c r="MUO41" s="41"/>
      <c r="MUP41" s="40"/>
      <c r="MUQ41" s="38"/>
      <c r="MUR41" s="42"/>
      <c r="MUS41" s="42"/>
      <c r="MUT41" s="42"/>
      <c r="MUU41" s="38"/>
      <c r="MUV41" s="38"/>
      <c r="MUW41" s="38"/>
      <c r="MUX41" s="39"/>
      <c r="MUY41" s="38"/>
      <c r="MUZ41" s="38"/>
      <c r="MVA41" s="38"/>
      <c r="MVB41" s="40"/>
      <c r="MVC41" s="41"/>
      <c r="MVD41" s="40"/>
      <c r="MVE41" s="38"/>
      <c r="MVF41" s="42"/>
      <c r="MVG41" s="42"/>
      <c r="MVH41" s="42"/>
      <c r="MVI41" s="38"/>
      <c r="MVJ41" s="38"/>
      <c r="MVK41" s="38"/>
      <c r="MVL41" s="39"/>
      <c r="MVM41" s="38"/>
      <c r="MVN41" s="38"/>
      <c r="MVO41" s="38"/>
      <c r="MVP41" s="40"/>
      <c r="MVQ41" s="41"/>
      <c r="MVR41" s="40"/>
      <c r="MVS41" s="38"/>
      <c r="MVT41" s="42"/>
      <c r="MVU41" s="42"/>
      <c r="MVV41" s="42"/>
      <c r="MVW41" s="38"/>
      <c r="MVX41" s="38"/>
      <c r="MVY41" s="38"/>
      <c r="MVZ41" s="39"/>
      <c r="MWA41" s="38"/>
      <c r="MWB41" s="38"/>
      <c r="MWC41" s="38"/>
      <c r="MWD41" s="40"/>
      <c r="MWE41" s="41"/>
      <c r="MWF41" s="40"/>
      <c r="MWG41" s="38"/>
      <c r="MWH41" s="42"/>
      <c r="MWI41" s="42"/>
      <c r="MWJ41" s="42"/>
      <c r="MWK41" s="38"/>
      <c r="MWL41" s="38"/>
      <c r="MWM41" s="38"/>
      <c r="MWN41" s="39"/>
      <c r="MWO41" s="38"/>
      <c r="MWP41" s="38"/>
      <c r="MWQ41" s="38"/>
      <c r="MWR41" s="40"/>
      <c r="MWS41" s="41"/>
      <c r="MWT41" s="40"/>
      <c r="MWU41" s="38"/>
      <c r="MWV41" s="42"/>
      <c r="MWW41" s="42"/>
      <c r="MWX41" s="42"/>
      <c r="MWY41" s="38"/>
      <c r="MWZ41" s="38"/>
      <c r="MXA41" s="38"/>
      <c r="MXB41" s="39"/>
      <c r="MXC41" s="38"/>
      <c r="MXD41" s="38"/>
      <c r="MXE41" s="38"/>
      <c r="MXF41" s="40"/>
      <c r="MXG41" s="41"/>
      <c r="MXH41" s="40"/>
      <c r="MXI41" s="38"/>
      <c r="MXJ41" s="42"/>
      <c r="MXK41" s="42"/>
      <c r="MXL41" s="42"/>
      <c r="MXM41" s="38"/>
      <c r="MXN41" s="38"/>
      <c r="MXO41" s="38"/>
      <c r="MXP41" s="39"/>
      <c r="MXQ41" s="38"/>
      <c r="MXR41" s="38"/>
      <c r="MXS41" s="38"/>
      <c r="MXT41" s="40"/>
      <c r="MXU41" s="41"/>
      <c r="MXV41" s="40"/>
      <c r="MXW41" s="38"/>
      <c r="MXX41" s="42"/>
      <c r="MXY41" s="42"/>
      <c r="MXZ41" s="42"/>
      <c r="MYA41" s="38"/>
      <c r="MYB41" s="38"/>
      <c r="MYC41" s="38"/>
      <c r="MYD41" s="39"/>
      <c r="MYE41" s="38"/>
      <c r="MYF41" s="38"/>
      <c r="MYG41" s="38"/>
      <c r="MYH41" s="40"/>
      <c r="MYI41" s="41"/>
      <c r="MYJ41" s="40"/>
      <c r="MYK41" s="38"/>
      <c r="MYL41" s="42"/>
      <c r="MYM41" s="42"/>
      <c r="MYN41" s="42"/>
      <c r="MYO41" s="38"/>
      <c r="MYP41" s="38"/>
      <c r="MYQ41" s="38"/>
      <c r="MYR41" s="39"/>
      <c r="MYS41" s="38"/>
      <c r="MYT41" s="38"/>
      <c r="MYU41" s="38"/>
      <c r="MYV41" s="40"/>
      <c r="MYW41" s="41"/>
      <c r="MYX41" s="40"/>
      <c r="MYY41" s="38"/>
      <c r="MYZ41" s="42"/>
      <c r="MZA41" s="42"/>
      <c r="MZB41" s="42"/>
      <c r="MZC41" s="38"/>
      <c r="MZD41" s="38"/>
      <c r="MZE41" s="38"/>
      <c r="MZF41" s="39"/>
      <c r="MZG41" s="38"/>
      <c r="MZH41" s="38"/>
      <c r="MZI41" s="38"/>
      <c r="MZJ41" s="40"/>
      <c r="MZK41" s="41"/>
      <c r="MZL41" s="40"/>
      <c r="MZM41" s="38"/>
      <c r="MZN41" s="42"/>
      <c r="MZO41" s="42"/>
      <c r="MZP41" s="42"/>
      <c r="MZQ41" s="38"/>
      <c r="MZR41" s="38"/>
      <c r="MZS41" s="38"/>
      <c r="MZT41" s="39"/>
      <c r="MZU41" s="38"/>
      <c r="MZV41" s="38"/>
      <c r="MZW41" s="38"/>
      <c r="MZX41" s="40"/>
      <c r="MZY41" s="41"/>
      <c r="MZZ41" s="40"/>
      <c r="NAA41" s="38"/>
      <c r="NAB41" s="42"/>
      <c r="NAC41" s="42"/>
      <c r="NAD41" s="42"/>
      <c r="NAE41" s="38"/>
      <c r="NAF41" s="38"/>
      <c r="NAG41" s="38"/>
      <c r="NAH41" s="39"/>
      <c r="NAI41" s="38"/>
      <c r="NAJ41" s="38"/>
      <c r="NAK41" s="38"/>
      <c r="NAL41" s="40"/>
      <c r="NAM41" s="41"/>
      <c r="NAN41" s="40"/>
      <c r="NAO41" s="38"/>
      <c r="NAP41" s="42"/>
      <c r="NAQ41" s="42"/>
      <c r="NAR41" s="42"/>
      <c r="NAS41" s="38"/>
      <c r="NAT41" s="38"/>
      <c r="NAU41" s="38"/>
      <c r="NAV41" s="39"/>
      <c r="NAW41" s="38"/>
      <c r="NAX41" s="38"/>
      <c r="NAY41" s="38"/>
      <c r="NAZ41" s="40"/>
      <c r="NBA41" s="41"/>
      <c r="NBB41" s="40"/>
      <c r="NBC41" s="38"/>
      <c r="NBD41" s="42"/>
      <c r="NBE41" s="42"/>
      <c r="NBF41" s="42"/>
      <c r="NBG41" s="38"/>
      <c r="NBH41" s="38"/>
      <c r="NBI41" s="38"/>
      <c r="NBJ41" s="39"/>
      <c r="NBK41" s="38"/>
      <c r="NBL41" s="38"/>
      <c r="NBM41" s="38"/>
      <c r="NBN41" s="40"/>
      <c r="NBO41" s="41"/>
      <c r="NBP41" s="40"/>
      <c r="NBQ41" s="38"/>
      <c r="NBR41" s="42"/>
      <c r="NBS41" s="42"/>
      <c r="NBT41" s="42"/>
      <c r="NBU41" s="38"/>
      <c r="NBV41" s="38"/>
      <c r="NBW41" s="38"/>
      <c r="NBX41" s="39"/>
      <c r="NBY41" s="38"/>
      <c r="NBZ41" s="38"/>
      <c r="NCA41" s="38"/>
      <c r="NCB41" s="40"/>
      <c r="NCC41" s="41"/>
      <c r="NCD41" s="40"/>
      <c r="NCE41" s="38"/>
      <c r="NCF41" s="42"/>
      <c r="NCG41" s="42"/>
      <c r="NCH41" s="42"/>
      <c r="NCI41" s="38"/>
      <c r="NCJ41" s="38"/>
      <c r="NCK41" s="38"/>
      <c r="NCL41" s="39"/>
      <c r="NCM41" s="38"/>
      <c r="NCN41" s="38"/>
      <c r="NCO41" s="38"/>
      <c r="NCP41" s="40"/>
      <c r="NCQ41" s="41"/>
      <c r="NCR41" s="40"/>
      <c r="NCS41" s="38"/>
      <c r="NCT41" s="42"/>
      <c r="NCU41" s="42"/>
      <c r="NCV41" s="42"/>
      <c r="NCW41" s="38"/>
      <c r="NCX41" s="38"/>
      <c r="NCY41" s="38"/>
      <c r="NCZ41" s="39"/>
      <c r="NDA41" s="38"/>
      <c r="NDB41" s="38"/>
      <c r="NDC41" s="38"/>
      <c r="NDD41" s="40"/>
      <c r="NDE41" s="41"/>
      <c r="NDF41" s="40"/>
      <c r="NDG41" s="38"/>
      <c r="NDH41" s="42"/>
      <c r="NDI41" s="42"/>
      <c r="NDJ41" s="42"/>
      <c r="NDK41" s="38"/>
      <c r="NDL41" s="38"/>
      <c r="NDM41" s="38"/>
      <c r="NDN41" s="39"/>
      <c r="NDO41" s="38"/>
      <c r="NDP41" s="38"/>
      <c r="NDQ41" s="38"/>
      <c r="NDR41" s="40"/>
      <c r="NDS41" s="41"/>
      <c r="NDT41" s="40"/>
      <c r="NDU41" s="38"/>
      <c r="NDV41" s="42"/>
      <c r="NDW41" s="42"/>
      <c r="NDX41" s="42"/>
      <c r="NDY41" s="38"/>
      <c r="NDZ41" s="38"/>
      <c r="NEA41" s="38"/>
      <c r="NEB41" s="39"/>
      <c r="NEC41" s="38"/>
      <c r="NED41" s="38"/>
      <c r="NEE41" s="38"/>
      <c r="NEF41" s="40"/>
      <c r="NEG41" s="41"/>
      <c r="NEH41" s="40"/>
      <c r="NEI41" s="38"/>
      <c r="NEJ41" s="42"/>
      <c r="NEK41" s="42"/>
      <c r="NEL41" s="42"/>
      <c r="NEM41" s="38"/>
      <c r="NEN41" s="38"/>
      <c r="NEO41" s="38"/>
      <c r="NEP41" s="39"/>
      <c r="NEQ41" s="38"/>
      <c r="NER41" s="38"/>
      <c r="NES41" s="38"/>
      <c r="NET41" s="40"/>
      <c r="NEU41" s="41"/>
      <c r="NEV41" s="40"/>
      <c r="NEW41" s="38"/>
      <c r="NEX41" s="42"/>
      <c r="NEY41" s="42"/>
      <c r="NEZ41" s="42"/>
      <c r="NFA41" s="38"/>
      <c r="NFB41" s="38"/>
      <c r="NFC41" s="38"/>
      <c r="NFD41" s="39"/>
      <c r="NFE41" s="38"/>
      <c r="NFF41" s="38"/>
      <c r="NFG41" s="38"/>
      <c r="NFH41" s="40"/>
      <c r="NFI41" s="41"/>
      <c r="NFJ41" s="40"/>
      <c r="NFK41" s="38"/>
      <c r="NFL41" s="42"/>
      <c r="NFM41" s="42"/>
      <c r="NFN41" s="42"/>
      <c r="NFO41" s="38"/>
      <c r="NFP41" s="38"/>
      <c r="NFQ41" s="38"/>
      <c r="NFR41" s="39"/>
      <c r="NFS41" s="38"/>
      <c r="NFT41" s="38"/>
      <c r="NFU41" s="38"/>
      <c r="NFV41" s="40"/>
      <c r="NFW41" s="41"/>
      <c r="NFX41" s="40"/>
      <c r="NFY41" s="38"/>
      <c r="NFZ41" s="42"/>
      <c r="NGA41" s="42"/>
      <c r="NGB41" s="42"/>
      <c r="NGC41" s="38"/>
      <c r="NGD41" s="38"/>
      <c r="NGE41" s="38"/>
      <c r="NGF41" s="39"/>
      <c r="NGG41" s="38"/>
      <c r="NGH41" s="38"/>
      <c r="NGI41" s="38"/>
      <c r="NGJ41" s="40"/>
      <c r="NGK41" s="41"/>
      <c r="NGL41" s="40"/>
      <c r="NGM41" s="38"/>
      <c r="NGN41" s="42"/>
      <c r="NGO41" s="42"/>
      <c r="NGP41" s="42"/>
      <c r="NGQ41" s="38"/>
      <c r="NGR41" s="38"/>
      <c r="NGS41" s="38"/>
      <c r="NGT41" s="39"/>
      <c r="NGU41" s="38"/>
      <c r="NGV41" s="38"/>
      <c r="NGW41" s="38"/>
      <c r="NGX41" s="40"/>
      <c r="NGY41" s="41"/>
      <c r="NGZ41" s="40"/>
      <c r="NHA41" s="38"/>
      <c r="NHB41" s="42"/>
      <c r="NHC41" s="42"/>
      <c r="NHD41" s="42"/>
      <c r="NHE41" s="38"/>
      <c r="NHF41" s="38"/>
      <c r="NHG41" s="38"/>
      <c r="NHH41" s="39"/>
      <c r="NHI41" s="38"/>
      <c r="NHJ41" s="38"/>
      <c r="NHK41" s="38"/>
      <c r="NHL41" s="40"/>
      <c r="NHM41" s="41"/>
      <c r="NHN41" s="40"/>
      <c r="NHO41" s="38"/>
      <c r="NHP41" s="42"/>
      <c r="NHQ41" s="42"/>
      <c r="NHR41" s="42"/>
      <c r="NHS41" s="38"/>
      <c r="NHT41" s="38"/>
      <c r="NHU41" s="38"/>
      <c r="NHV41" s="39"/>
      <c r="NHW41" s="38"/>
      <c r="NHX41" s="38"/>
      <c r="NHY41" s="38"/>
      <c r="NHZ41" s="40"/>
      <c r="NIA41" s="41"/>
      <c r="NIB41" s="40"/>
      <c r="NIC41" s="38"/>
      <c r="NID41" s="42"/>
      <c r="NIE41" s="42"/>
      <c r="NIF41" s="42"/>
      <c r="NIG41" s="38"/>
      <c r="NIH41" s="38"/>
      <c r="NII41" s="38"/>
      <c r="NIJ41" s="39"/>
      <c r="NIK41" s="38"/>
      <c r="NIL41" s="38"/>
      <c r="NIM41" s="38"/>
      <c r="NIN41" s="40"/>
      <c r="NIO41" s="41"/>
      <c r="NIP41" s="40"/>
      <c r="NIQ41" s="38"/>
      <c r="NIR41" s="42"/>
      <c r="NIS41" s="42"/>
      <c r="NIT41" s="42"/>
      <c r="NIU41" s="38"/>
      <c r="NIV41" s="38"/>
      <c r="NIW41" s="38"/>
      <c r="NIX41" s="39"/>
      <c r="NIY41" s="38"/>
      <c r="NIZ41" s="38"/>
      <c r="NJA41" s="38"/>
      <c r="NJB41" s="40"/>
      <c r="NJC41" s="41"/>
      <c r="NJD41" s="40"/>
      <c r="NJE41" s="38"/>
      <c r="NJF41" s="42"/>
      <c r="NJG41" s="42"/>
      <c r="NJH41" s="42"/>
      <c r="NJI41" s="38"/>
      <c r="NJJ41" s="38"/>
      <c r="NJK41" s="38"/>
      <c r="NJL41" s="39"/>
      <c r="NJM41" s="38"/>
      <c r="NJN41" s="38"/>
      <c r="NJO41" s="38"/>
      <c r="NJP41" s="40"/>
      <c r="NJQ41" s="41"/>
      <c r="NJR41" s="40"/>
      <c r="NJS41" s="38"/>
      <c r="NJT41" s="42"/>
      <c r="NJU41" s="42"/>
      <c r="NJV41" s="42"/>
      <c r="NJW41" s="38"/>
      <c r="NJX41" s="38"/>
      <c r="NJY41" s="38"/>
      <c r="NJZ41" s="39"/>
      <c r="NKA41" s="38"/>
      <c r="NKB41" s="38"/>
      <c r="NKC41" s="38"/>
      <c r="NKD41" s="40"/>
      <c r="NKE41" s="41"/>
      <c r="NKF41" s="40"/>
      <c r="NKG41" s="38"/>
      <c r="NKH41" s="42"/>
      <c r="NKI41" s="42"/>
      <c r="NKJ41" s="42"/>
      <c r="NKK41" s="38"/>
      <c r="NKL41" s="38"/>
      <c r="NKM41" s="38"/>
      <c r="NKN41" s="39"/>
      <c r="NKO41" s="38"/>
      <c r="NKP41" s="38"/>
      <c r="NKQ41" s="38"/>
      <c r="NKR41" s="40"/>
      <c r="NKS41" s="41"/>
      <c r="NKT41" s="40"/>
      <c r="NKU41" s="38"/>
      <c r="NKV41" s="42"/>
      <c r="NKW41" s="42"/>
      <c r="NKX41" s="42"/>
      <c r="NKY41" s="38"/>
      <c r="NKZ41" s="38"/>
      <c r="NLA41" s="38"/>
      <c r="NLB41" s="39"/>
      <c r="NLC41" s="38"/>
      <c r="NLD41" s="38"/>
      <c r="NLE41" s="38"/>
      <c r="NLF41" s="40"/>
      <c r="NLG41" s="41"/>
      <c r="NLH41" s="40"/>
      <c r="NLI41" s="38"/>
      <c r="NLJ41" s="42"/>
      <c r="NLK41" s="42"/>
      <c r="NLL41" s="42"/>
      <c r="NLM41" s="38"/>
      <c r="NLN41" s="38"/>
      <c r="NLO41" s="38"/>
      <c r="NLP41" s="39"/>
      <c r="NLQ41" s="38"/>
      <c r="NLR41" s="38"/>
      <c r="NLS41" s="38"/>
      <c r="NLT41" s="40"/>
      <c r="NLU41" s="41"/>
      <c r="NLV41" s="40"/>
      <c r="NLW41" s="38"/>
      <c r="NLX41" s="42"/>
      <c r="NLY41" s="42"/>
      <c r="NLZ41" s="42"/>
      <c r="NMA41" s="38"/>
      <c r="NMB41" s="38"/>
      <c r="NMC41" s="38"/>
      <c r="NMD41" s="39"/>
      <c r="NME41" s="38"/>
      <c r="NMF41" s="38"/>
      <c r="NMG41" s="38"/>
      <c r="NMH41" s="40"/>
      <c r="NMI41" s="41"/>
      <c r="NMJ41" s="40"/>
      <c r="NMK41" s="38"/>
      <c r="NML41" s="42"/>
      <c r="NMM41" s="42"/>
      <c r="NMN41" s="42"/>
      <c r="NMO41" s="38"/>
      <c r="NMP41" s="38"/>
      <c r="NMQ41" s="38"/>
      <c r="NMR41" s="39"/>
      <c r="NMS41" s="38"/>
      <c r="NMT41" s="38"/>
      <c r="NMU41" s="38"/>
      <c r="NMV41" s="40"/>
      <c r="NMW41" s="41"/>
      <c r="NMX41" s="40"/>
      <c r="NMY41" s="38"/>
      <c r="NMZ41" s="42"/>
      <c r="NNA41" s="42"/>
      <c r="NNB41" s="42"/>
      <c r="NNC41" s="38"/>
      <c r="NND41" s="38"/>
      <c r="NNE41" s="38"/>
      <c r="NNF41" s="39"/>
      <c r="NNG41" s="38"/>
      <c r="NNH41" s="38"/>
      <c r="NNI41" s="38"/>
      <c r="NNJ41" s="40"/>
      <c r="NNK41" s="41"/>
      <c r="NNL41" s="40"/>
      <c r="NNM41" s="38"/>
      <c r="NNN41" s="42"/>
      <c r="NNO41" s="42"/>
      <c r="NNP41" s="42"/>
      <c r="NNQ41" s="38"/>
      <c r="NNR41" s="38"/>
      <c r="NNS41" s="38"/>
      <c r="NNT41" s="39"/>
      <c r="NNU41" s="38"/>
      <c r="NNV41" s="38"/>
      <c r="NNW41" s="38"/>
      <c r="NNX41" s="40"/>
      <c r="NNY41" s="41"/>
      <c r="NNZ41" s="40"/>
      <c r="NOA41" s="38"/>
      <c r="NOB41" s="42"/>
      <c r="NOC41" s="42"/>
      <c r="NOD41" s="42"/>
      <c r="NOE41" s="38"/>
      <c r="NOF41" s="38"/>
      <c r="NOG41" s="38"/>
      <c r="NOH41" s="39"/>
      <c r="NOI41" s="38"/>
      <c r="NOJ41" s="38"/>
      <c r="NOK41" s="38"/>
      <c r="NOL41" s="40"/>
      <c r="NOM41" s="41"/>
      <c r="NON41" s="40"/>
      <c r="NOO41" s="38"/>
      <c r="NOP41" s="42"/>
      <c r="NOQ41" s="42"/>
      <c r="NOR41" s="42"/>
      <c r="NOS41" s="38"/>
      <c r="NOT41" s="38"/>
      <c r="NOU41" s="38"/>
      <c r="NOV41" s="39"/>
      <c r="NOW41" s="38"/>
      <c r="NOX41" s="38"/>
      <c r="NOY41" s="38"/>
      <c r="NOZ41" s="40"/>
      <c r="NPA41" s="41"/>
      <c r="NPB41" s="40"/>
      <c r="NPC41" s="38"/>
      <c r="NPD41" s="42"/>
      <c r="NPE41" s="42"/>
      <c r="NPF41" s="42"/>
      <c r="NPG41" s="38"/>
      <c r="NPH41" s="38"/>
      <c r="NPI41" s="38"/>
      <c r="NPJ41" s="39"/>
      <c r="NPK41" s="38"/>
      <c r="NPL41" s="38"/>
      <c r="NPM41" s="38"/>
      <c r="NPN41" s="40"/>
      <c r="NPO41" s="41"/>
      <c r="NPP41" s="40"/>
      <c r="NPQ41" s="38"/>
      <c r="NPR41" s="42"/>
      <c r="NPS41" s="42"/>
      <c r="NPT41" s="42"/>
      <c r="NPU41" s="38"/>
      <c r="NPV41" s="38"/>
      <c r="NPW41" s="38"/>
      <c r="NPX41" s="39"/>
      <c r="NPY41" s="38"/>
      <c r="NPZ41" s="38"/>
      <c r="NQA41" s="38"/>
      <c r="NQB41" s="40"/>
      <c r="NQC41" s="41"/>
      <c r="NQD41" s="40"/>
      <c r="NQE41" s="38"/>
      <c r="NQF41" s="42"/>
      <c r="NQG41" s="42"/>
      <c r="NQH41" s="42"/>
      <c r="NQI41" s="38"/>
      <c r="NQJ41" s="38"/>
      <c r="NQK41" s="38"/>
      <c r="NQL41" s="39"/>
      <c r="NQM41" s="38"/>
      <c r="NQN41" s="38"/>
      <c r="NQO41" s="38"/>
      <c r="NQP41" s="40"/>
      <c r="NQQ41" s="41"/>
      <c r="NQR41" s="40"/>
      <c r="NQS41" s="38"/>
      <c r="NQT41" s="42"/>
      <c r="NQU41" s="42"/>
      <c r="NQV41" s="42"/>
      <c r="NQW41" s="38"/>
      <c r="NQX41" s="38"/>
      <c r="NQY41" s="38"/>
      <c r="NQZ41" s="39"/>
      <c r="NRA41" s="38"/>
      <c r="NRB41" s="38"/>
      <c r="NRC41" s="38"/>
      <c r="NRD41" s="40"/>
      <c r="NRE41" s="41"/>
      <c r="NRF41" s="40"/>
      <c r="NRG41" s="38"/>
      <c r="NRH41" s="42"/>
      <c r="NRI41" s="42"/>
      <c r="NRJ41" s="42"/>
      <c r="NRK41" s="38"/>
      <c r="NRL41" s="38"/>
      <c r="NRM41" s="38"/>
      <c r="NRN41" s="39"/>
      <c r="NRO41" s="38"/>
      <c r="NRP41" s="38"/>
      <c r="NRQ41" s="38"/>
      <c r="NRR41" s="40"/>
      <c r="NRS41" s="41"/>
      <c r="NRT41" s="40"/>
      <c r="NRU41" s="38"/>
      <c r="NRV41" s="42"/>
      <c r="NRW41" s="42"/>
      <c r="NRX41" s="42"/>
      <c r="NRY41" s="38"/>
      <c r="NRZ41" s="38"/>
      <c r="NSA41" s="38"/>
      <c r="NSB41" s="39"/>
      <c r="NSC41" s="38"/>
      <c r="NSD41" s="38"/>
      <c r="NSE41" s="38"/>
      <c r="NSF41" s="40"/>
      <c r="NSG41" s="41"/>
      <c r="NSH41" s="40"/>
      <c r="NSI41" s="38"/>
      <c r="NSJ41" s="42"/>
      <c r="NSK41" s="42"/>
      <c r="NSL41" s="42"/>
      <c r="NSM41" s="38"/>
      <c r="NSN41" s="38"/>
      <c r="NSO41" s="38"/>
      <c r="NSP41" s="39"/>
      <c r="NSQ41" s="38"/>
      <c r="NSR41" s="38"/>
      <c r="NSS41" s="38"/>
      <c r="NST41" s="40"/>
      <c r="NSU41" s="41"/>
      <c r="NSV41" s="40"/>
      <c r="NSW41" s="38"/>
      <c r="NSX41" s="42"/>
      <c r="NSY41" s="42"/>
      <c r="NSZ41" s="42"/>
      <c r="NTA41" s="38"/>
      <c r="NTB41" s="38"/>
      <c r="NTC41" s="38"/>
      <c r="NTD41" s="39"/>
      <c r="NTE41" s="38"/>
      <c r="NTF41" s="38"/>
      <c r="NTG41" s="38"/>
      <c r="NTH41" s="40"/>
      <c r="NTI41" s="41"/>
      <c r="NTJ41" s="40"/>
      <c r="NTK41" s="38"/>
      <c r="NTL41" s="42"/>
      <c r="NTM41" s="42"/>
      <c r="NTN41" s="42"/>
      <c r="NTO41" s="38"/>
      <c r="NTP41" s="38"/>
      <c r="NTQ41" s="38"/>
      <c r="NTR41" s="39"/>
      <c r="NTS41" s="38"/>
      <c r="NTT41" s="38"/>
      <c r="NTU41" s="38"/>
      <c r="NTV41" s="40"/>
      <c r="NTW41" s="41"/>
      <c r="NTX41" s="40"/>
      <c r="NTY41" s="38"/>
      <c r="NTZ41" s="42"/>
      <c r="NUA41" s="42"/>
      <c r="NUB41" s="42"/>
      <c r="NUC41" s="38"/>
      <c r="NUD41" s="38"/>
      <c r="NUE41" s="38"/>
      <c r="NUF41" s="39"/>
      <c r="NUG41" s="38"/>
      <c r="NUH41" s="38"/>
      <c r="NUI41" s="38"/>
      <c r="NUJ41" s="40"/>
      <c r="NUK41" s="41"/>
      <c r="NUL41" s="40"/>
      <c r="NUM41" s="38"/>
      <c r="NUN41" s="42"/>
      <c r="NUO41" s="42"/>
      <c r="NUP41" s="42"/>
      <c r="NUQ41" s="38"/>
      <c r="NUR41" s="38"/>
      <c r="NUS41" s="38"/>
      <c r="NUT41" s="39"/>
      <c r="NUU41" s="38"/>
      <c r="NUV41" s="38"/>
      <c r="NUW41" s="38"/>
      <c r="NUX41" s="40"/>
      <c r="NUY41" s="41"/>
      <c r="NUZ41" s="40"/>
      <c r="NVA41" s="38"/>
      <c r="NVB41" s="42"/>
      <c r="NVC41" s="42"/>
      <c r="NVD41" s="42"/>
      <c r="NVE41" s="38"/>
      <c r="NVF41" s="38"/>
      <c r="NVG41" s="38"/>
      <c r="NVH41" s="39"/>
      <c r="NVI41" s="38"/>
      <c r="NVJ41" s="38"/>
      <c r="NVK41" s="38"/>
      <c r="NVL41" s="40"/>
      <c r="NVM41" s="41"/>
      <c r="NVN41" s="40"/>
      <c r="NVO41" s="38"/>
      <c r="NVP41" s="42"/>
      <c r="NVQ41" s="42"/>
      <c r="NVR41" s="42"/>
      <c r="NVS41" s="38"/>
      <c r="NVT41" s="38"/>
      <c r="NVU41" s="38"/>
      <c r="NVV41" s="39"/>
      <c r="NVW41" s="38"/>
      <c r="NVX41" s="38"/>
      <c r="NVY41" s="38"/>
      <c r="NVZ41" s="40"/>
      <c r="NWA41" s="41"/>
      <c r="NWB41" s="40"/>
      <c r="NWC41" s="38"/>
      <c r="NWD41" s="42"/>
      <c r="NWE41" s="42"/>
      <c r="NWF41" s="42"/>
      <c r="NWG41" s="38"/>
      <c r="NWH41" s="38"/>
      <c r="NWI41" s="38"/>
      <c r="NWJ41" s="39"/>
      <c r="NWK41" s="38"/>
      <c r="NWL41" s="38"/>
      <c r="NWM41" s="38"/>
      <c r="NWN41" s="40"/>
      <c r="NWO41" s="41"/>
      <c r="NWP41" s="40"/>
      <c r="NWQ41" s="38"/>
      <c r="NWR41" s="42"/>
      <c r="NWS41" s="42"/>
      <c r="NWT41" s="42"/>
      <c r="NWU41" s="38"/>
      <c r="NWV41" s="38"/>
      <c r="NWW41" s="38"/>
      <c r="NWX41" s="39"/>
      <c r="NWY41" s="38"/>
      <c r="NWZ41" s="38"/>
      <c r="NXA41" s="38"/>
      <c r="NXB41" s="40"/>
      <c r="NXC41" s="41"/>
      <c r="NXD41" s="40"/>
      <c r="NXE41" s="38"/>
      <c r="NXF41" s="42"/>
      <c r="NXG41" s="42"/>
      <c r="NXH41" s="42"/>
      <c r="NXI41" s="38"/>
      <c r="NXJ41" s="38"/>
      <c r="NXK41" s="38"/>
      <c r="NXL41" s="39"/>
      <c r="NXM41" s="38"/>
      <c r="NXN41" s="38"/>
      <c r="NXO41" s="38"/>
      <c r="NXP41" s="40"/>
      <c r="NXQ41" s="41"/>
      <c r="NXR41" s="40"/>
      <c r="NXS41" s="38"/>
      <c r="NXT41" s="42"/>
      <c r="NXU41" s="42"/>
      <c r="NXV41" s="42"/>
      <c r="NXW41" s="38"/>
      <c r="NXX41" s="38"/>
      <c r="NXY41" s="38"/>
      <c r="NXZ41" s="39"/>
      <c r="NYA41" s="38"/>
      <c r="NYB41" s="38"/>
      <c r="NYC41" s="38"/>
      <c r="NYD41" s="40"/>
      <c r="NYE41" s="41"/>
      <c r="NYF41" s="40"/>
      <c r="NYG41" s="38"/>
      <c r="NYH41" s="42"/>
      <c r="NYI41" s="42"/>
      <c r="NYJ41" s="42"/>
      <c r="NYK41" s="38"/>
      <c r="NYL41" s="38"/>
      <c r="NYM41" s="38"/>
      <c r="NYN41" s="39"/>
      <c r="NYO41" s="38"/>
      <c r="NYP41" s="38"/>
      <c r="NYQ41" s="38"/>
      <c r="NYR41" s="40"/>
      <c r="NYS41" s="41"/>
      <c r="NYT41" s="40"/>
      <c r="NYU41" s="38"/>
      <c r="NYV41" s="42"/>
      <c r="NYW41" s="42"/>
      <c r="NYX41" s="42"/>
      <c r="NYY41" s="38"/>
      <c r="NYZ41" s="38"/>
      <c r="NZA41" s="38"/>
      <c r="NZB41" s="39"/>
      <c r="NZC41" s="38"/>
      <c r="NZD41" s="38"/>
      <c r="NZE41" s="38"/>
      <c r="NZF41" s="40"/>
      <c r="NZG41" s="41"/>
      <c r="NZH41" s="40"/>
      <c r="NZI41" s="38"/>
      <c r="NZJ41" s="42"/>
      <c r="NZK41" s="42"/>
      <c r="NZL41" s="42"/>
      <c r="NZM41" s="38"/>
      <c r="NZN41" s="38"/>
      <c r="NZO41" s="38"/>
      <c r="NZP41" s="39"/>
      <c r="NZQ41" s="38"/>
      <c r="NZR41" s="38"/>
      <c r="NZS41" s="38"/>
      <c r="NZT41" s="40"/>
      <c r="NZU41" s="41"/>
      <c r="NZV41" s="40"/>
      <c r="NZW41" s="38"/>
      <c r="NZX41" s="42"/>
      <c r="NZY41" s="42"/>
      <c r="NZZ41" s="42"/>
      <c r="OAA41" s="38"/>
      <c r="OAB41" s="38"/>
      <c r="OAC41" s="38"/>
      <c r="OAD41" s="39"/>
      <c r="OAE41" s="38"/>
      <c r="OAF41" s="38"/>
      <c r="OAG41" s="38"/>
      <c r="OAH41" s="40"/>
      <c r="OAI41" s="41"/>
      <c r="OAJ41" s="40"/>
      <c r="OAK41" s="38"/>
      <c r="OAL41" s="42"/>
      <c r="OAM41" s="42"/>
      <c r="OAN41" s="42"/>
      <c r="OAO41" s="38"/>
      <c r="OAP41" s="38"/>
      <c r="OAQ41" s="38"/>
      <c r="OAR41" s="39"/>
      <c r="OAS41" s="38"/>
      <c r="OAT41" s="38"/>
      <c r="OAU41" s="38"/>
      <c r="OAV41" s="40"/>
      <c r="OAW41" s="41"/>
      <c r="OAX41" s="40"/>
      <c r="OAY41" s="38"/>
      <c r="OAZ41" s="42"/>
      <c r="OBA41" s="42"/>
      <c r="OBB41" s="42"/>
      <c r="OBC41" s="38"/>
      <c r="OBD41" s="38"/>
      <c r="OBE41" s="38"/>
      <c r="OBF41" s="39"/>
      <c r="OBG41" s="38"/>
      <c r="OBH41" s="38"/>
      <c r="OBI41" s="38"/>
      <c r="OBJ41" s="40"/>
      <c r="OBK41" s="41"/>
      <c r="OBL41" s="40"/>
      <c r="OBM41" s="38"/>
      <c r="OBN41" s="42"/>
      <c r="OBO41" s="42"/>
      <c r="OBP41" s="42"/>
      <c r="OBQ41" s="38"/>
      <c r="OBR41" s="38"/>
      <c r="OBS41" s="38"/>
      <c r="OBT41" s="39"/>
      <c r="OBU41" s="38"/>
      <c r="OBV41" s="38"/>
      <c r="OBW41" s="38"/>
      <c r="OBX41" s="40"/>
      <c r="OBY41" s="41"/>
      <c r="OBZ41" s="40"/>
      <c r="OCA41" s="38"/>
      <c r="OCB41" s="42"/>
      <c r="OCC41" s="42"/>
      <c r="OCD41" s="42"/>
      <c r="OCE41" s="38"/>
      <c r="OCF41" s="38"/>
      <c r="OCG41" s="38"/>
      <c r="OCH41" s="39"/>
      <c r="OCI41" s="38"/>
      <c r="OCJ41" s="38"/>
      <c r="OCK41" s="38"/>
      <c r="OCL41" s="40"/>
      <c r="OCM41" s="41"/>
      <c r="OCN41" s="40"/>
      <c r="OCO41" s="38"/>
      <c r="OCP41" s="42"/>
      <c r="OCQ41" s="42"/>
      <c r="OCR41" s="42"/>
      <c r="OCS41" s="38"/>
      <c r="OCT41" s="38"/>
      <c r="OCU41" s="38"/>
      <c r="OCV41" s="39"/>
      <c r="OCW41" s="38"/>
      <c r="OCX41" s="38"/>
      <c r="OCY41" s="38"/>
      <c r="OCZ41" s="40"/>
      <c r="ODA41" s="41"/>
      <c r="ODB41" s="40"/>
      <c r="ODC41" s="38"/>
      <c r="ODD41" s="42"/>
      <c r="ODE41" s="42"/>
      <c r="ODF41" s="42"/>
      <c r="ODG41" s="38"/>
      <c r="ODH41" s="38"/>
      <c r="ODI41" s="38"/>
      <c r="ODJ41" s="39"/>
      <c r="ODK41" s="38"/>
      <c r="ODL41" s="38"/>
      <c r="ODM41" s="38"/>
      <c r="ODN41" s="40"/>
      <c r="ODO41" s="41"/>
      <c r="ODP41" s="40"/>
      <c r="ODQ41" s="38"/>
      <c r="ODR41" s="42"/>
      <c r="ODS41" s="42"/>
      <c r="ODT41" s="42"/>
      <c r="ODU41" s="38"/>
      <c r="ODV41" s="38"/>
      <c r="ODW41" s="38"/>
      <c r="ODX41" s="39"/>
      <c r="ODY41" s="38"/>
      <c r="ODZ41" s="38"/>
      <c r="OEA41" s="38"/>
      <c r="OEB41" s="40"/>
      <c r="OEC41" s="41"/>
      <c r="OED41" s="40"/>
      <c r="OEE41" s="38"/>
      <c r="OEF41" s="42"/>
      <c r="OEG41" s="42"/>
      <c r="OEH41" s="42"/>
      <c r="OEI41" s="38"/>
      <c r="OEJ41" s="38"/>
      <c r="OEK41" s="38"/>
      <c r="OEL41" s="39"/>
      <c r="OEM41" s="38"/>
      <c r="OEN41" s="38"/>
      <c r="OEO41" s="38"/>
      <c r="OEP41" s="40"/>
      <c r="OEQ41" s="41"/>
      <c r="OER41" s="40"/>
      <c r="OES41" s="38"/>
      <c r="OET41" s="42"/>
      <c r="OEU41" s="42"/>
      <c r="OEV41" s="42"/>
      <c r="OEW41" s="38"/>
      <c r="OEX41" s="38"/>
      <c r="OEY41" s="38"/>
      <c r="OEZ41" s="39"/>
      <c r="OFA41" s="38"/>
      <c r="OFB41" s="38"/>
      <c r="OFC41" s="38"/>
      <c r="OFD41" s="40"/>
      <c r="OFE41" s="41"/>
      <c r="OFF41" s="40"/>
      <c r="OFG41" s="38"/>
      <c r="OFH41" s="42"/>
      <c r="OFI41" s="42"/>
      <c r="OFJ41" s="42"/>
      <c r="OFK41" s="38"/>
      <c r="OFL41" s="38"/>
      <c r="OFM41" s="38"/>
      <c r="OFN41" s="39"/>
      <c r="OFO41" s="38"/>
      <c r="OFP41" s="38"/>
      <c r="OFQ41" s="38"/>
      <c r="OFR41" s="40"/>
      <c r="OFS41" s="41"/>
      <c r="OFT41" s="40"/>
      <c r="OFU41" s="38"/>
      <c r="OFV41" s="42"/>
      <c r="OFW41" s="42"/>
      <c r="OFX41" s="42"/>
      <c r="OFY41" s="38"/>
      <c r="OFZ41" s="38"/>
      <c r="OGA41" s="38"/>
      <c r="OGB41" s="39"/>
      <c r="OGC41" s="38"/>
      <c r="OGD41" s="38"/>
      <c r="OGE41" s="38"/>
      <c r="OGF41" s="40"/>
      <c r="OGG41" s="41"/>
      <c r="OGH41" s="40"/>
      <c r="OGI41" s="38"/>
      <c r="OGJ41" s="42"/>
      <c r="OGK41" s="42"/>
      <c r="OGL41" s="42"/>
      <c r="OGM41" s="38"/>
      <c r="OGN41" s="38"/>
      <c r="OGO41" s="38"/>
      <c r="OGP41" s="39"/>
      <c r="OGQ41" s="38"/>
      <c r="OGR41" s="38"/>
      <c r="OGS41" s="38"/>
      <c r="OGT41" s="40"/>
      <c r="OGU41" s="41"/>
      <c r="OGV41" s="40"/>
      <c r="OGW41" s="38"/>
      <c r="OGX41" s="42"/>
      <c r="OGY41" s="42"/>
      <c r="OGZ41" s="42"/>
      <c r="OHA41" s="38"/>
      <c r="OHB41" s="38"/>
      <c r="OHC41" s="38"/>
      <c r="OHD41" s="39"/>
      <c r="OHE41" s="38"/>
      <c r="OHF41" s="38"/>
      <c r="OHG41" s="38"/>
      <c r="OHH41" s="40"/>
      <c r="OHI41" s="41"/>
      <c r="OHJ41" s="40"/>
      <c r="OHK41" s="38"/>
      <c r="OHL41" s="42"/>
      <c r="OHM41" s="42"/>
      <c r="OHN41" s="42"/>
      <c r="OHO41" s="38"/>
      <c r="OHP41" s="38"/>
      <c r="OHQ41" s="38"/>
      <c r="OHR41" s="39"/>
      <c r="OHS41" s="38"/>
      <c r="OHT41" s="38"/>
      <c r="OHU41" s="38"/>
      <c r="OHV41" s="40"/>
      <c r="OHW41" s="41"/>
      <c r="OHX41" s="40"/>
      <c r="OHY41" s="38"/>
      <c r="OHZ41" s="42"/>
      <c r="OIA41" s="42"/>
      <c r="OIB41" s="42"/>
      <c r="OIC41" s="38"/>
      <c r="OID41" s="38"/>
      <c r="OIE41" s="38"/>
      <c r="OIF41" s="39"/>
      <c r="OIG41" s="38"/>
      <c r="OIH41" s="38"/>
      <c r="OII41" s="38"/>
      <c r="OIJ41" s="40"/>
      <c r="OIK41" s="41"/>
      <c r="OIL41" s="40"/>
      <c r="OIM41" s="38"/>
      <c r="OIN41" s="42"/>
      <c r="OIO41" s="42"/>
      <c r="OIP41" s="42"/>
      <c r="OIQ41" s="38"/>
      <c r="OIR41" s="38"/>
      <c r="OIS41" s="38"/>
      <c r="OIT41" s="39"/>
      <c r="OIU41" s="38"/>
      <c r="OIV41" s="38"/>
      <c r="OIW41" s="38"/>
      <c r="OIX41" s="40"/>
      <c r="OIY41" s="41"/>
      <c r="OIZ41" s="40"/>
      <c r="OJA41" s="38"/>
      <c r="OJB41" s="42"/>
      <c r="OJC41" s="42"/>
      <c r="OJD41" s="42"/>
      <c r="OJE41" s="38"/>
      <c r="OJF41" s="38"/>
      <c r="OJG41" s="38"/>
      <c r="OJH41" s="39"/>
      <c r="OJI41" s="38"/>
      <c r="OJJ41" s="38"/>
      <c r="OJK41" s="38"/>
      <c r="OJL41" s="40"/>
      <c r="OJM41" s="41"/>
      <c r="OJN41" s="40"/>
      <c r="OJO41" s="38"/>
      <c r="OJP41" s="42"/>
      <c r="OJQ41" s="42"/>
      <c r="OJR41" s="42"/>
      <c r="OJS41" s="38"/>
      <c r="OJT41" s="38"/>
      <c r="OJU41" s="38"/>
      <c r="OJV41" s="39"/>
      <c r="OJW41" s="38"/>
      <c r="OJX41" s="38"/>
      <c r="OJY41" s="38"/>
      <c r="OJZ41" s="40"/>
      <c r="OKA41" s="41"/>
      <c r="OKB41" s="40"/>
      <c r="OKC41" s="38"/>
      <c r="OKD41" s="42"/>
      <c r="OKE41" s="42"/>
      <c r="OKF41" s="42"/>
      <c r="OKG41" s="38"/>
      <c r="OKH41" s="38"/>
      <c r="OKI41" s="38"/>
      <c r="OKJ41" s="39"/>
      <c r="OKK41" s="38"/>
      <c r="OKL41" s="38"/>
      <c r="OKM41" s="38"/>
      <c r="OKN41" s="40"/>
      <c r="OKO41" s="41"/>
      <c r="OKP41" s="40"/>
      <c r="OKQ41" s="38"/>
      <c r="OKR41" s="42"/>
      <c r="OKS41" s="42"/>
      <c r="OKT41" s="42"/>
      <c r="OKU41" s="38"/>
      <c r="OKV41" s="38"/>
      <c r="OKW41" s="38"/>
      <c r="OKX41" s="39"/>
      <c r="OKY41" s="38"/>
      <c r="OKZ41" s="38"/>
      <c r="OLA41" s="38"/>
      <c r="OLB41" s="40"/>
      <c r="OLC41" s="41"/>
      <c r="OLD41" s="40"/>
      <c r="OLE41" s="38"/>
      <c r="OLF41" s="42"/>
      <c r="OLG41" s="42"/>
      <c r="OLH41" s="42"/>
      <c r="OLI41" s="38"/>
      <c r="OLJ41" s="38"/>
      <c r="OLK41" s="38"/>
      <c r="OLL41" s="39"/>
      <c r="OLM41" s="38"/>
      <c r="OLN41" s="38"/>
      <c r="OLO41" s="38"/>
      <c r="OLP41" s="40"/>
      <c r="OLQ41" s="41"/>
      <c r="OLR41" s="40"/>
      <c r="OLS41" s="38"/>
      <c r="OLT41" s="42"/>
      <c r="OLU41" s="42"/>
      <c r="OLV41" s="42"/>
      <c r="OLW41" s="38"/>
      <c r="OLX41" s="38"/>
      <c r="OLY41" s="38"/>
      <c r="OLZ41" s="39"/>
      <c r="OMA41" s="38"/>
      <c r="OMB41" s="38"/>
      <c r="OMC41" s="38"/>
      <c r="OMD41" s="40"/>
      <c r="OME41" s="41"/>
      <c r="OMF41" s="40"/>
      <c r="OMG41" s="38"/>
      <c r="OMH41" s="42"/>
      <c r="OMI41" s="42"/>
      <c r="OMJ41" s="42"/>
      <c r="OMK41" s="38"/>
      <c r="OML41" s="38"/>
      <c r="OMM41" s="38"/>
      <c r="OMN41" s="39"/>
      <c r="OMO41" s="38"/>
      <c r="OMP41" s="38"/>
      <c r="OMQ41" s="38"/>
      <c r="OMR41" s="40"/>
      <c r="OMS41" s="41"/>
      <c r="OMT41" s="40"/>
      <c r="OMU41" s="38"/>
      <c r="OMV41" s="42"/>
      <c r="OMW41" s="42"/>
      <c r="OMX41" s="42"/>
      <c r="OMY41" s="38"/>
      <c r="OMZ41" s="38"/>
      <c r="ONA41" s="38"/>
      <c r="ONB41" s="39"/>
      <c r="ONC41" s="38"/>
      <c r="OND41" s="38"/>
      <c r="ONE41" s="38"/>
      <c r="ONF41" s="40"/>
      <c r="ONG41" s="41"/>
      <c r="ONH41" s="40"/>
      <c r="ONI41" s="38"/>
      <c r="ONJ41" s="42"/>
      <c r="ONK41" s="42"/>
      <c r="ONL41" s="42"/>
      <c r="ONM41" s="38"/>
      <c r="ONN41" s="38"/>
      <c r="ONO41" s="38"/>
      <c r="ONP41" s="39"/>
      <c r="ONQ41" s="38"/>
      <c r="ONR41" s="38"/>
      <c r="ONS41" s="38"/>
      <c r="ONT41" s="40"/>
      <c r="ONU41" s="41"/>
      <c r="ONV41" s="40"/>
      <c r="ONW41" s="38"/>
      <c r="ONX41" s="42"/>
      <c r="ONY41" s="42"/>
      <c r="ONZ41" s="42"/>
      <c r="OOA41" s="38"/>
      <c r="OOB41" s="38"/>
      <c r="OOC41" s="38"/>
      <c r="OOD41" s="39"/>
      <c r="OOE41" s="38"/>
      <c r="OOF41" s="38"/>
      <c r="OOG41" s="38"/>
      <c r="OOH41" s="40"/>
      <c r="OOI41" s="41"/>
      <c r="OOJ41" s="40"/>
      <c r="OOK41" s="38"/>
      <c r="OOL41" s="42"/>
      <c r="OOM41" s="42"/>
      <c r="OON41" s="42"/>
      <c r="OOO41" s="38"/>
      <c r="OOP41" s="38"/>
      <c r="OOQ41" s="38"/>
      <c r="OOR41" s="39"/>
      <c r="OOS41" s="38"/>
      <c r="OOT41" s="38"/>
      <c r="OOU41" s="38"/>
      <c r="OOV41" s="40"/>
      <c r="OOW41" s="41"/>
      <c r="OOX41" s="40"/>
      <c r="OOY41" s="38"/>
      <c r="OOZ41" s="42"/>
      <c r="OPA41" s="42"/>
      <c r="OPB41" s="42"/>
      <c r="OPC41" s="38"/>
      <c r="OPD41" s="38"/>
      <c r="OPE41" s="38"/>
      <c r="OPF41" s="39"/>
      <c r="OPG41" s="38"/>
      <c r="OPH41" s="38"/>
      <c r="OPI41" s="38"/>
      <c r="OPJ41" s="40"/>
      <c r="OPK41" s="41"/>
      <c r="OPL41" s="40"/>
      <c r="OPM41" s="38"/>
      <c r="OPN41" s="42"/>
      <c r="OPO41" s="42"/>
      <c r="OPP41" s="42"/>
      <c r="OPQ41" s="38"/>
      <c r="OPR41" s="38"/>
      <c r="OPS41" s="38"/>
      <c r="OPT41" s="39"/>
      <c r="OPU41" s="38"/>
      <c r="OPV41" s="38"/>
      <c r="OPW41" s="38"/>
      <c r="OPX41" s="40"/>
      <c r="OPY41" s="41"/>
      <c r="OPZ41" s="40"/>
      <c r="OQA41" s="38"/>
      <c r="OQB41" s="42"/>
      <c r="OQC41" s="42"/>
      <c r="OQD41" s="42"/>
      <c r="OQE41" s="38"/>
      <c r="OQF41" s="38"/>
      <c r="OQG41" s="38"/>
      <c r="OQH41" s="39"/>
      <c r="OQI41" s="38"/>
      <c r="OQJ41" s="38"/>
      <c r="OQK41" s="38"/>
      <c r="OQL41" s="40"/>
      <c r="OQM41" s="41"/>
      <c r="OQN41" s="40"/>
      <c r="OQO41" s="38"/>
      <c r="OQP41" s="42"/>
      <c r="OQQ41" s="42"/>
      <c r="OQR41" s="42"/>
      <c r="OQS41" s="38"/>
      <c r="OQT41" s="38"/>
      <c r="OQU41" s="38"/>
      <c r="OQV41" s="39"/>
      <c r="OQW41" s="38"/>
      <c r="OQX41" s="38"/>
      <c r="OQY41" s="38"/>
      <c r="OQZ41" s="40"/>
      <c r="ORA41" s="41"/>
      <c r="ORB41" s="40"/>
      <c r="ORC41" s="38"/>
      <c r="ORD41" s="42"/>
      <c r="ORE41" s="42"/>
      <c r="ORF41" s="42"/>
      <c r="ORG41" s="38"/>
      <c r="ORH41" s="38"/>
      <c r="ORI41" s="38"/>
      <c r="ORJ41" s="39"/>
      <c r="ORK41" s="38"/>
      <c r="ORL41" s="38"/>
      <c r="ORM41" s="38"/>
      <c r="ORN41" s="40"/>
      <c r="ORO41" s="41"/>
      <c r="ORP41" s="40"/>
      <c r="ORQ41" s="38"/>
      <c r="ORR41" s="42"/>
      <c r="ORS41" s="42"/>
      <c r="ORT41" s="42"/>
      <c r="ORU41" s="38"/>
      <c r="ORV41" s="38"/>
      <c r="ORW41" s="38"/>
      <c r="ORX41" s="39"/>
      <c r="ORY41" s="38"/>
      <c r="ORZ41" s="38"/>
      <c r="OSA41" s="38"/>
      <c r="OSB41" s="40"/>
      <c r="OSC41" s="41"/>
      <c r="OSD41" s="40"/>
      <c r="OSE41" s="38"/>
      <c r="OSF41" s="42"/>
      <c r="OSG41" s="42"/>
      <c r="OSH41" s="42"/>
      <c r="OSI41" s="38"/>
      <c r="OSJ41" s="38"/>
      <c r="OSK41" s="38"/>
      <c r="OSL41" s="39"/>
      <c r="OSM41" s="38"/>
      <c r="OSN41" s="38"/>
      <c r="OSO41" s="38"/>
      <c r="OSP41" s="40"/>
      <c r="OSQ41" s="41"/>
      <c r="OSR41" s="40"/>
      <c r="OSS41" s="38"/>
      <c r="OST41" s="42"/>
      <c r="OSU41" s="42"/>
      <c r="OSV41" s="42"/>
      <c r="OSW41" s="38"/>
      <c r="OSX41" s="38"/>
      <c r="OSY41" s="38"/>
      <c r="OSZ41" s="39"/>
      <c r="OTA41" s="38"/>
      <c r="OTB41" s="38"/>
      <c r="OTC41" s="38"/>
      <c r="OTD41" s="40"/>
      <c r="OTE41" s="41"/>
      <c r="OTF41" s="40"/>
      <c r="OTG41" s="38"/>
      <c r="OTH41" s="42"/>
      <c r="OTI41" s="42"/>
      <c r="OTJ41" s="42"/>
      <c r="OTK41" s="38"/>
      <c r="OTL41" s="38"/>
      <c r="OTM41" s="38"/>
      <c r="OTN41" s="39"/>
      <c r="OTO41" s="38"/>
      <c r="OTP41" s="38"/>
      <c r="OTQ41" s="38"/>
      <c r="OTR41" s="40"/>
      <c r="OTS41" s="41"/>
      <c r="OTT41" s="40"/>
      <c r="OTU41" s="38"/>
      <c r="OTV41" s="42"/>
      <c r="OTW41" s="42"/>
      <c r="OTX41" s="42"/>
      <c r="OTY41" s="38"/>
      <c r="OTZ41" s="38"/>
      <c r="OUA41" s="38"/>
      <c r="OUB41" s="39"/>
      <c r="OUC41" s="38"/>
      <c r="OUD41" s="38"/>
      <c r="OUE41" s="38"/>
      <c r="OUF41" s="40"/>
      <c r="OUG41" s="41"/>
      <c r="OUH41" s="40"/>
      <c r="OUI41" s="38"/>
      <c r="OUJ41" s="42"/>
      <c r="OUK41" s="42"/>
      <c r="OUL41" s="42"/>
      <c r="OUM41" s="38"/>
      <c r="OUN41" s="38"/>
      <c r="OUO41" s="38"/>
      <c r="OUP41" s="39"/>
      <c r="OUQ41" s="38"/>
      <c r="OUR41" s="38"/>
      <c r="OUS41" s="38"/>
      <c r="OUT41" s="40"/>
      <c r="OUU41" s="41"/>
      <c r="OUV41" s="40"/>
      <c r="OUW41" s="38"/>
      <c r="OUX41" s="42"/>
      <c r="OUY41" s="42"/>
      <c r="OUZ41" s="42"/>
      <c r="OVA41" s="38"/>
      <c r="OVB41" s="38"/>
      <c r="OVC41" s="38"/>
      <c r="OVD41" s="39"/>
      <c r="OVE41" s="38"/>
      <c r="OVF41" s="38"/>
      <c r="OVG41" s="38"/>
      <c r="OVH41" s="40"/>
      <c r="OVI41" s="41"/>
      <c r="OVJ41" s="40"/>
      <c r="OVK41" s="38"/>
      <c r="OVL41" s="42"/>
      <c r="OVM41" s="42"/>
      <c r="OVN41" s="42"/>
      <c r="OVO41" s="38"/>
      <c r="OVP41" s="38"/>
      <c r="OVQ41" s="38"/>
      <c r="OVR41" s="39"/>
      <c r="OVS41" s="38"/>
      <c r="OVT41" s="38"/>
      <c r="OVU41" s="38"/>
      <c r="OVV41" s="40"/>
      <c r="OVW41" s="41"/>
      <c r="OVX41" s="40"/>
      <c r="OVY41" s="38"/>
      <c r="OVZ41" s="42"/>
      <c r="OWA41" s="42"/>
      <c r="OWB41" s="42"/>
      <c r="OWC41" s="38"/>
      <c r="OWD41" s="38"/>
      <c r="OWE41" s="38"/>
      <c r="OWF41" s="39"/>
      <c r="OWG41" s="38"/>
      <c r="OWH41" s="38"/>
      <c r="OWI41" s="38"/>
      <c r="OWJ41" s="40"/>
      <c r="OWK41" s="41"/>
      <c r="OWL41" s="40"/>
      <c r="OWM41" s="38"/>
      <c r="OWN41" s="42"/>
      <c r="OWO41" s="42"/>
      <c r="OWP41" s="42"/>
      <c r="OWQ41" s="38"/>
      <c r="OWR41" s="38"/>
      <c r="OWS41" s="38"/>
      <c r="OWT41" s="39"/>
      <c r="OWU41" s="38"/>
      <c r="OWV41" s="38"/>
      <c r="OWW41" s="38"/>
      <c r="OWX41" s="40"/>
      <c r="OWY41" s="41"/>
      <c r="OWZ41" s="40"/>
      <c r="OXA41" s="38"/>
      <c r="OXB41" s="42"/>
      <c r="OXC41" s="42"/>
      <c r="OXD41" s="42"/>
      <c r="OXE41" s="38"/>
      <c r="OXF41" s="38"/>
      <c r="OXG41" s="38"/>
      <c r="OXH41" s="39"/>
      <c r="OXI41" s="38"/>
      <c r="OXJ41" s="38"/>
      <c r="OXK41" s="38"/>
      <c r="OXL41" s="40"/>
      <c r="OXM41" s="41"/>
      <c r="OXN41" s="40"/>
      <c r="OXO41" s="38"/>
      <c r="OXP41" s="42"/>
      <c r="OXQ41" s="42"/>
      <c r="OXR41" s="42"/>
      <c r="OXS41" s="38"/>
      <c r="OXT41" s="38"/>
      <c r="OXU41" s="38"/>
      <c r="OXV41" s="39"/>
      <c r="OXW41" s="38"/>
      <c r="OXX41" s="38"/>
      <c r="OXY41" s="38"/>
      <c r="OXZ41" s="40"/>
      <c r="OYA41" s="41"/>
      <c r="OYB41" s="40"/>
      <c r="OYC41" s="38"/>
      <c r="OYD41" s="42"/>
      <c r="OYE41" s="42"/>
      <c r="OYF41" s="42"/>
      <c r="OYG41" s="38"/>
      <c r="OYH41" s="38"/>
      <c r="OYI41" s="38"/>
      <c r="OYJ41" s="39"/>
      <c r="OYK41" s="38"/>
      <c r="OYL41" s="38"/>
      <c r="OYM41" s="38"/>
      <c r="OYN41" s="40"/>
      <c r="OYO41" s="41"/>
      <c r="OYP41" s="40"/>
      <c r="OYQ41" s="38"/>
      <c r="OYR41" s="42"/>
      <c r="OYS41" s="42"/>
      <c r="OYT41" s="42"/>
      <c r="OYU41" s="38"/>
      <c r="OYV41" s="38"/>
      <c r="OYW41" s="38"/>
      <c r="OYX41" s="39"/>
      <c r="OYY41" s="38"/>
      <c r="OYZ41" s="38"/>
      <c r="OZA41" s="38"/>
      <c r="OZB41" s="40"/>
      <c r="OZC41" s="41"/>
      <c r="OZD41" s="40"/>
      <c r="OZE41" s="38"/>
      <c r="OZF41" s="42"/>
      <c r="OZG41" s="42"/>
      <c r="OZH41" s="42"/>
      <c r="OZI41" s="38"/>
      <c r="OZJ41" s="38"/>
      <c r="OZK41" s="38"/>
      <c r="OZL41" s="39"/>
      <c r="OZM41" s="38"/>
      <c r="OZN41" s="38"/>
      <c r="OZO41" s="38"/>
      <c r="OZP41" s="40"/>
      <c r="OZQ41" s="41"/>
      <c r="OZR41" s="40"/>
      <c r="OZS41" s="38"/>
      <c r="OZT41" s="42"/>
      <c r="OZU41" s="42"/>
      <c r="OZV41" s="42"/>
      <c r="OZW41" s="38"/>
      <c r="OZX41" s="38"/>
      <c r="OZY41" s="38"/>
      <c r="OZZ41" s="39"/>
      <c r="PAA41" s="38"/>
      <c r="PAB41" s="38"/>
      <c r="PAC41" s="38"/>
      <c r="PAD41" s="40"/>
      <c r="PAE41" s="41"/>
      <c r="PAF41" s="40"/>
      <c r="PAG41" s="38"/>
      <c r="PAH41" s="42"/>
      <c r="PAI41" s="42"/>
      <c r="PAJ41" s="42"/>
      <c r="PAK41" s="38"/>
      <c r="PAL41" s="38"/>
      <c r="PAM41" s="38"/>
      <c r="PAN41" s="39"/>
      <c r="PAO41" s="38"/>
      <c r="PAP41" s="38"/>
      <c r="PAQ41" s="38"/>
      <c r="PAR41" s="40"/>
      <c r="PAS41" s="41"/>
      <c r="PAT41" s="40"/>
      <c r="PAU41" s="38"/>
      <c r="PAV41" s="42"/>
      <c r="PAW41" s="42"/>
      <c r="PAX41" s="42"/>
      <c r="PAY41" s="38"/>
      <c r="PAZ41" s="38"/>
      <c r="PBA41" s="38"/>
      <c r="PBB41" s="39"/>
      <c r="PBC41" s="38"/>
      <c r="PBD41" s="38"/>
      <c r="PBE41" s="38"/>
      <c r="PBF41" s="40"/>
      <c r="PBG41" s="41"/>
      <c r="PBH41" s="40"/>
      <c r="PBI41" s="38"/>
      <c r="PBJ41" s="42"/>
      <c r="PBK41" s="42"/>
      <c r="PBL41" s="42"/>
      <c r="PBM41" s="38"/>
      <c r="PBN41" s="38"/>
      <c r="PBO41" s="38"/>
      <c r="PBP41" s="39"/>
      <c r="PBQ41" s="38"/>
      <c r="PBR41" s="38"/>
      <c r="PBS41" s="38"/>
      <c r="PBT41" s="40"/>
      <c r="PBU41" s="41"/>
      <c r="PBV41" s="40"/>
      <c r="PBW41" s="38"/>
      <c r="PBX41" s="42"/>
      <c r="PBY41" s="42"/>
      <c r="PBZ41" s="42"/>
      <c r="PCA41" s="38"/>
      <c r="PCB41" s="38"/>
      <c r="PCC41" s="38"/>
      <c r="PCD41" s="39"/>
      <c r="PCE41" s="38"/>
      <c r="PCF41" s="38"/>
      <c r="PCG41" s="38"/>
      <c r="PCH41" s="40"/>
      <c r="PCI41" s="41"/>
      <c r="PCJ41" s="40"/>
      <c r="PCK41" s="38"/>
      <c r="PCL41" s="42"/>
      <c r="PCM41" s="42"/>
      <c r="PCN41" s="42"/>
      <c r="PCO41" s="38"/>
      <c r="PCP41" s="38"/>
      <c r="PCQ41" s="38"/>
      <c r="PCR41" s="39"/>
      <c r="PCS41" s="38"/>
      <c r="PCT41" s="38"/>
      <c r="PCU41" s="38"/>
      <c r="PCV41" s="40"/>
      <c r="PCW41" s="41"/>
      <c r="PCX41" s="40"/>
      <c r="PCY41" s="38"/>
      <c r="PCZ41" s="42"/>
      <c r="PDA41" s="42"/>
      <c r="PDB41" s="42"/>
      <c r="PDC41" s="38"/>
      <c r="PDD41" s="38"/>
      <c r="PDE41" s="38"/>
      <c r="PDF41" s="39"/>
      <c r="PDG41" s="38"/>
      <c r="PDH41" s="38"/>
      <c r="PDI41" s="38"/>
      <c r="PDJ41" s="40"/>
      <c r="PDK41" s="41"/>
      <c r="PDL41" s="40"/>
      <c r="PDM41" s="38"/>
      <c r="PDN41" s="42"/>
      <c r="PDO41" s="42"/>
      <c r="PDP41" s="42"/>
      <c r="PDQ41" s="38"/>
      <c r="PDR41" s="38"/>
      <c r="PDS41" s="38"/>
      <c r="PDT41" s="39"/>
      <c r="PDU41" s="38"/>
      <c r="PDV41" s="38"/>
      <c r="PDW41" s="38"/>
      <c r="PDX41" s="40"/>
      <c r="PDY41" s="41"/>
      <c r="PDZ41" s="40"/>
      <c r="PEA41" s="38"/>
      <c r="PEB41" s="42"/>
      <c r="PEC41" s="42"/>
      <c r="PED41" s="42"/>
      <c r="PEE41" s="38"/>
      <c r="PEF41" s="38"/>
      <c r="PEG41" s="38"/>
      <c r="PEH41" s="39"/>
      <c r="PEI41" s="38"/>
      <c r="PEJ41" s="38"/>
      <c r="PEK41" s="38"/>
      <c r="PEL41" s="40"/>
      <c r="PEM41" s="41"/>
      <c r="PEN41" s="40"/>
      <c r="PEO41" s="38"/>
      <c r="PEP41" s="42"/>
      <c r="PEQ41" s="42"/>
      <c r="PER41" s="42"/>
      <c r="PES41" s="38"/>
      <c r="PET41" s="38"/>
      <c r="PEU41" s="38"/>
      <c r="PEV41" s="39"/>
      <c r="PEW41" s="38"/>
      <c r="PEX41" s="38"/>
      <c r="PEY41" s="38"/>
      <c r="PEZ41" s="40"/>
      <c r="PFA41" s="41"/>
      <c r="PFB41" s="40"/>
      <c r="PFC41" s="38"/>
      <c r="PFD41" s="42"/>
      <c r="PFE41" s="42"/>
      <c r="PFF41" s="42"/>
      <c r="PFG41" s="38"/>
      <c r="PFH41" s="38"/>
      <c r="PFI41" s="38"/>
      <c r="PFJ41" s="39"/>
      <c r="PFK41" s="38"/>
      <c r="PFL41" s="38"/>
      <c r="PFM41" s="38"/>
      <c r="PFN41" s="40"/>
      <c r="PFO41" s="41"/>
      <c r="PFP41" s="40"/>
      <c r="PFQ41" s="38"/>
      <c r="PFR41" s="42"/>
      <c r="PFS41" s="42"/>
      <c r="PFT41" s="42"/>
      <c r="PFU41" s="38"/>
      <c r="PFV41" s="38"/>
      <c r="PFW41" s="38"/>
      <c r="PFX41" s="39"/>
      <c r="PFY41" s="38"/>
      <c r="PFZ41" s="38"/>
      <c r="PGA41" s="38"/>
      <c r="PGB41" s="40"/>
      <c r="PGC41" s="41"/>
      <c r="PGD41" s="40"/>
      <c r="PGE41" s="38"/>
      <c r="PGF41" s="42"/>
      <c r="PGG41" s="42"/>
      <c r="PGH41" s="42"/>
      <c r="PGI41" s="38"/>
      <c r="PGJ41" s="38"/>
      <c r="PGK41" s="38"/>
      <c r="PGL41" s="39"/>
      <c r="PGM41" s="38"/>
      <c r="PGN41" s="38"/>
      <c r="PGO41" s="38"/>
      <c r="PGP41" s="40"/>
      <c r="PGQ41" s="41"/>
      <c r="PGR41" s="40"/>
      <c r="PGS41" s="38"/>
      <c r="PGT41" s="42"/>
      <c r="PGU41" s="42"/>
      <c r="PGV41" s="42"/>
      <c r="PGW41" s="38"/>
      <c r="PGX41" s="38"/>
      <c r="PGY41" s="38"/>
      <c r="PGZ41" s="39"/>
      <c r="PHA41" s="38"/>
      <c r="PHB41" s="38"/>
      <c r="PHC41" s="38"/>
      <c r="PHD41" s="40"/>
      <c r="PHE41" s="41"/>
      <c r="PHF41" s="40"/>
      <c r="PHG41" s="38"/>
      <c r="PHH41" s="42"/>
      <c r="PHI41" s="42"/>
      <c r="PHJ41" s="42"/>
      <c r="PHK41" s="38"/>
      <c r="PHL41" s="38"/>
      <c r="PHM41" s="38"/>
      <c r="PHN41" s="39"/>
      <c r="PHO41" s="38"/>
      <c r="PHP41" s="38"/>
      <c r="PHQ41" s="38"/>
      <c r="PHR41" s="40"/>
      <c r="PHS41" s="41"/>
      <c r="PHT41" s="40"/>
      <c r="PHU41" s="38"/>
      <c r="PHV41" s="42"/>
      <c r="PHW41" s="42"/>
      <c r="PHX41" s="42"/>
      <c r="PHY41" s="38"/>
      <c r="PHZ41" s="38"/>
      <c r="PIA41" s="38"/>
      <c r="PIB41" s="39"/>
      <c r="PIC41" s="38"/>
      <c r="PID41" s="38"/>
      <c r="PIE41" s="38"/>
      <c r="PIF41" s="40"/>
      <c r="PIG41" s="41"/>
      <c r="PIH41" s="40"/>
      <c r="PII41" s="38"/>
      <c r="PIJ41" s="42"/>
      <c r="PIK41" s="42"/>
      <c r="PIL41" s="42"/>
      <c r="PIM41" s="38"/>
      <c r="PIN41" s="38"/>
      <c r="PIO41" s="38"/>
      <c r="PIP41" s="39"/>
      <c r="PIQ41" s="38"/>
      <c r="PIR41" s="38"/>
      <c r="PIS41" s="38"/>
      <c r="PIT41" s="40"/>
      <c r="PIU41" s="41"/>
      <c r="PIV41" s="40"/>
      <c r="PIW41" s="38"/>
      <c r="PIX41" s="42"/>
      <c r="PIY41" s="42"/>
      <c r="PIZ41" s="42"/>
      <c r="PJA41" s="38"/>
      <c r="PJB41" s="38"/>
      <c r="PJC41" s="38"/>
      <c r="PJD41" s="39"/>
      <c r="PJE41" s="38"/>
      <c r="PJF41" s="38"/>
      <c r="PJG41" s="38"/>
      <c r="PJH41" s="40"/>
      <c r="PJI41" s="41"/>
      <c r="PJJ41" s="40"/>
      <c r="PJK41" s="38"/>
      <c r="PJL41" s="42"/>
      <c r="PJM41" s="42"/>
      <c r="PJN41" s="42"/>
      <c r="PJO41" s="38"/>
      <c r="PJP41" s="38"/>
      <c r="PJQ41" s="38"/>
      <c r="PJR41" s="39"/>
      <c r="PJS41" s="38"/>
      <c r="PJT41" s="38"/>
      <c r="PJU41" s="38"/>
      <c r="PJV41" s="40"/>
      <c r="PJW41" s="41"/>
      <c r="PJX41" s="40"/>
      <c r="PJY41" s="38"/>
      <c r="PJZ41" s="42"/>
      <c r="PKA41" s="42"/>
      <c r="PKB41" s="42"/>
      <c r="PKC41" s="38"/>
      <c r="PKD41" s="38"/>
      <c r="PKE41" s="38"/>
      <c r="PKF41" s="39"/>
      <c r="PKG41" s="38"/>
      <c r="PKH41" s="38"/>
      <c r="PKI41" s="38"/>
      <c r="PKJ41" s="40"/>
      <c r="PKK41" s="41"/>
      <c r="PKL41" s="40"/>
      <c r="PKM41" s="38"/>
      <c r="PKN41" s="42"/>
      <c r="PKO41" s="42"/>
      <c r="PKP41" s="42"/>
      <c r="PKQ41" s="38"/>
      <c r="PKR41" s="38"/>
      <c r="PKS41" s="38"/>
      <c r="PKT41" s="39"/>
      <c r="PKU41" s="38"/>
      <c r="PKV41" s="38"/>
      <c r="PKW41" s="38"/>
      <c r="PKX41" s="40"/>
      <c r="PKY41" s="41"/>
      <c r="PKZ41" s="40"/>
      <c r="PLA41" s="38"/>
      <c r="PLB41" s="42"/>
      <c r="PLC41" s="42"/>
      <c r="PLD41" s="42"/>
      <c r="PLE41" s="38"/>
      <c r="PLF41" s="38"/>
      <c r="PLG41" s="38"/>
      <c r="PLH41" s="39"/>
      <c r="PLI41" s="38"/>
      <c r="PLJ41" s="38"/>
      <c r="PLK41" s="38"/>
      <c r="PLL41" s="40"/>
      <c r="PLM41" s="41"/>
      <c r="PLN41" s="40"/>
      <c r="PLO41" s="38"/>
      <c r="PLP41" s="42"/>
      <c r="PLQ41" s="42"/>
      <c r="PLR41" s="42"/>
      <c r="PLS41" s="38"/>
      <c r="PLT41" s="38"/>
      <c r="PLU41" s="38"/>
      <c r="PLV41" s="39"/>
      <c r="PLW41" s="38"/>
      <c r="PLX41" s="38"/>
      <c r="PLY41" s="38"/>
      <c r="PLZ41" s="40"/>
      <c r="PMA41" s="41"/>
      <c r="PMB41" s="40"/>
      <c r="PMC41" s="38"/>
      <c r="PMD41" s="42"/>
      <c r="PME41" s="42"/>
      <c r="PMF41" s="42"/>
      <c r="PMG41" s="38"/>
      <c r="PMH41" s="38"/>
      <c r="PMI41" s="38"/>
      <c r="PMJ41" s="39"/>
      <c r="PMK41" s="38"/>
      <c r="PML41" s="38"/>
      <c r="PMM41" s="38"/>
      <c r="PMN41" s="40"/>
      <c r="PMO41" s="41"/>
      <c r="PMP41" s="40"/>
      <c r="PMQ41" s="38"/>
      <c r="PMR41" s="42"/>
      <c r="PMS41" s="42"/>
      <c r="PMT41" s="42"/>
      <c r="PMU41" s="38"/>
      <c r="PMV41" s="38"/>
      <c r="PMW41" s="38"/>
      <c r="PMX41" s="39"/>
      <c r="PMY41" s="38"/>
      <c r="PMZ41" s="38"/>
      <c r="PNA41" s="38"/>
      <c r="PNB41" s="40"/>
      <c r="PNC41" s="41"/>
      <c r="PND41" s="40"/>
      <c r="PNE41" s="38"/>
      <c r="PNF41" s="42"/>
      <c r="PNG41" s="42"/>
      <c r="PNH41" s="42"/>
      <c r="PNI41" s="38"/>
      <c r="PNJ41" s="38"/>
      <c r="PNK41" s="38"/>
      <c r="PNL41" s="39"/>
      <c r="PNM41" s="38"/>
      <c r="PNN41" s="38"/>
      <c r="PNO41" s="38"/>
      <c r="PNP41" s="40"/>
      <c r="PNQ41" s="41"/>
      <c r="PNR41" s="40"/>
      <c r="PNS41" s="38"/>
      <c r="PNT41" s="42"/>
      <c r="PNU41" s="42"/>
      <c r="PNV41" s="42"/>
      <c r="PNW41" s="38"/>
      <c r="PNX41" s="38"/>
      <c r="PNY41" s="38"/>
      <c r="PNZ41" s="39"/>
      <c r="POA41" s="38"/>
      <c r="POB41" s="38"/>
      <c r="POC41" s="38"/>
      <c r="POD41" s="40"/>
      <c r="POE41" s="41"/>
      <c r="POF41" s="40"/>
      <c r="POG41" s="38"/>
      <c r="POH41" s="42"/>
      <c r="POI41" s="42"/>
      <c r="POJ41" s="42"/>
      <c r="POK41" s="38"/>
      <c r="POL41" s="38"/>
      <c r="POM41" s="38"/>
      <c r="PON41" s="39"/>
      <c r="POO41" s="38"/>
      <c r="POP41" s="38"/>
      <c r="POQ41" s="38"/>
      <c r="POR41" s="40"/>
      <c r="POS41" s="41"/>
      <c r="POT41" s="40"/>
      <c r="POU41" s="38"/>
      <c r="POV41" s="42"/>
      <c r="POW41" s="42"/>
      <c r="POX41" s="42"/>
      <c r="POY41" s="38"/>
      <c r="POZ41" s="38"/>
      <c r="PPA41" s="38"/>
      <c r="PPB41" s="39"/>
      <c r="PPC41" s="38"/>
      <c r="PPD41" s="38"/>
      <c r="PPE41" s="38"/>
      <c r="PPF41" s="40"/>
      <c r="PPG41" s="41"/>
      <c r="PPH41" s="40"/>
      <c r="PPI41" s="38"/>
      <c r="PPJ41" s="42"/>
      <c r="PPK41" s="42"/>
      <c r="PPL41" s="42"/>
      <c r="PPM41" s="38"/>
      <c r="PPN41" s="38"/>
      <c r="PPO41" s="38"/>
      <c r="PPP41" s="39"/>
      <c r="PPQ41" s="38"/>
      <c r="PPR41" s="38"/>
      <c r="PPS41" s="38"/>
      <c r="PPT41" s="40"/>
      <c r="PPU41" s="41"/>
      <c r="PPV41" s="40"/>
      <c r="PPW41" s="38"/>
      <c r="PPX41" s="42"/>
      <c r="PPY41" s="42"/>
      <c r="PPZ41" s="42"/>
      <c r="PQA41" s="38"/>
      <c r="PQB41" s="38"/>
      <c r="PQC41" s="38"/>
      <c r="PQD41" s="39"/>
      <c r="PQE41" s="38"/>
      <c r="PQF41" s="38"/>
      <c r="PQG41" s="38"/>
      <c r="PQH41" s="40"/>
      <c r="PQI41" s="41"/>
      <c r="PQJ41" s="40"/>
      <c r="PQK41" s="38"/>
      <c r="PQL41" s="42"/>
      <c r="PQM41" s="42"/>
      <c r="PQN41" s="42"/>
      <c r="PQO41" s="38"/>
      <c r="PQP41" s="38"/>
      <c r="PQQ41" s="38"/>
      <c r="PQR41" s="39"/>
      <c r="PQS41" s="38"/>
      <c r="PQT41" s="38"/>
      <c r="PQU41" s="38"/>
      <c r="PQV41" s="40"/>
      <c r="PQW41" s="41"/>
      <c r="PQX41" s="40"/>
      <c r="PQY41" s="38"/>
      <c r="PQZ41" s="42"/>
      <c r="PRA41" s="42"/>
      <c r="PRB41" s="42"/>
      <c r="PRC41" s="38"/>
      <c r="PRD41" s="38"/>
      <c r="PRE41" s="38"/>
      <c r="PRF41" s="39"/>
      <c r="PRG41" s="38"/>
      <c r="PRH41" s="38"/>
      <c r="PRI41" s="38"/>
      <c r="PRJ41" s="40"/>
      <c r="PRK41" s="41"/>
      <c r="PRL41" s="40"/>
      <c r="PRM41" s="38"/>
      <c r="PRN41" s="42"/>
      <c r="PRO41" s="42"/>
      <c r="PRP41" s="42"/>
      <c r="PRQ41" s="38"/>
      <c r="PRR41" s="38"/>
      <c r="PRS41" s="38"/>
      <c r="PRT41" s="39"/>
      <c r="PRU41" s="38"/>
      <c r="PRV41" s="38"/>
      <c r="PRW41" s="38"/>
      <c r="PRX41" s="40"/>
      <c r="PRY41" s="41"/>
      <c r="PRZ41" s="40"/>
      <c r="PSA41" s="38"/>
      <c r="PSB41" s="42"/>
      <c r="PSC41" s="42"/>
      <c r="PSD41" s="42"/>
      <c r="PSE41" s="38"/>
      <c r="PSF41" s="38"/>
      <c r="PSG41" s="38"/>
      <c r="PSH41" s="39"/>
      <c r="PSI41" s="38"/>
      <c r="PSJ41" s="38"/>
      <c r="PSK41" s="38"/>
      <c r="PSL41" s="40"/>
      <c r="PSM41" s="41"/>
      <c r="PSN41" s="40"/>
      <c r="PSO41" s="38"/>
      <c r="PSP41" s="42"/>
      <c r="PSQ41" s="42"/>
      <c r="PSR41" s="42"/>
      <c r="PSS41" s="38"/>
      <c r="PST41" s="38"/>
      <c r="PSU41" s="38"/>
      <c r="PSV41" s="39"/>
      <c r="PSW41" s="38"/>
      <c r="PSX41" s="38"/>
      <c r="PSY41" s="38"/>
      <c r="PSZ41" s="40"/>
      <c r="PTA41" s="41"/>
      <c r="PTB41" s="40"/>
      <c r="PTC41" s="38"/>
      <c r="PTD41" s="42"/>
      <c r="PTE41" s="42"/>
      <c r="PTF41" s="42"/>
      <c r="PTG41" s="38"/>
      <c r="PTH41" s="38"/>
      <c r="PTI41" s="38"/>
      <c r="PTJ41" s="39"/>
      <c r="PTK41" s="38"/>
      <c r="PTL41" s="38"/>
      <c r="PTM41" s="38"/>
      <c r="PTN41" s="40"/>
      <c r="PTO41" s="41"/>
      <c r="PTP41" s="40"/>
      <c r="PTQ41" s="38"/>
      <c r="PTR41" s="42"/>
      <c r="PTS41" s="42"/>
      <c r="PTT41" s="42"/>
      <c r="PTU41" s="38"/>
      <c r="PTV41" s="38"/>
      <c r="PTW41" s="38"/>
      <c r="PTX41" s="39"/>
      <c r="PTY41" s="38"/>
      <c r="PTZ41" s="38"/>
      <c r="PUA41" s="38"/>
      <c r="PUB41" s="40"/>
      <c r="PUC41" s="41"/>
      <c r="PUD41" s="40"/>
      <c r="PUE41" s="38"/>
      <c r="PUF41" s="42"/>
      <c r="PUG41" s="42"/>
      <c r="PUH41" s="42"/>
      <c r="PUI41" s="38"/>
      <c r="PUJ41" s="38"/>
      <c r="PUK41" s="38"/>
      <c r="PUL41" s="39"/>
      <c r="PUM41" s="38"/>
      <c r="PUN41" s="38"/>
      <c r="PUO41" s="38"/>
      <c r="PUP41" s="40"/>
      <c r="PUQ41" s="41"/>
      <c r="PUR41" s="40"/>
      <c r="PUS41" s="38"/>
      <c r="PUT41" s="42"/>
      <c r="PUU41" s="42"/>
      <c r="PUV41" s="42"/>
      <c r="PUW41" s="38"/>
      <c r="PUX41" s="38"/>
      <c r="PUY41" s="38"/>
      <c r="PUZ41" s="39"/>
      <c r="PVA41" s="38"/>
      <c r="PVB41" s="38"/>
      <c r="PVC41" s="38"/>
      <c r="PVD41" s="40"/>
      <c r="PVE41" s="41"/>
      <c r="PVF41" s="40"/>
      <c r="PVG41" s="38"/>
      <c r="PVH41" s="42"/>
      <c r="PVI41" s="42"/>
      <c r="PVJ41" s="42"/>
      <c r="PVK41" s="38"/>
      <c r="PVL41" s="38"/>
      <c r="PVM41" s="38"/>
      <c r="PVN41" s="39"/>
      <c r="PVO41" s="38"/>
      <c r="PVP41" s="38"/>
      <c r="PVQ41" s="38"/>
      <c r="PVR41" s="40"/>
      <c r="PVS41" s="41"/>
      <c r="PVT41" s="40"/>
      <c r="PVU41" s="38"/>
      <c r="PVV41" s="42"/>
      <c r="PVW41" s="42"/>
      <c r="PVX41" s="42"/>
      <c r="PVY41" s="38"/>
      <c r="PVZ41" s="38"/>
      <c r="PWA41" s="38"/>
      <c r="PWB41" s="39"/>
      <c r="PWC41" s="38"/>
      <c r="PWD41" s="38"/>
      <c r="PWE41" s="38"/>
      <c r="PWF41" s="40"/>
      <c r="PWG41" s="41"/>
      <c r="PWH41" s="40"/>
      <c r="PWI41" s="38"/>
      <c r="PWJ41" s="42"/>
      <c r="PWK41" s="42"/>
      <c r="PWL41" s="42"/>
      <c r="PWM41" s="38"/>
      <c r="PWN41" s="38"/>
      <c r="PWO41" s="38"/>
      <c r="PWP41" s="39"/>
      <c r="PWQ41" s="38"/>
      <c r="PWR41" s="38"/>
      <c r="PWS41" s="38"/>
      <c r="PWT41" s="40"/>
      <c r="PWU41" s="41"/>
      <c r="PWV41" s="40"/>
      <c r="PWW41" s="38"/>
      <c r="PWX41" s="42"/>
      <c r="PWY41" s="42"/>
      <c r="PWZ41" s="42"/>
      <c r="PXA41" s="38"/>
      <c r="PXB41" s="38"/>
      <c r="PXC41" s="38"/>
      <c r="PXD41" s="39"/>
      <c r="PXE41" s="38"/>
      <c r="PXF41" s="38"/>
      <c r="PXG41" s="38"/>
      <c r="PXH41" s="40"/>
      <c r="PXI41" s="41"/>
      <c r="PXJ41" s="40"/>
      <c r="PXK41" s="38"/>
      <c r="PXL41" s="42"/>
      <c r="PXM41" s="42"/>
      <c r="PXN41" s="42"/>
      <c r="PXO41" s="38"/>
      <c r="PXP41" s="38"/>
      <c r="PXQ41" s="38"/>
      <c r="PXR41" s="39"/>
      <c r="PXS41" s="38"/>
      <c r="PXT41" s="38"/>
      <c r="PXU41" s="38"/>
      <c r="PXV41" s="40"/>
      <c r="PXW41" s="41"/>
      <c r="PXX41" s="40"/>
      <c r="PXY41" s="38"/>
      <c r="PXZ41" s="42"/>
      <c r="PYA41" s="42"/>
      <c r="PYB41" s="42"/>
      <c r="PYC41" s="38"/>
      <c r="PYD41" s="38"/>
      <c r="PYE41" s="38"/>
      <c r="PYF41" s="39"/>
      <c r="PYG41" s="38"/>
      <c r="PYH41" s="38"/>
      <c r="PYI41" s="38"/>
      <c r="PYJ41" s="40"/>
      <c r="PYK41" s="41"/>
      <c r="PYL41" s="40"/>
      <c r="PYM41" s="38"/>
      <c r="PYN41" s="42"/>
      <c r="PYO41" s="42"/>
      <c r="PYP41" s="42"/>
      <c r="PYQ41" s="38"/>
      <c r="PYR41" s="38"/>
      <c r="PYS41" s="38"/>
      <c r="PYT41" s="39"/>
      <c r="PYU41" s="38"/>
      <c r="PYV41" s="38"/>
      <c r="PYW41" s="38"/>
      <c r="PYX41" s="40"/>
      <c r="PYY41" s="41"/>
      <c r="PYZ41" s="40"/>
      <c r="PZA41" s="38"/>
      <c r="PZB41" s="42"/>
      <c r="PZC41" s="42"/>
      <c r="PZD41" s="42"/>
      <c r="PZE41" s="38"/>
      <c r="PZF41" s="38"/>
      <c r="PZG41" s="38"/>
      <c r="PZH41" s="39"/>
      <c r="PZI41" s="38"/>
      <c r="PZJ41" s="38"/>
      <c r="PZK41" s="38"/>
      <c r="PZL41" s="40"/>
      <c r="PZM41" s="41"/>
      <c r="PZN41" s="40"/>
      <c r="PZO41" s="38"/>
      <c r="PZP41" s="42"/>
      <c r="PZQ41" s="42"/>
      <c r="PZR41" s="42"/>
      <c r="PZS41" s="38"/>
      <c r="PZT41" s="38"/>
      <c r="PZU41" s="38"/>
      <c r="PZV41" s="39"/>
      <c r="PZW41" s="38"/>
      <c r="PZX41" s="38"/>
      <c r="PZY41" s="38"/>
      <c r="PZZ41" s="40"/>
      <c r="QAA41" s="41"/>
      <c r="QAB41" s="40"/>
      <c r="QAC41" s="38"/>
      <c r="QAD41" s="42"/>
      <c r="QAE41" s="42"/>
      <c r="QAF41" s="42"/>
      <c r="QAG41" s="38"/>
      <c r="QAH41" s="38"/>
      <c r="QAI41" s="38"/>
      <c r="QAJ41" s="39"/>
      <c r="QAK41" s="38"/>
      <c r="QAL41" s="38"/>
      <c r="QAM41" s="38"/>
      <c r="QAN41" s="40"/>
      <c r="QAO41" s="41"/>
      <c r="QAP41" s="40"/>
      <c r="QAQ41" s="38"/>
      <c r="QAR41" s="42"/>
      <c r="QAS41" s="42"/>
      <c r="QAT41" s="42"/>
      <c r="QAU41" s="38"/>
      <c r="QAV41" s="38"/>
      <c r="QAW41" s="38"/>
      <c r="QAX41" s="39"/>
      <c r="QAY41" s="38"/>
      <c r="QAZ41" s="38"/>
      <c r="QBA41" s="38"/>
      <c r="QBB41" s="40"/>
      <c r="QBC41" s="41"/>
      <c r="QBD41" s="40"/>
      <c r="QBE41" s="38"/>
      <c r="QBF41" s="42"/>
      <c r="QBG41" s="42"/>
      <c r="QBH41" s="42"/>
      <c r="QBI41" s="38"/>
      <c r="QBJ41" s="38"/>
      <c r="QBK41" s="38"/>
      <c r="QBL41" s="39"/>
      <c r="QBM41" s="38"/>
      <c r="QBN41" s="38"/>
      <c r="QBO41" s="38"/>
      <c r="QBP41" s="40"/>
      <c r="QBQ41" s="41"/>
      <c r="QBR41" s="40"/>
      <c r="QBS41" s="38"/>
      <c r="QBT41" s="42"/>
      <c r="QBU41" s="42"/>
      <c r="QBV41" s="42"/>
      <c r="QBW41" s="38"/>
      <c r="QBX41" s="38"/>
      <c r="QBY41" s="38"/>
      <c r="QBZ41" s="39"/>
      <c r="QCA41" s="38"/>
      <c r="QCB41" s="38"/>
      <c r="QCC41" s="38"/>
      <c r="QCD41" s="40"/>
      <c r="QCE41" s="41"/>
      <c r="QCF41" s="40"/>
      <c r="QCG41" s="38"/>
      <c r="QCH41" s="42"/>
      <c r="QCI41" s="42"/>
      <c r="QCJ41" s="42"/>
      <c r="QCK41" s="38"/>
      <c r="QCL41" s="38"/>
      <c r="QCM41" s="38"/>
      <c r="QCN41" s="39"/>
      <c r="QCO41" s="38"/>
      <c r="QCP41" s="38"/>
      <c r="QCQ41" s="38"/>
      <c r="QCR41" s="40"/>
      <c r="QCS41" s="41"/>
      <c r="QCT41" s="40"/>
      <c r="QCU41" s="38"/>
      <c r="QCV41" s="42"/>
      <c r="QCW41" s="42"/>
      <c r="QCX41" s="42"/>
      <c r="QCY41" s="38"/>
      <c r="QCZ41" s="38"/>
      <c r="QDA41" s="38"/>
      <c r="QDB41" s="39"/>
      <c r="QDC41" s="38"/>
      <c r="QDD41" s="38"/>
      <c r="QDE41" s="38"/>
      <c r="QDF41" s="40"/>
      <c r="QDG41" s="41"/>
      <c r="QDH41" s="40"/>
      <c r="QDI41" s="38"/>
      <c r="QDJ41" s="42"/>
      <c r="QDK41" s="42"/>
      <c r="QDL41" s="42"/>
      <c r="QDM41" s="38"/>
      <c r="QDN41" s="38"/>
      <c r="QDO41" s="38"/>
      <c r="QDP41" s="39"/>
      <c r="QDQ41" s="38"/>
      <c r="QDR41" s="38"/>
      <c r="QDS41" s="38"/>
      <c r="QDT41" s="40"/>
      <c r="QDU41" s="41"/>
      <c r="QDV41" s="40"/>
      <c r="QDW41" s="38"/>
      <c r="QDX41" s="42"/>
      <c r="QDY41" s="42"/>
      <c r="QDZ41" s="42"/>
      <c r="QEA41" s="38"/>
      <c r="QEB41" s="38"/>
      <c r="QEC41" s="38"/>
      <c r="QED41" s="39"/>
      <c r="QEE41" s="38"/>
      <c r="QEF41" s="38"/>
      <c r="QEG41" s="38"/>
      <c r="QEH41" s="40"/>
      <c r="QEI41" s="41"/>
      <c r="QEJ41" s="40"/>
      <c r="QEK41" s="38"/>
      <c r="QEL41" s="42"/>
      <c r="QEM41" s="42"/>
      <c r="QEN41" s="42"/>
      <c r="QEO41" s="38"/>
      <c r="QEP41" s="38"/>
      <c r="QEQ41" s="38"/>
      <c r="QER41" s="39"/>
      <c r="QES41" s="38"/>
      <c r="QET41" s="38"/>
      <c r="QEU41" s="38"/>
      <c r="QEV41" s="40"/>
      <c r="QEW41" s="41"/>
      <c r="QEX41" s="40"/>
      <c r="QEY41" s="38"/>
      <c r="QEZ41" s="42"/>
      <c r="QFA41" s="42"/>
      <c r="QFB41" s="42"/>
      <c r="QFC41" s="38"/>
      <c r="QFD41" s="38"/>
      <c r="QFE41" s="38"/>
      <c r="QFF41" s="39"/>
      <c r="QFG41" s="38"/>
      <c r="QFH41" s="38"/>
      <c r="QFI41" s="38"/>
      <c r="QFJ41" s="40"/>
      <c r="QFK41" s="41"/>
      <c r="QFL41" s="40"/>
      <c r="QFM41" s="38"/>
      <c r="QFN41" s="42"/>
      <c r="QFO41" s="42"/>
      <c r="QFP41" s="42"/>
      <c r="QFQ41" s="38"/>
      <c r="QFR41" s="38"/>
      <c r="QFS41" s="38"/>
      <c r="QFT41" s="39"/>
      <c r="QFU41" s="38"/>
      <c r="QFV41" s="38"/>
      <c r="QFW41" s="38"/>
      <c r="QFX41" s="40"/>
      <c r="QFY41" s="41"/>
      <c r="QFZ41" s="40"/>
      <c r="QGA41" s="38"/>
      <c r="QGB41" s="42"/>
      <c r="QGC41" s="42"/>
      <c r="QGD41" s="42"/>
      <c r="QGE41" s="38"/>
      <c r="QGF41" s="38"/>
      <c r="QGG41" s="38"/>
      <c r="QGH41" s="39"/>
      <c r="QGI41" s="38"/>
      <c r="QGJ41" s="38"/>
      <c r="QGK41" s="38"/>
      <c r="QGL41" s="40"/>
      <c r="QGM41" s="41"/>
      <c r="QGN41" s="40"/>
      <c r="QGO41" s="38"/>
      <c r="QGP41" s="42"/>
      <c r="QGQ41" s="42"/>
      <c r="QGR41" s="42"/>
      <c r="QGS41" s="38"/>
      <c r="QGT41" s="38"/>
      <c r="QGU41" s="38"/>
      <c r="QGV41" s="39"/>
      <c r="QGW41" s="38"/>
      <c r="QGX41" s="38"/>
      <c r="QGY41" s="38"/>
      <c r="QGZ41" s="40"/>
      <c r="QHA41" s="41"/>
      <c r="QHB41" s="40"/>
      <c r="QHC41" s="38"/>
      <c r="QHD41" s="42"/>
      <c r="QHE41" s="42"/>
      <c r="QHF41" s="42"/>
      <c r="QHG41" s="38"/>
      <c r="QHH41" s="38"/>
      <c r="QHI41" s="38"/>
      <c r="QHJ41" s="39"/>
      <c r="QHK41" s="38"/>
      <c r="QHL41" s="38"/>
      <c r="QHM41" s="38"/>
      <c r="QHN41" s="40"/>
      <c r="QHO41" s="41"/>
      <c r="QHP41" s="40"/>
      <c r="QHQ41" s="38"/>
      <c r="QHR41" s="42"/>
      <c r="QHS41" s="42"/>
      <c r="QHT41" s="42"/>
      <c r="QHU41" s="38"/>
      <c r="QHV41" s="38"/>
      <c r="QHW41" s="38"/>
      <c r="QHX41" s="39"/>
      <c r="QHY41" s="38"/>
      <c r="QHZ41" s="38"/>
      <c r="QIA41" s="38"/>
      <c r="QIB41" s="40"/>
      <c r="QIC41" s="41"/>
      <c r="QID41" s="40"/>
      <c r="QIE41" s="38"/>
      <c r="QIF41" s="42"/>
      <c r="QIG41" s="42"/>
      <c r="QIH41" s="42"/>
      <c r="QII41" s="38"/>
      <c r="QIJ41" s="38"/>
      <c r="QIK41" s="38"/>
      <c r="QIL41" s="39"/>
      <c r="QIM41" s="38"/>
      <c r="QIN41" s="38"/>
      <c r="QIO41" s="38"/>
      <c r="QIP41" s="40"/>
      <c r="QIQ41" s="41"/>
      <c r="QIR41" s="40"/>
      <c r="QIS41" s="38"/>
      <c r="QIT41" s="42"/>
      <c r="QIU41" s="42"/>
      <c r="QIV41" s="42"/>
      <c r="QIW41" s="38"/>
      <c r="QIX41" s="38"/>
      <c r="QIY41" s="38"/>
      <c r="QIZ41" s="39"/>
      <c r="QJA41" s="38"/>
      <c r="QJB41" s="38"/>
      <c r="QJC41" s="38"/>
      <c r="QJD41" s="40"/>
      <c r="QJE41" s="41"/>
      <c r="QJF41" s="40"/>
      <c r="QJG41" s="38"/>
      <c r="QJH41" s="42"/>
      <c r="QJI41" s="42"/>
      <c r="QJJ41" s="42"/>
      <c r="QJK41" s="38"/>
      <c r="QJL41" s="38"/>
      <c r="QJM41" s="38"/>
      <c r="QJN41" s="39"/>
      <c r="QJO41" s="38"/>
      <c r="QJP41" s="38"/>
      <c r="QJQ41" s="38"/>
      <c r="QJR41" s="40"/>
      <c r="QJS41" s="41"/>
      <c r="QJT41" s="40"/>
      <c r="QJU41" s="38"/>
      <c r="QJV41" s="42"/>
      <c r="QJW41" s="42"/>
      <c r="QJX41" s="42"/>
      <c r="QJY41" s="38"/>
      <c r="QJZ41" s="38"/>
      <c r="QKA41" s="38"/>
      <c r="QKB41" s="39"/>
      <c r="QKC41" s="38"/>
      <c r="QKD41" s="38"/>
      <c r="QKE41" s="38"/>
      <c r="QKF41" s="40"/>
      <c r="QKG41" s="41"/>
      <c r="QKH41" s="40"/>
      <c r="QKI41" s="38"/>
      <c r="QKJ41" s="42"/>
      <c r="QKK41" s="42"/>
      <c r="QKL41" s="42"/>
      <c r="QKM41" s="38"/>
      <c r="QKN41" s="38"/>
      <c r="QKO41" s="38"/>
      <c r="QKP41" s="39"/>
      <c r="QKQ41" s="38"/>
      <c r="QKR41" s="38"/>
      <c r="QKS41" s="38"/>
      <c r="QKT41" s="40"/>
      <c r="QKU41" s="41"/>
      <c r="QKV41" s="40"/>
      <c r="QKW41" s="38"/>
      <c r="QKX41" s="42"/>
      <c r="QKY41" s="42"/>
      <c r="QKZ41" s="42"/>
      <c r="QLA41" s="38"/>
      <c r="QLB41" s="38"/>
      <c r="QLC41" s="38"/>
      <c r="QLD41" s="39"/>
      <c r="QLE41" s="38"/>
      <c r="QLF41" s="38"/>
      <c r="QLG41" s="38"/>
      <c r="QLH41" s="40"/>
      <c r="QLI41" s="41"/>
      <c r="QLJ41" s="40"/>
      <c r="QLK41" s="38"/>
      <c r="QLL41" s="42"/>
      <c r="QLM41" s="42"/>
      <c r="QLN41" s="42"/>
      <c r="QLO41" s="38"/>
      <c r="QLP41" s="38"/>
      <c r="QLQ41" s="38"/>
      <c r="QLR41" s="39"/>
      <c r="QLS41" s="38"/>
      <c r="QLT41" s="38"/>
      <c r="QLU41" s="38"/>
      <c r="QLV41" s="40"/>
      <c r="QLW41" s="41"/>
      <c r="QLX41" s="40"/>
      <c r="QLY41" s="38"/>
      <c r="QLZ41" s="42"/>
      <c r="QMA41" s="42"/>
      <c r="QMB41" s="42"/>
      <c r="QMC41" s="38"/>
      <c r="QMD41" s="38"/>
      <c r="QME41" s="38"/>
      <c r="QMF41" s="39"/>
      <c r="QMG41" s="38"/>
      <c r="QMH41" s="38"/>
      <c r="QMI41" s="38"/>
      <c r="QMJ41" s="40"/>
      <c r="QMK41" s="41"/>
      <c r="QML41" s="40"/>
      <c r="QMM41" s="38"/>
      <c r="QMN41" s="42"/>
      <c r="QMO41" s="42"/>
      <c r="QMP41" s="42"/>
      <c r="QMQ41" s="38"/>
      <c r="QMR41" s="38"/>
      <c r="QMS41" s="38"/>
      <c r="QMT41" s="39"/>
      <c r="QMU41" s="38"/>
      <c r="QMV41" s="38"/>
      <c r="QMW41" s="38"/>
      <c r="QMX41" s="40"/>
      <c r="QMY41" s="41"/>
      <c r="QMZ41" s="40"/>
      <c r="QNA41" s="38"/>
      <c r="QNB41" s="42"/>
      <c r="QNC41" s="42"/>
      <c r="QND41" s="42"/>
      <c r="QNE41" s="38"/>
      <c r="QNF41" s="38"/>
      <c r="QNG41" s="38"/>
      <c r="QNH41" s="39"/>
      <c r="QNI41" s="38"/>
      <c r="QNJ41" s="38"/>
      <c r="QNK41" s="38"/>
      <c r="QNL41" s="40"/>
      <c r="QNM41" s="41"/>
      <c r="QNN41" s="40"/>
      <c r="QNO41" s="38"/>
      <c r="QNP41" s="42"/>
      <c r="QNQ41" s="42"/>
      <c r="QNR41" s="42"/>
      <c r="QNS41" s="38"/>
      <c r="QNT41" s="38"/>
      <c r="QNU41" s="38"/>
      <c r="QNV41" s="39"/>
      <c r="QNW41" s="38"/>
      <c r="QNX41" s="38"/>
      <c r="QNY41" s="38"/>
      <c r="QNZ41" s="40"/>
      <c r="QOA41" s="41"/>
      <c r="QOB41" s="40"/>
      <c r="QOC41" s="38"/>
      <c r="QOD41" s="42"/>
      <c r="QOE41" s="42"/>
      <c r="QOF41" s="42"/>
      <c r="QOG41" s="38"/>
      <c r="QOH41" s="38"/>
      <c r="QOI41" s="38"/>
      <c r="QOJ41" s="39"/>
      <c r="QOK41" s="38"/>
      <c r="QOL41" s="38"/>
      <c r="QOM41" s="38"/>
      <c r="QON41" s="40"/>
      <c r="QOO41" s="41"/>
      <c r="QOP41" s="40"/>
      <c r="QOQ41" s="38"/>
      <c r="QOR41" s="42"/>
      <c r="QOS41" s="42"/>
      <c r="QOT41" s="42"/>
      <c r="QOU41" s="38"/>
      <c r="QOV41" s="38"/>
      <c r="QOW41" s="38"/>
      <c r="QOX41" s="39"/>
      <c r="QOY41" s="38"/>
      <c r="QOZ41" s="38"/>
      <c r="QPA41" s="38"/>
      <c r="QPB41" s="40"/>
      <c r="QPC41" s="41"/>
      <c r="QPD41" s="40"/>
      <c r="QPE41" s="38"/>
      <c r="QPF41" s="42"/>
      <c r="QPG41" s="42"/>
      <c r="QPH41" s="42"/>
      <c r="QPI41" s="38"/>
      <c r="QPJ41" s="38"/>
      <c r="QPK41" s="38"/>
      <c r="QPL41" s="39"/>
      <c r="QPM41" s="38"/>
      <c r="QPN41" s="38"/>
      <c r="QPO41" s="38"/>
      <c r="QPP41" s="40"/>
      <c r="QPQ41" s="41"/>
      <c r="QPR41" s="40"/>
      <c r="QPS41" s="38"/>
      <c r="QPT41" s="42"/>
      <c r="QPU41" s="42"/>
      <c r="QPV41" s="42"/>
      <c r="QPW41" s="38"/>
      <c r="QPX41" s="38"/>
      <c r="QPY41" s="38"/>
      <c r="QPZ41" s="39"/>
      <c r="QQA41" s="38"/>
      <c r="QQB41" s="38"/>
      <c r="QQC41" s="38"/>
      <c r="QQD41" s="40"/>
      <c r="QQE41" s="41"/>
      <c r="QQF41" s="40"/>
      <c r="QQG41" s="38"/>
      <c r="QQH41" s="42"/>
      <c r="QQI41" s="42"/>
      <c r="QQJ41" s="42"/>
      <c r="QQK41" s="38"/>
      <c r="QQL41" s="38"/>
      <c r="QQM41" s="38"/>
      <c r="QQN41" s="39"/>
      <c r="QQO41" s="38"/>
      <c r="QQP41" s="38"/>
      <c r="QQQ41" s="38"/>
      <c r="QQR41" s="40"/>
      <c r="QQS41" s="41"/>
      <c r="QQT41" s="40"/>
      <c r="QQU41" s="38"/>
      <c r="QQV41" s="42"/>
      <c r="QQW41" s="42"/>
      <c r="QQX41" s="42"/>
      <c r="QQY41" s="38"/>
      <c r="QQZ41" s="38"/>
      <c r="QRA41" s="38"/>
      <c r="QRB41" s="39"/>
      <c r="QRC41" s="38"/>
      <c r="QRD41" s="38"/>
      <c r="QRE41" s="38"/>
      <c r="QRF41" s="40"/>
      <c r="QRG41" s="41"/>
      <c r="QRH41" s="40"/>
      <c r="QRI41" s="38"/>
      <c r="QRJ41" s="42"/>
      <c r="QRK41" s="42"/>
      <c r="QRL41" s="42"/>
      <c r="QRM41" s="38"/>
      <c r="QRN41" s="38"/>
      <c r="QRO41" s="38"/>
      <c r="QRP41" s="39"/>
      <c r="QRQ41" s="38"/>
      <c r="QRR41" s="38"/>
      <c r="QRS41" s="38"/>
      <c r="QRT41" s="40"/>
      <c r="QRU41" s="41"/>
      <c r="QRV41" s="40"/>
      <c r="QRW41" s="38"/>
      <c r="QRX41" s="42"/>
      <c r="QRY41" s="42"/>
      <c r="QRZ41" s="42"/>
      <c r="QSA41" s="38"/>
      <c r="QSB41" s="38"/>
      <c r="QSC41" s="38"/>
      <c r="QSD41" s="39"/>
      <c r="QSE41" s="38"/>
      <c r="QSF41" s="38"/>
      <c r="QSG41" s="38"/>
      <c r="QSH41" s="40"/>
      <c r="QSI41" s="41"/>
      <c r="QSJ41" s="40"/>
      <c r="QSK41" s="38"/>
      <c r="QSL41" s="42"/>
      <c r="QSM41" s="42"/>
      <c r="QSN41" s="42"/>
      <c r="QSO41" s="38"/>
      <c r="QSP41" s="38"/>
      <c r="QSQ41" s="38"/>
      <c r="QSR41" s="39"/>
      <c r="QSS41" s="38"/>
      <c r="QST41" s="38"/>
      <c r="QSU41" s="38"/>
      <c r="QSV41" s="40"/>
      <c r="QSW41" s="41"/>
      <c r="QSX41" s="40"/>
      <c r="QSY41" s="38"/>
      <c r="QSZ41" s="42"/>
      <c r="QTA41" s="42"/>
      <c r="QTB41" s="42"/>
      <c r="QTC41" s="38"/>
      <c r="QTD41" s="38"/>
      <c r="QTE41" s="38"/>
      <c r="QTF41" s="39"/>
      <c r="QTG41" s="38"/>
      <c r="QTH41" s="38"/>
      <c r="QTI41" s="38"/>
      <c r="QTJ41" s="40"/>
      <c r="QTK41" s="41"/>
      <c r="QTL41" s="40"/>
      <c r="QTM41" s="38"/>
      <c r="QTN41" s="42"/>
      <c r="QTO41" s="42"/>
      <c r="QTP41" s="42"/>
      <c r="QTQ41" s="38"/>
      <c r="QTR41" s="38"/>
      <c r="QTS41" s="38"/>
      <c r="QTT41" s="39"/>
      <c r="QTU41" s="38"/>
      <c r="QTV41" s="38"/>
      <c r="QTW41" s="38"/>
      <c r="QTX41" s="40"/>
      <c r="QTY41" s="41"/>
      <c r="QTZ41" s="40"/>
      <c r="QUA41" s="38"/>
      <c r="QUB41" s="42"/>
      <c r="QUC41" s="42"/>
      <c r="QUD41" s="42"/>
      <c r="QUE41" s="38"/>
      <c r="QUF41" s="38"/>
      <c r="QUG41" s="38"/>
      <c r="QUH41" s="39"/>
      <c r="QUI41" s="38"/>
      <c r="QUJ41" s="38"/>
      <c r="QUK41" s="38"/>
      <c r="QUL41" s="40"/>
      <c r="QUM41" s="41"/>
      <c r="QUN41" s="40"/>
      <c r="QUO41" s="38"/>
      <c r="QUP41" s="42"/>
      <c r="QUQ41" s="42"/>
      <c r="QUR41" s="42"/>
      <c r="QUS41" s="38"/>
      <c r="QUT41" s="38"/>
      <c r="QUU41" s="38"/>
      <c r="QUV41" s="39"/>
      <c r="QUW41" s="38"/>
      <c r="QUX41" s="38"/>
      <c r="QUY41" s="38"/>
      <c r="QUZ41" s="40"/>
      <c r="QVA41" s="41"/>
      <c r="QVB41" s="40"/>
      <c r="QVC41" s="38"/>
      <c r="QVD41" s="42"/>
      <c r="QVE41" s="42"/>
      <c r="QVF41" s="42"/>
      <c r="QVG41" s="38"/>
      <c r="QVH41" s="38"/>
      <c r="QVI41" s="38"/>
      <c r="QVJ41" s="39"/>
      <c r="QVK41" s="38"/>
      <c r="QVL41" s="38"/>
      <c r="QVM41" s="38"/>
      <c r="QVN41" s="40"/>
      <c r="QVO41" s="41"/>
      <c r="QVP41" s="40"/>
      <c r="QVQ41" s="38"/>
      <c r="QVR41" s="42"/>
      <c r="QVS41" s="42"/>
      <c r="QVT41" s="42"/>
      <c r="QVU41" s="38"/>
      <c r="QVV41" s="38"/>
      <c r="QVW41" s="38"/>
      <c r="QVX41" s="39"/>
      <c r="QVY41" s="38"/>
      <c r="QVZ41" s="38"/>
      <c r="QWA41" s="38"/>
      <c r="QWB41" s="40"/>
      <c r="QWC41" s="41"/>
      <c r="QWD41" s="40"/>
      <c r="QWE41" s="38"/>
      <c r="QWF41" s="42"/>
      <c r="QWG41" s="42"/>
      <c r="QWH41" s="42"/>
      <c r="QWI41" s="38"/>
      <c r="QWJ41" s="38"/>
      <c r="QWK41" s="38"/>
      <c r="QWL41" s="39"/>
      <c r="QWM41" s="38"/>
      <c r="QWN41" s="38"/>
      <c r="QWO41" s="38"/>
      <c r="QWP41" s="40"/>
      <c r="QWQ41" s="41"/>
      <c r="QWR41" s="40"/>
      <c r="QWS41" s="38"/>
      <c r="QWT41" s="42"/>
      <c r="QWU41" s="42"/>
      <c r="QWV41" s="42"/>
      <c r="QWW41" s="38"/>
      <c r="QWX41" s="38"/>
      <c r="QWY41" s="38"/>
      <c r="QWZ41" s="39"/>
      <c r="QXA41" s="38"/>
      <c r="QXB41" s="38"/>
      <c r="QXC41" s="38"/>
      <c r="QXD41" s="40"/>
      <c r="QXE41" s="41"/>
      <c r="QXF41" s="40"/>
      <c r="QXG41" s="38"/>
      <c r="QXH41" s="42"/>
      <c r="QXI41" s="42"/>
      <c r="QXJ41" s="42"/>
      <c r="QXK41" s="38"/>
      <c r="QXL41" s="38"/>
      <c r="QXM41" s="38"/>
      <c r="QXN41" s="39"/>
      <c r="QXO41" s="38"/>
      <c r="QXP41" s="38"/>
      <c r="QXQ41" s="38"/>
      <c r="QXR41" s="40"/>
      <c r="QXS41" s="41"/>
      <c r="QXT41" s="40"/>
      <c r="QXU41" s="38"/>
      <c r="QXV41" s="42"/>
      <c r="QXW41" s="42"/>
      <c r="QXX41" s="42"/>
      <c r="QXY41" s="38"/>
      <c r="QXZ41" s="38"/>
      <c r="QYA41" s="38"/>
      <c r="QYB41" s="39"/>
      <c r="QYC41" s="38"/>
      <c r="QYD41" s="38"/>
      <c r="QYE41" s="38"/>
      <c r="QYF41" s="40"/>
      <c r="QYG41" s="41"/>
      <c r="QYH41" s="40"/>
      <c r="QYI41" s="38"/>
      <c r="QYJ41" s="42"/>
      <c r="QYK41" s="42"/>
      <c r="QYL41" s="42"/>
      <c r="QYM41" s="38"/>
      <c r="QYN41" s="38"/>
      <c r="QYO41" s="38"/>
      <c r="QYP41" s="39"/>
      <c r="QYQ41" s="38"/>
      <c r="QYR41" s="38"/>
      <c r="QYS41" s="38"/>
      <c r="QYT41" s="40"/>
      <c r="QYU41" s="41"/>
      <c r="QYV41" s="40"/>
      <c r="QYW41" s="38"/>
      <c r="QYX41" s="42"/>
      <c r="QYY41" s="42"/>
      <c r="QYZ41" s="42"/>
      <c r="QZA41" s="38"/>
      <c r="QZB41" s="38"/>
      <c r="QZC41" s="38"/>
      <c r="QZD41" s="39"/>
      <c r="QZE41" s="38"/>
      <c r="QZF41" s="38"/>
      <c r="QZG41" s="38"/>
      <c r="QZH41" s="40"/>
      <c r="QZI41" s="41"/>
      <c r="QZJ41" s="40"/>
      <c r="QZK41" s="38"/>
      <c r="QZL41" s="42"/>
      <c r="QZM41" s="42"/>
      <c r="QZN41" s="42"/>
      <c r="QZO41" s="38"/>
      <c r="QZP41" s="38"/>
      <c r="QZQ41" s="38"/>
      <c r="QZR41" s="39"/>
      <c r="QZS41" s="38"/>
      <c r="QZT41" s="38"/>
      <c r="QZU41" s="38"/>
      <c r="QZV41" s="40"/>
      <c r="QZW41" s="41"/>
      <c r="QZX41" s="40"/>
      <c r="QZY41" s="38"/>
      <c r="QZZ41" s="42"/>
      <c r="RAA41" s="42"/>
      <c r="RAB41" s="42"/>
      <c r="RAC41" s="38"/>
      <c r="RAD41" s="38"/>
      <c r="RAE41" s="38"/>
      <c r="RAF41" s="39"/>
      <c r="RAG41" s="38"/>
      <c r="RAH41" s="38"/>
      <c r="RAI41" s="38"/>
      <c r="RAJ41" s="40"/>
      <c r="RAK41" s="41"/>
      <c r="RAL41" s="40"/>
      <c r="RAM41" s="38"/>
      <c r="RAN41" s="42"/>
      <c r="RAO41" s="42"/>
      <c r="RAP41" s="42"/>
      <c r="RAQ41" s="38"/>
      <c r="RAR41" s="38"/>
      <c r="RAS41" s="38"/>
      <c r="RAT41" s="39"/>
      <c r="RAU41" s="38"/>
      <c r="RAV41" s="38"/>
      <c r="RAW41" s="38"/>
      <c r="RAX41" s="40"/>
      <c r="RAY41" s="41"/>
      <c r="RAZ41" s="40"/>
      <c r="RBA41" s="38"/>
      <c r="RBB41" s="42"/>
      <c r="RBC41" s="42"/>
      <c r="RBD41" s="42"/>
      <c r="RBE41" s="38"/>
      <c r="RBF41" s="38"/>
      <c r="RBG41" s="38"/>
      <c r="RBH41" s="39"/>
      <c r="RBI41" s="38"/>
      <c r="RBJ41" s="38"/>
      <c r="RBK41" s="38"/>
      <c r="RBL41" s="40"/>
      <c r="RBM41" s="41"/>
      <c r="RBN41" s="40"/>
      <c r="RBO41" s="38"/>
      <c r="RBP41" s="42"/>
      <c r="RBQ41" s="42"/>
      <c r="RBR41" s="42"/>
      <c r="RBS41" s="38"/>
      <c r="RBT41" s="38"/>
      <c r="RBU41" s="38"/>
      <c r="RBV41" s="39"/>
      <c r="RBW41" s="38"/>
      <c r="RBX41" s="38"/>
      <c r="RBY41" s="38"/>
      <c r="RBZ41" s="40"/>
      <c r="RCA41" s="41"/>
      <c r="RCB41" s="40"/>
      <c r="RCC41" s="38"/>
      <c r="RCD41" s="42"/>
      <c r="RCE41" s="42"/>
      <c r="RCF41" s="42"/>
      <c r="RCG41" s="38"/>
      <c r="RCH41" s="38"/>
      <c r="RCI41" s="38"/>
      <c r="RCJ41" s="39"/>
      <c r="RCK41" s="38"/>
      <c r="RCL41" s="38"/>
      <c r="RCM41" s="38"/>
      <c r="RCN41" s="40"/>
      <c r="RCO41" s="41"/>
      <c r="RCP41" s="40"/>
      <c r="RCQ41" s="38"/>
      <c r="RCR41" s="42"/>
      <c r="RCS41" s="42"/>
      <c r="RCT41" s="42"/>
      <c r="RCU41" s="38"/>
      <c r="RCV41" s="38"/>
      <c r="RCW41" s="38"/>
      <c r="RCX41" s="39"/>
      <c r="RCY41" s="38"/>
      <c r="RCZ41" s="38"/>
      <c r="RDA41" s="38"/>
      <c r="RDB41" s="40"/>
      <c r="RDC41" s="41"/>
      <c r="RDD41" s="40"/>
      <c r="RDE41" s="38"/>
      <c r="RDF41" s="42"/>
      <c r="RDG41" s="42"/>
      <c r="RDH41" s="42"/>
      <c r="RDI41" s="38"/>
      <c r="RDJ41" s="38"/>
      <c r="RDK41" s="38"/>
      <c r="RDL41" s="39"/>
      <c r="RDM41" s="38"/>
      <c r="RDN41" s="38"/>
      <c r="RDO41" s="38"/>
      <c r="RDP41" s="40"/>
      <c r="RDQ41" s="41"/>
      <c r="RDR41" s="40"/>
      <c r="RDS41" s="38"/>
      <c r="RDT41" s="42"/>
      <c r="RDU41" s="42"/>
      <c r="RDV41" s="42"/>
      <c r="RDW41" s="38"/>
      <c r="RDX41" s="38"/>
      <c r="RDY41" s="38"/>
      <c r="RDZ41" s="39"/>
      <c r="REA41" s="38"/>
      <c r="REB41" s="38"/>
      <c r="REC41" s="38"/>
      <c r="RED41" s="40"/>
      <c r="REE41" s="41"/>
      <c r="REF41" s="40"/>
      <c r="REG41" s="38"/>
      <c r="REH41" s="42"/>
      <c r="REI41" s="42"/>
      <c r="REJ41" s="42"/>
      <c r="REK41" s="38"/>
      <c r="REL41" s="38"/>
      <c r="REM41" s="38"/>
      <c r="REN41" s="39"/>
      <c r="REO41" s="38"/>
      <c r="REP41" s="38"/>
      <c r="REQ41" s="38"/>
      <c r="RER41" s="40"/>
      <c r="RES41" s="41"/>
      <c r="RET41" s="40"/>
      <c r="REU41" s="38"/>
      <c r="REV41" s="42"/>
      <c r="REW41" s="42"/>
      <c r="REX41" s="42"/>
      <c r="REY41" s="38"/>
      <c r="REZ41" s="38"/>
      <c r="RFA41" s="38"/>
      <c r="RFB41" s="39"/>
      <c r="RFC41" s="38"/>
      <c r="RFD41" s="38"/>
      <c r="RFE41" s="38"/>
      <c r="RFF41" s="40"/>
      <c r="RFG41" s="41"/>
      <c r="RFH41" s="40"/>
      <c r="RFI41" s="38"/>
      <c r="RFJ41" s="42"/>
      <c r="RFK41" s="42"/>
      <c r="RFL41" s="42"/>
      <c r="RFM41" s="38"/>
      <c r="RFN41" s="38"/>
      <c r="RFO41" s="38"/>
      <c r="RFP41" s="39"/>
      <c r="RFQ41" s="38"/>
      <c r="RFR41" s="38"/>
      <c r="RFS41" s="38"/>
      <c r="RFT41" s="40"/>
      <c r="RFU41" s="41"/>
      <c r="RFV41" s="40"/>
      <c r="RFW41" s="38"/>
      <c r="RFX41" s="42"/>
      <c r="RFY41" s="42"/>
      <c r="RFZ41" s="42"/>
      <c r="RGA41" s="38"/>
      <c r="RGB41" s="38"/>
      <c r="RGC41" s="38"/>
      <c r="RGD41" s="39"/>
      <c r="RGE41" s="38"/>
      <c r="RGF41" s="38"/>
      <c r="RGG41" s="38"/>
      <c r="RGH41" s="40"/>
      <c r="RGI41" s="41"/>
      <c r="RGJ41" s="40"/>
      <c r="RGK41" s="38"/>
      <c r="RGL41" s="42"/>
      <c r="RGM41" s="42"/>
      <c r="RGN41" s="42"/>
      <c r="RGO41" s="38"/>
      <c r="RGP41" s="38"/>
      <c r="RGQ41" s="38"/>
      <c r="RGR41" s="39"/>
      <c r="RGS41" s="38"/>
      <c r="RGT41" s="38"/>
      <c r="RGU41" s="38"/>
      <c r="RGV41" s="40"/>
      <c r="RGW41" s="41"/>
      <c r="RGX41" s="40"/>
      <c r="RGY41" s="38"/>
      <c r="RGZ41" s="42"/>
      <c r="RHA41" s="42"/>
      <c r="RHB41" s="42"/>
      <c r="RHC41" s="38"/>
      <c r="RHD41" s="38"/>
      <c r="RHE41" s="38"/>
      <c r="RHF41" s="39"/>
      <c r="RHG41" s="38"/>
      <c r="RHH41" s="38"/>
      <c r="RHI41" s="38"/>
      <c r="RHJ41" s="40"/>
      <c r="RHK41" s="41"/>
      <c r="RHL41" s="40"/>
      <c r="RHM41" s="38"/>
      <c r="RHN41" s="42"/>
      <c r="RHO41" s="42"/>
      <c r="RHP41" s="42"/>
      <c r="RHQ41" s="38"/>
      <c r="RHR41" s="38"/>
      <c r="RHS41" s="38"/>
      <c r="RHT41" s="39"/>
      <c r="RHU41" s="38"/>
      <c r="RHV41" s="38"/>
      <c r="RHW41" s="38"/>
      <c r="RHX41" s="40"/>
      <c r="RHY41" s="41"/>
      <c r="RHZ41" s="40"/>
      <c r="RIA41" s="38"/>
      <c r="RIB41" s="42"/>
      <c r="RIC41" s="42"/>
      <c r="RID41" s="42"/>
      <c r="RIE41" s="38"/>
      <c r="RIF41" s="38"/>
      <c r="RIG41" s="38"/>
      <c r="RIH41" s="39"/>
      <c r="RII41" s="38"/>
      <c r="RIJ41" s="38"/>
      <c r="RIK41" s="38"/>
      <c r="RIL41" s="40"/>
      <c r="RIM41" s="41"/>
      <c r="RIN41" s="40"/>
      <c r="RIO41" s="38"/>
      <c r="RIP41" s="42"/>
      <c r="RIQ41" s="42"/>
      <c r="RIR41" s="42"/>
      <c r="RIS41" s="38"/>
      <c r="RIT41" s="38"/>
      <c r="RIU41" s="38"/>
      <c r="RIV41" s="39"/>
      <c r="RIW41" s="38"/>
      <c r="RIX41" s="38"/>
      <c r="RIY41" s="38"/>
      <c r="RIZ41" s="40"/>
      <c r="RJA41" s="41"/>
      <c r="RJB41" s="40"/>
      <c r="RJC41" s="38"/>
      <c r="RJD41" s="42"/>
      <c r="RJE41" s="42"/>
      <c r="RJF41" s="42"/>
      <c r="RJG41" s="38"/>
      <c r="RJH41" s="38"/>
      <c r="RJI41" s="38"/>
      <c r="RJJ41" s="39"/>
      <c r="RJK41" s="38"/>
      <c r="RJL41" s="38"/>
      <c r="RJM41" s="38"/>
      <c r="RJN41" s="40"/>
      <c r="RJO41" s="41"/>
      <c r="RJP41" s="40"/>
      <c r="RJQ41" s="38"/>
      <c r="RJR41" s="42"/>
      <c r="RJS41" s="42"/>
      <c r="RJT41" s="42"/>
      <c r="RJU41" s="38"/>
      <c r="RJV41" s="38"/>
      <c r="RJW41" s="38"/>
      <c r="RJX41" s="39"/>
      <c r="RJY41" s="38"/>
      <c r="RJZ41" s="38"/>
      <c r="RKA41" s="38"/>
      <c r="RKB41" s="40"/>
      <c r="RKC41" s="41"/>
      <c r="RKD41" s="40"/>
      <c r="RKE41" s="38"/>
      <c r="RKF41" s="42"/>
      <c r="RKG41" s="42"/>
      <c r="RKH41" s="42"/>
      <c r="RKI41" s="38"/>
      <c r="RKJ41" s="38"/>
      <c r="RKK41" s="38"/>
      <c r="RKL41" s="39"/>
      <c r="RKM41" s="38"/>
      <c r="RKN41" s="38"/>
      <c r="RKO41" s="38"/>
      <c r="RKP41" s="40"/>
      <c r="RKQ41" s="41"/>
      <c r="RKR41" s="40"/>
      <c r="RKS41" s="38"/>
      <c r="RKT41" s="42"/>
      <c r="RKU41" s="42"/>
      <c r="RKV41" s="42"/>
      <c r="RKW41" s="38"/>
      <c r="RKX41" s="38"/>
      <c r="RKY41" s="38"/>
      <c r="RKZ41" s="39"/>
      <c r="RLA41" s="38"/>
      <c r="RLB41" s="38"/>
      <c r="RLC41" s="38"/>
      <c r="RLD41" s="40"/>
      <c r="RLE41" s="41"/>
      <c r="RLF41" s="40"/>
      <c r="RLG41" s="38"/>
      <c r="RLH41" s="42"/>
      <c r="RLI41" s="42"/>
      <c r="RLJ41" s="42"/>
      <c r="RLK41" s="38"/>
      <c r="RLL41" s="38"/>
      <c r="RLM41" s="38"/>
      <c r="RLN41" s="39"/>
      <c r="RLO41" s="38"/>
      <c r="RLP41" s="38"/>
      <c r="RLQ41" s="38"/>
      <c r="RLR41" s="40"/>
      <c r="RLS41" s="41"/>
      <c r="RLT41" s="40"/>
      <c r="RLU41" s="38"/>
      <c r="RLV41" s="42"/>
      <c r="RLW41" s="42"/>
      <c r="RLX41" s="42"/>
      <c r="RLY41" s="38"/>
      <c r="RLZ41" s="38"/>
      <c r="RMA41" s="38"/>
      <c r="RMB41" s="39"/>
      <c r="RMC41" s="38"/>
      <c r="RMD41" s="38"/>
      <c r="RME41" s="38"/>
      <c r="RMF41" s="40"/>
      <c r="RMG41" s="41"/>
      <c r="RMH41" s="40"/>
      <c r="RMI41" s="38"/>
      <c r="RMJ41" s="42"/>
      <c r="RMK41" s="42"/>
      <c r="RML41" s="42"/>
      <c r="RMM41" s="38"/>
      <c r="RMN41" s="38"/>
      <c r="RMO41" s="38"/>
      <c r="RMP41" s="39"/>
      <c r="RMQ41" s="38"/>
      <c r="RMR41" s="38"/>
      <c r="RMS41" s="38"/>
      <c r="RMT41" s="40"/>
      <c r="RMU41" s="41"/>
      <c r="RMV41" s="40"/>
      <c r="RMW41" s="38"/>
      <c r="RMX41" s="42"/>
      <c r="RMY41" s="42"/>
      <c r="RMZ41" s="42"/>
      <c r="RNA41" s="38"/>
      <c r="RNB41" s="38"/>
      <c r="RNC41" s="38"/>
      <c r="RND41" s="39"/>
      <c r="RNE41" s="38"/>
      <c r="RNF41" s="38"/>
      <c r="RNG41" s="38"/>
      <c r="RNH41" s="40"/>
      <c r="RNI41" s="41"/>
      <c r="RNJ41" s="40"/>
      <c r="RNK41" s="38"/>
      <c r="RNL41" s="42"/>
      <c r="RNM41" s="42"/>
      <c r="RNN41" s="42"/>
      <c r="RNO41" s="38"/>
      <c r="RNP41" s="38"/>
      <c r="RNQ41" s="38"/>
      <c r="RNR41" s="39"/>
      <c r="RNS41" s="38"/>
      <c r="RNT41" s="38"/>
      <c r="RNU41" s="38"/>
      <c r="RNV41" s="40"/>
      <c r="RNW41" s="41"/>
      <c r="RNX41" s="40"/>
      <c r="RNY41" s="38"/>
      <c r="RNZ41" s="42"/>
      <c r="ROA41" s="42"/>
      <c r="ROB41" s="42"/>
      <c r="ROC41" s="38"/>
      <c r="ROD41" s="38"/>
      <c r="ROE41" s="38"/>
      <c r="ROF41" s="39"/>
      <c r="ROG41" s="38"/>
      <c r="ROH41" s="38"/>
      <c r="ROI41" s="38"/>
      <c r="ROJ41" s="40"/>
      <c r="ROK41" s="41"/>
      <c r="ROL41" s="40"/>
      <c r="ROM41" s="38"/>
      <c r="RON41" s="42"/>
      <c r="ROO41" s="42"/>
      <c r="ROP41" s="42"/>
      <c r="ROQ41" s="38"/>
      <c r="ROR41" s="38"/>
      <c r="ROS41" s="38"/>
      <c r="ROT41" s="39"/>
      <c r="ROU41" s="38"/>
      <c r="ROV41" s="38"/>
      <c r="ROW41" s="38"/>
      <c r="ROX41" s="40"/>
      <c r="ROY41" s="41"/>
      <c r="ROZ41" s="40"/>
      <c r="RPA41" s="38"/>
      <c r="RPB41" s="42"/>
      <c r="RPC41" s="42"/>
      <c r="RPD41" s="42"/>
      <c r="RPE41" s="38"/>
      <c r="RPF41" s="38"/>
      <c r="RPG41" s="38"/>
      <c r="RPH41" s="39"/>
      <c r="RPI41" s="38"/>
      <c r="RPJ41" s="38"/>
      <c r="RPK41" s="38"/>
      <c r="RPL41" s="40"/>
      <c r="RPM41" s="41"/>
      <c r="RPN41" s="40"/>
      <c r="RPO41" s="38"/>
      <c r="RPP41" s="42"/>
      <c r="RPQ41" s="42"/>
      <c r="RPR41" s="42"/>
      <c r="RPS41" s="38"/>
      <c r="RPT41" s="38"/>
      <c r="RPU41" s="38"/>
      <c r="RPV41" s="39"/>
      <c r="RPW41" s="38"/>
      <c r="RPX41" s="38"/>
      <c r="RPY41" s="38"/>
      <c r="RPZ41" s="40"/>
      <c r="RQA41" s="41"/>
      <c r="RQB41" s="40"/>
      <c r="RQC41" s="38"/>
      <c r="RQD41" s="42"/>
      <c r="RQE41" s="42"/>
      <c r="RQF41" s="42"/>
      <c r="RQG41" s="38"/>
      <c r="RQH41" s="38"/>
      <c r="RQI41" s="38"/>
      <c r="RQJ41" s="39"/>
      <c r="RQK41" s="38"/>
      <c r="RQL41" s="38"/>
      <c r="RQM41" s="38"/>
      <c r="RQN41" s="40"/>
      <c r="RQO41" s="41"/>
      <c r="RQP41" s="40"/>
      <c r="RQQ41" s="38"/>
      <c r="RQR41" s="42"/>
      <c r="RQS41" s="42"/>
      <c r="RQT41" s="42"/>
      <c r="RQU41" s="38"/>
      <c r="RQV41" s="38"/>
      <c r="RQW41" s="38"/>
      <c r="RQX41" s="39"/>
      <c r="RQY41" s="38"/>
      <c r="RQZ41" s="38"/>
      <c r="RRA41" s="38"/>
      <c r="RRB41" s="40"/>
      <c r="RRC41" s="41"/>
      <c r="RRD41" s="40"/>
      <c r="RRE41" s="38"/>
      <c r="RRF41" s="42"/>
      <c r="RRG41" s="42"/>
      <c r="RRH41" s="42"/>
      <c r="RRI41" s="38"/>
      <c r="RRJ41" s="38"/>
      <c r="RRK41" s="38"/>
      <c r="RRL41" s="39"/>
      <c r="RRM41" s="38"/>
      <c r="RRN41" s="38"/>
      <c r="RRO41" s="38"/>
      <c r="RRP41" s="40"/>
      <c r="RRQ41" s="41"/>
      <c r="RRR41" s="40"/>
      <c r="RRS41" s="38"/>
      <c r="RRT41" s="42"/>
      <c r="RRU41" s="42"/>
      <c r="RRV41" s="42"/>
      <c r="RRW41" s="38"/>
      <c r="RRX41" s="38"/>
      <c r="RRY41" s="38"/>
      <c r="RRZ41" s="39"/>
      <c r="RSA41" s="38"/>
      <c r="RSB41" s="38"/>
      <c r="RSC41" s="38"/>
      <c r="RSD41" s="40"/>
      <c r="RSE41" s="41"/>
      <c r="RSF41" s="40"/>
      <c r="RSG41" s="38"/>
      <c r="RSH41" s="42"/>
      <c r="RSI41" s="42"/>
      <c r="RSJ41" s="42"/>
      <c r="RSK41" s="38"/>
      <c r="RSL41" s="38"/>
      <c r="RSM41" s="38"/>
      <c r="RSN41" s="39"/>
      <c r="RSO41" s="38"/>
      <c r="RSP41" s="38"/>
      <c r="RSQ41" s="38"/>
      <c r="RSR41" s="40"/>
      <c r="RSS41" s="41"/>
      <c r="RST41" s="40"/>
      <c r="RSU41" s="38"/>
      <c r="RSV41" s="42"/>
      <c r="RSW41" s="42"/>
      <c r="RSX41" s="42"/>
      <c r="RSY41" s="38"/>
      <c r="RSZ41" s="38"/>
      <c r="RTA41" s="38"/>
      <c r="RTB41" s="39"/>
      <c r="RTC41" s="38"/>
      <c r="RTD41" s="38"/>
      <c r="RTE41" s="38"/>
      <c r="RTF41" s="40"/>
      <c r="RTG41" s="41"/>
      <c r="RTH41" s="40"/>
      <c r="RTI41" s="38"/>
      <c r="RTJ41" s="42"/>
      <c r="RTK41" s="42"/>
      <c r="RTL41" s="42"/>
      <c r="RTM41" s="38"/>
      <c r="RTN41" s="38"/>
      <c r="RTO41" s="38"/>
      <c r="RTP41" s="39"/>
      <c r="RTQ41" s="38"/>
      <c r="RTR41" s="38"/>
      <c r="RTS41" s="38"/>
      <c r="RTT41" s="40"/>
      <c r="RTU41" s="41"/>
      <c r="RTV41" s="40"/>
      <c r="RTW41" s="38"/>
      <c r="RTX41" s="42"/>
      <c r="RTY41" s="42"/>
      <c r="RTZ41" s="42"/>
      <c r="RUA41" s="38"/>
      <c r="RUB41" s="38"/>
      <c r="RUC41" s="38"/>
      <c r="RUD41" s="39"/>
      <c r="RUE41" s="38"/>
      <c r="RUF41" s="38"/>
      <c r="RUG41" s="38"/>
      <c r="RUH41" s="40"/>
      <c r="RUI41" s="41"/>
      <c r="RUJ41" s="40"/>
      <c r="RUK41" s="38"/>
      <c r="RUL41" s="42"/>
      <c r="RUM41" s="42"/>
      <c r="RUN41" s="42"/>
      <c r="RUO41" s="38"/>
      <c r="RUP41" s="38"/>
      <c r="RUQ41" s="38"/>
      <c r="RUR41" s="39"/>
      <c r="RUS41" s="38"/>
      <c r="RUT41" s="38"/>
      <c r="RUU41" s="38"/>
      <c r="RUV41" s="40"/>
      <c r="RUW41" s="41"/>
      <c r="RUX41" s="40"/>
      <c r="RUY41" s="38"/>
      <c r="RUZ41" s="42"/>
      <c r="RVA41" s="42"/>
      <c r="RVB41" s="42"/>
      <c r="RVC41" s="38"/>
      <c r="RVD41" s="38"/>
      <c r="RVE41" s="38"/>
      <c r="RVF41" s="39"/>
      <c r="RVG41" s="38"/>
      <c r="RVH41" s="38"/>
      <c r="RVI41" s="38"/>
      <c r="RVJ41" s="40"/>
      <c r="RVK41" s="41"/>
      <c r="RVL41" s="40"/>
      <c r="RVM41" s="38"/>
      <c r="RVN41" s="42"/>
      <c r="RVO41" s="42"/>
      <c r="RVP41" s="42"/>
      <c r="RVQ41" s="38"/>
      <c r="RVR41" s="38"/>
      <c r="RVS41" s="38"/>
      <c r="RVT41" s="39"/>
      <c r="RVU41" s="38"/>
      <c r="RVV41" s="38"/>
      <c r="RVW41" s="38"/>
      <c r="RVX41" s="40"/>
      <c r="RVY41" s="41"/>
      <c r="RVZ41" s="40"/>
      <c r="RWA41" s="38"/>
      <c r="RWB41" s="42"/>
      <c r="RWC41" s="42"/>
      <c r="RWD41" s="42"/>
      <c r="RWE41" s="38"/>
      <c r="RWF41" s="38"/>
      <c r="RWG41" s="38"/>
      <c r="RWH41" s="39"/>
      <c r="RWI41" s="38"/>
      <c r="RWJ41" s="38"/>
      <c r="RWK41" s="38"/>
      <c r="RWL41" s="40"/>
      <c r="RWM41" s="41"/>
      <c r="RWN41" s="40"/>
      <c r="RWO41" s="38"/>
      <c r="RWP41" s="42"/>
      <c r="RWQ41" s="42"/>
      <c r="RWR41" s="42"/>
      <c r="RWS41" s="38"/>
      <c r="RWT41" s="38"/>
      <c r="RWU41" s="38"/>
      <c r="RWV41" s="39"/>
      <c r="RWW41" s="38"/>
      <c r="RWX41" s="38"/>
      <c r="RWY41" s="38"/>
      <c r="RWZ41" s="40"/>
      <c r="RXA41" s="41"/>
      <c r="RXB41" s="40"/>
      <c r="RXC41" s="38"/>
      <c r="RXD41" s="42"/>
      <c r="RXE41" s="42"/>
      <c r="RXF41" s="42"/>
      <c r="RXG41" s="38"/>
      <c r="RXH41" s="38"/>
      <c r="RXI41" s="38"/>
      <c r="RXJ41" s="39"/>
      <c r="RXK41" s="38"/>
      <c r="RXL41" s="38"/>
      <c r="RXM41" s="38"/>
      <c r="RXN41" s="40"/>
      <c r="RXO41" s="41"/>
      <c r="RXP41" s="40"/>
      <c r="RXQ41" s="38"/>
      <c r="RXR41" s="42"/>
      <c r="RXS41" s="42"/>
      <c r="RXT41" s="42"/>
      <c r="RXU41" s="38"/>
      <c r="RXV41" s="38"/>
      <c r="RXW41" s="38"/>
      <c r="RXX41" s="39"/>
      <c r="RXY41" s="38"/>
      <c r="RXZ41" s="38"/>
      <c r="RYA41" s="38"/>
      <c r="RYB41" s="40"/>
      <c r="RYC41" s="41"/>
      <c r="RYD41" s="40"/>
      <c r="RYE41" s="38"/>
      <c r="RYF41" s="42"/>
      <c r="RYG41" s="42"/>
      <c r="RYH41" s="42"/>
      <c r="RYI41" s="38"/>
      <c r="RYJ41" s="38"/>
      <c r="RYK41" s="38"/>
      <c r="RYL41" s="39"/>
      <c r="RYM41" s="38"/>
      <c r="RYN41" s="38"/>
      <c r="RYO41" s="38"/>
      <c r="RYP41" s="40"/>
      <c r="RYQ41" s="41"/>
      <c r="RYR41" s="40"/>
      <c r="RYS41" s="38"/>
      <c r="RYT41" s="42"/>
      <c r="RYU41" s="42"/>
      <c r="RYV41" s="42"/>
      <c r="RYW41" s="38"/>
      <c r="RYX41" s="38"/>
      <c r="RYY41" s="38"/>
      <c r="RYZ41" s="39"/>
      <c r="RZA41" s="38"/>
      <c r="RZB41" s="38"/>
      <c r="RZC41" s="38"/>
      <c r="RZD41" s="40"/>
      <c r="RZE41" s="41"/>
      <c r="RZF41" s="40"/>
      <c r="RZG41" s="38"/>
      <c r="RZH41" s="42"/>
      <c r="RZI41" s="42"/>
      <c r="RZJ41" s="42"/>
      <c r="RZK41" s="38"/>
      <c r="RZL41" s="38"/>
      <c r="RZM41" s="38"/>
      <c r="RZN41" s="39"/>
      <c r="RZO41" s="38"/>
      <c r="RZP41" s="38"/>
      <c r="RZQ41" s="38"/>
      <c r="RZR41" s="40"/>
      <c r="RZS41" s="41"/>
      <c r="RZT41" s="40"/>
      <c r="RZU41" s="38"/>
      <c r="RZV41" s="42"/>
      <c r="RZW41" s="42"/>
      <c r="RZX41" s="42"/>
      <c r="RZY41" s="38"/>
      <c r="RZZ41" s="38"/>
      <c r="SAA41" s="38"/>
      <c r="SAB41" s="39"/>
      <c r="SAC41" s="38"/>
      <c r="SAD41" s="38"/>
      <c r="SAE41" s="38"/>
      <c r="SAF41" s="40"/>
      <c r="SAG41" s="41"/>
      <c r="SAH41" s="40"/>
      <c r="SAI41" s="38"/>
      <c r="SAJ41" s="42"/>
      <c r="SAK41" s="42"/>
      <c r="SAL41" s="42"/>
      <c r="SAM41" s="38"/>
      <c r="SAN41" s="38"/>
      <c r="SAO41" s="38"/>
      <c r="SAP41" s="39"/>
      <c r="SAQ41" s="38"/>
      <c r="SAR41" s="38"/>
      <c r="SAS41" s="38"/>
      <c r="SAT41" s="40"/>
      <c r="SAU41" s="41"/>
      <c r="SAV41" s="40"/>
      <c r="SAW41" s="38"/>
      <c r="SAX41" s="42"/>
      <c r="SAY41" s="42"/>
      <c r="SAZ41" s="42"/>
      <c r="SBA41" s="38"/>
      <c r="SBB41" s="38"/>
      <c r="SBC41" s="38"/>
      <c r="SBD41" s="39"/>
      <c r="SBE41" s="38"/>
      <c r="SBF41" s="38"/>
      <c r="SBG41" s="38"/>
      <c r="SBH41" s="40"/>
      <c r="SBI41" s="41"/>
      <c r="SBJ41" s="40"/>
      <c r="SBK41" s="38"/>
      <c r="SBL41" s="42"/>
      <c r="SBM41" s="42"/>
      <c r="SBN41" s="42"/>
      <c r="SBO41" s="38"/>
      <c r="SBP41" s="38"/>
      <c r="SBQ41" s="38"/>
      <c r="SBR41" s="39"/>
      <c r="SBS41" s="38"/>
      <c r="SBT41" s="38"/>
      <c r="SBU41" s="38"/>
      <c r="SBV41" s="40"/>
      <c r="SBW41" s="41"/>
      <c r="SBX41" s="40"/>
      <c r="SBY41" s="38"/>
      <c r="SBZ41" s="42"/>
      <c r="SCA41" s="42"/>
      <c r="SCB41" s="42"/>
      <c r="SCC41" s="38"/>
      <c r="SCD41" s="38"/>
      <c r="SCE41" s="38"/>
      <c r="SCF41" s="39"/>
      <c r="SCG41" s="38"/>
      <c r="SCH41" s="38"/>
      <c r="SCI41" s="38"/>
      <c r="SCJ41" s="40"/>
      <c r="SCK41" s="41"/>
      <c r="SCL41" s="40"/>
      <c r="SCM41" s="38"/>
      <c r="SCN41" s="42"/>
      <c r="SCO41" s="42"/>
      <c r="SCP41" s="42"/>
      <c r="SCQ41" s="38"/>
      <c r="SCR41" s="38"/>
      <c r="SCS41" s="38"/>
      <c r="SCT41" s="39"/>
      <c r="SCU41" s="38"/>
      <c r="SCV41" s="38"/>
      <c r="SCW41" s="38"/>
      <c r="SCX41" s="40"/>
      <c r="SCY41" s="41"/>
      <c r="SCZ41" s="40"/>
      <c r="SDA41" s="38"/>
      <c r="SDB41" s="42"/>
      <c r="SDC41" s="42"/>
      <c r="SDD41" s="42"/>
      <c r="SDE41" s="38"/>
      <c r="SDF41" s="38"/>
      <c r="SDG41" s="38"/>
      <c r="SDH41" s="39"/>
      <c r="SDI41" s="38"/>
      <c r="SDJ41" s="38"/>
      <c r="SDK41" s="38"/>
      <c r="SDL41" s="40"/>
      <c r="SDM41" s="41"/>
      <c r="SDN41" s="40"/>
      <c r="SDO41" s="38"/>
      <c r="SDP41" s="42"/>
      <c r="SDQ41" s="42"/>
      <c r="SDR41" s="42"/>
      <c r="SDS41" s="38"/>
      <c r="SDT41" s="38"/>
      <c r="SDU41" s="38"/>
      <c r="SDV41" s="39"/>
      <c r="SDW41" s="38"/>
      <c r="SDX41" s="38"/>
      <c r="SDY41" s="38"/>
      <c r="SDZ41" s="40"/>
      <c r="SEA41" s="41"/>
      <c r="SEB41" s="40"/>
      <c r="SEC41" s="38"/>
      <c r="SED41" s="42"/>
      <c r="SEE41" s="42"/>
      <c r="SEF41" s="42"/>
      <c r="SEG41" s="38"/>
      <c r="SEH41" s="38"/>
      <c r="SEI41" s="38"/>
      <c r="SEJ41" s="39"/>
      <c r="SEK41" s="38"/>
      <c r="SEL41" s="38"/>
      <c r="SEM41" s="38"/>
      <c r="SEN41" s="40"/>
      <c r="SEO41" s="41"/>
      <c r="SEP41" s="40"/>
      <c r="SEQ41" s="38"/>
      <c r="SER41" s="42"/>
      <c r="SES41" s="42"/>
      <c r="SET41" s="42"/>
      <c r="SEU41" s="38"/>
      <c r="SEV41" s="38"/>
      <c r="SEW41" s="38"/>
      <c r="SEX41" s="39"/>
      <c r="SEY41" s="38"/>
      <c r="SEZ41" s="38"/>
      <c r="SFA41" s="38"/>
      <c r="SFB41" s="40"/>
      <c r="SFC41" s="41"/>
      <c r="SFD41" s="40"/>
      <c r="SFE41" s="38"/>
      <c r="SFF41" s="42"/>
      <c r="SFG41" s="42"/>
      <c r="SFH41" s="42"/>
      <c r="SFI41" s="38"/>
      <c r="SFJ41" s="38"/>
      <c r="SFK41" s="38"/>
      <c r="SFL41" s="39"/>
      <c r="SFM41" s="38"/>
      <c r="SFN41" s="38"/>
      <c r="SFO41" s="38"/>
      <c r="SFP41" s="40"/>
      <c r="SFQ41" s="41"/>
      <c r="SFR41" s="40"/>
      <c r="SFS41" s="38"/>
      <c r="SFT41" s="42"/>
      <c r="SFU41" s="42"/>
      <c r="SFV41" s="42"/>
      <c r="SFW41" s="38"/>
      <c r="SFX41" s="38"/>
      <c r="SFY41" s="38"/>
      <c r="SFZ41" s="39"/>
      <c r="SGA41" s="38"/>
      <c r="SGB41" s="38"/>
      <c r="SGC41" s="38"/>
      <c r="SGD41" s="40"/>
      <c r="SGE41" s="41"/>
      <c r="SGF41" s="40"/>
      <c r="SGG41" s="38"/>
      <c r="SGH41" s="42"/>
      <c r="SGI41" s="42"/>
      <c r="SGJ41" s="42"/>
      <c r="SGK41" s="38"/>
      <c r="SGL41" s="38"/>
      <c r="SGM41" s="38"/>
      <c r="SGN41" s="39"/>
      <c r="SGO41" s="38"/>
      <c r="SGP41" s="38"/>
      <c r="SGQ41" s="38"/>
      <c r="SGR41" s="40"/>
      <c r="SGS41" s="41"/>
      <c r="SGT41" s="40"/>
      <c r="SGU41" s="38"/>
      <c r="SGV41" s="42"/>
      <c r="SGW41" s="42"/>
      <c r="SGX41" s="42"/>
      <c r="SGY41" s="38"/>
      <c r="SGZ41" s="38"/>
      <c r="SHA41" s="38"/>
      <c r="SHB41" s="39"/>
      <c r="SHC41" s="38"/>
      <c r="SHD41" s="38"/>
      <c r="SHE41" s="38"/>
      <c r="SHF41" s="40"/>
      <c r="SHG41" s="41"/>
      <c r="SHH41" s="40"/>
      <c r="SHI41" s="38"/>
      <c r="SHJ41" s="42"/>
      <c r="SHK41" s="42"/>
      <c r="SHL41" s="42"/>
      <c r="SHM41" s="38"/>
      <c r="SHN41" s="38"/>
      <c r="SHO41" s="38"/>
      <c r="SHP41" s="39"/>
      <c r="SHQ41" s="38"/>
      <c r="SHR41" s="38"/>
      <c r="SHS41" s="38"/>
      <c r="SHT41" s="40"/>
      <c r="SHU41" s="41"/>
      <c r="SHV41" s="40"/>
      <c r="SHW41" s="38"/>
      <c r="SHX41" s="42"/>
      <c r="SHY41" s="42"/>
      <c r="SHZ41" s="42"/>
      <c r="SIA41" s="38"/>
      <c r="SIB41" s="38"/>
      <c r="SIC41" s="38"/>
      <c r="SID41" s="39"/>
      <c r="SIE41" s="38"/>
      <c r="SIF41" s="38"/>
      <c r="SIG41" s="38"/>
      <c r="SIH41" s="40"/>
      <c r="SII41" s="41"/>
      <c r="SIJ41" s="40"/>
      <c r="SIK41" s="38"/>
      <c r="SIL41" s="42"/>
      <c r="SIM41" s="42"/>
      <c r="SIN41" s="42"/>
      <c r="SIO41" s="38"/>
      <c r="SIP41" s="38"/>
      <c r="SIQ41" s="38"/>
      <c r="SIR41" s="39"/>
      <c r="SIS41" s="38"/>
      <c r="SIT41" s="38"/>
      <c r="SIU41" s="38"/>
      <c r="SIV41" s="40"/>
      <c r="SIW41" s="41"/>
      <c r="SIX41" s="40"/>
      <c r="SIY41" s="38"/>
      <c r="SIZ41" s="42"/>
      <c r="SJA41" s="42"/>
      <c r="SJB41" s="42"/>
      <c r="SJC41" s="38"/>
      <c r="SJD41" s="38"/>
      <c r="SJE41" s="38"/>
      <c r="SJF41" s="39"/>
      <c r="SJG41" s="38"/>
      <c r="SJH41" s="38"/>
      <c r="SJI41" s="38"/>
      <c r="SJJ41" s="40"/>
      <c r="SJK41" s="41"/>
      <c r="SJL41" s="40"/>
      <c r="SJM41" s="38"/>
      <c r="SJN41" s="42"/>
      <c r="SJO41" s="42"/>
      <c r="SJP41" s="42"/>
      <c r="SJQ41" s="38"/>
      <c r="SJR41" s="38"/>
      <c r="SJS41" s="38"/>
      <c r="SJT41" s="39"/>
      <c r="SJU41" s="38"/>
      <c r="SJV41" s="38"/>
      <c r="SJW41" s="38"/>
      <c r="SJX41" s="40"/>
      <c r="SJY41" s="41"/>
      <c r="SJZ41" s="40"/>
      <c r="SKA41" s="38"/>
      <c r="SKB41" s="42"/>
      <c r="SKC41" s="42"/>
      <c r="SKD41" s="42"/>
      <c r="SKE41" s="38"/>
      <c r="SKF41" s="38"/>
      <c r="SKG41" s="38"/>
      <c r="SKH41" s="39"/>
      <c r="SKI41" s="38"/>
      <c r="SKJ41" s="38"/>
      <c r="SKK41" s="38"/>
      <c r="SKL41" s="40"/>
      <c r="SKM41" s="41"/>
      <c r="SKN41" s="40"/>
      <c r="SKO41" s="38"/>
      <c r="SKP41" s="42"/>
      <c r="SKQ41" s="42"/>
      <c r="SKR41" s="42"/>
      <c r="SKS41" s="38"/>
      <c r="SKT41" s="38"/>
      <c r="SKU41" s="38"/>
      <c r="SKV41" s="39"/>
      <c r="SKW41" s="38"/>
      <c r="SKX41" s="38"/>
      <c r="SKY41" s="38"/>
      <c r="SKZ41" s="40"/>
      <c r="SLA41" s="41"/>
      <c r="SLB41" s="40"/>
      <c r="SLC41" s="38"/>
      <c r="SLD41" s="42"/>
      <c r="SLE41" s="42"/>
      <c r="SLF41" s="42"/>
      <c r="SLG41" s="38"/>
      <c r="SLH41" s="38"/>
      <c r="SLI41" s="38"/>
      <c r="SLJ41" s="39"/>
      <c r="SLK41" s="38"/>
      <c r="SLL41" s="38"/>
      <c r="SLM41" s="38"/>
      <c r="SLN41" s="40"/>
      <c r="SLO41" s="41"/>
      <c r="SLP41" s="40"/>
      <c r="SLQ41" s="38"/>
      <c r="SLR41" s="42"/>
      <c r="SLS41" s="42"/>
      <c r="SLT41" s="42"/>
      <c r="SLU41" s="38"/>
      <c r="SLV41" s="38"/>
      <c r="SLW41" s="38"/>
      <c r="SLX41" s="39"/>
      <c r="SLY41" s="38"/>
      <c r="SLZ41" s="38"/>
      <c r="SMA41" s="38"/>
      <c r="SMB41" s="40"/>
      <c r="SMC41" s="41"/>
      <c r="SMD41" s="40"/>
      <c r="SME41" s="38"/>
      <c r="SMF41" s="42"/>
      <c r="SMG41" s="42"/>
      <c r="SMH41" s="42"/>
      <c r="SMI41" s="38"/>
      <c r="SMJ41" s="38"/>
      <c r="SMK41" s="38"/>
      <c r="SML41" s="39"/>
      <c r="SMM41" s="38"/>
      <c r="SMN41" s="38"/>
      <c r="SMO41" s="38"/>
      <c r="SMP41" s="40"/>
      <c r="SMQ41" s="41"/>
      <c r="SMR41" s="40"/>
      <c r="SMS41" s="38"/>
      <c r="SMT41" s="42"/>
      <c r="SMU41" s="42"/>
      <c r="SMV41" s="42"/>
      <c r="SMW41" s="38"/>
      <c r="SMX41" s="38"/>
      <c r="SMY41" s="38"/>
      <c r="SMZ41" s="39"/>
      <c r="SNA41" s="38"/>
      <c r="SNB41" s="38"/>
      <c r="SNC41" s="38"/>
      <c r="SND41" s="40"/>
      <c r="SNE41" s="41"/>
      <c r="SNF41" s="40"/>
      <c r="SNG41" s="38"/>
      <c r="SNH41" s="42"/>
      <c r="SNI41" s="42"/>
      <c r="SNJ41" s="42"/>
      <c r="SNK41" s="38"/>
      <c r="SNL41" s="38"/>
      <c r="SNM41" s="38"/>
      <c r="SNN41" s="39"/>
      <c r="SNO41" s="38"/>
      <c r="SNP41" s="38"/>
      <c r="SNQ41" s="38"/>
      <c r="SNR41" s="40"/>
      <c r="SNS41" s="41"/>
      <c r="SNT41" s="40"/>
      <c r="SNU41" s="38"/>
      <c r="SNV41" s="42"/>
      <c r="SNW41" s="42"/>
      <c r="SNX41" s="42"/>
      <c r="SNY41" s="38"/>
      <c r="SNZ41" s="38"/>
      <c r="SOA41" s="38"/>
      <c r="SOB41" s="39"/>
      <c r="SOC41" s="38"/>
      <c r="SOD41" s="38"/>
      <c r="SOE41" s="38"/>
      <c r="SOF41" s="40"/>
      <c r="SOG41" s="41"/>
      <c r="SOH41" s="40"/>
      <c r="SOI41" s="38"/>
      <c r="SOJ41" s="42"/>
      <c r="SOK41" s="42"/>
      <c r="SOL41" s="42"/>
      <c r="SOM41" s="38"/>
      <c r="SON41" s="38"/>
      <c r="SOO41" s="38"/>
      <c r="SOP41" s="39"/>
      <c r="SOQ41" s="38"/>
      <c r="SOR41" s="38"/>
      <c r="SOS41" s="38"/>
      <c r="SOT41" s="40"/>
      <c r="SOU41" s="41"/>
      <c r="SOV41" s="40"/>
      <c r="SOW41" s="38"/>
      <c r="SOX41" s="42"/>
      <c r="SOY41" s="42"/>
      <c r="SOZ41" s="42"/>
      <c r="SPA41" s="38"/>
      <c r="SPB41" s="38"/>
      <c r="SPC41" s="38"/>
      <c r="SPD41" s="39"/>
      <c r="SPE41" s="38"/>
      <c r="SPF41" s="38"/>
      <c r="SPG41" s="38"/>
      <c r="SPH41" s="40"/>
      <c r="SPI41" s="41"/>
      <c r="SPJ41" s="40"/>
      <c r="SPK41" s="38"/>
      <c r="SPL41" s="42"/>
      <c r="SPM41" s="42"/>
      <c r="SPN41" s="42"/>
      <c r="SPO41" s="38"/>
      <c r="SPP41" s="38"/>
      <c r="SPQ41" s="38"/>
      <c r="SPR41" s="39"/>
      <c r="SPS41" s="38"/>
      <c r="SPT41" s="38"/>
      <c r="SPU41" s="38"/>
      <c r="SPV41" s="40"/>
      <c r="SPW41" s="41"/>
      <c r="SPX41" s="40"/>
      <c r="SPY41" s="38"/>
      <c r="SPZ41" s="42"/>
      <c r="SQA41" s="42"/>
      <c r="SQB41" s="42"/>
      <c r="SQC41" s="38"/>
      <c r="SQD41" s="38"/>
      <c r="SQE41" s="38"/>
      <c r="SQF41" s="39"/>
      <c r="SQG41" s="38"/>
      <c r="SQH41" s="38"/>
      <c r="SQI41" s="38"/>
      <c r="SQJ41" s="40"/>
      <c r="SQK41" s="41"/>
      <c r="SQL41" s="40"/>
      <c r="SQM41" s="38"/>
      <c r="SQN41" s="42"/>
      <c r="SQO41" s="42"/>
      <c r="SQP41" s="42"/>
      <c r="SQQ41" s="38"/>
      <c r="SQR41" s="38"/>
      <c r="SQS41" s="38"/>
      <c r="SQT41" s="39"/>
      <c r="SQU41" s="38"/>
      <c r="SQV41" s="38"/>
      <c r="SQW41" s="38"/>
      <c r="SQX41" s="40"/>
      <c r="SQY41" s="41"/>
      <c r="SQZ41" s="40"/>
      <c r="SRA41" s="38"/>
      <c r="SRB41" s="42"/>
      <c r="SRC41" s="42"/>
      <c r="SRD41" s="42"/>
      <c r="SRE41" s="38"/>
      <c r="SRF41" s="38"/>
      <c r="SRG41" s="38"/>
      <c r="SRH41" s="39"/>
      <c r="SRI41" s="38"/>
      <c r="SRJ41" s="38"/>
      <c r="SRK41" s="38"/>
      <c r="SRL41" s="40"/>
      <c r="SRM41" s="41"/>
      <c r="SRN41" s="40"/>
      <c r="SRO41" s="38"/>
      <c r="SRP41" s="42"/>
      <c r="SRQ41" s="42"/>
      <c r="SRR41" s="42"/>
      <c r="SRS41" s="38"/>
      <c r="SRT41" s="38"/>
      <c r="SRU41" s="38"/>
      <c r="SRV41" s="39"/>
      <c r="SRW41" s="38"/>
      <c r="SRX41" s="38"/>
      <c r="SRY41" s="38"/>
      <c r="SRZ41" s="40"/>
      <c r="SSA41" s="41"/>
      <c r="SSB41" s="40"/>
      <c r="SSC41" s="38"/>
      <c r="SSD41" s="42"/>
      <c r="SSE41" s="42"/>
      <c r="SSF41" s="42"/>
      <c r="SSG41" s="38"/>
      <c r="SSH41" s="38"/>
      <c r="SSI41" s="38"/>
      <c r="SSJ41" s="39"/>
      <c r="SSK41" s="38"/>
      <c r="SSL41" s="38"/>
      <c r="SSM41" s="38"/>
      <c r="SSN41" s="40"/>
      <c r="SSO41" s="41"/>
      <c r="SSP41" s="40"/>
      <c r="SSQ41" s="38"/>
      <c r="SSR41" s="42"/>
      <c r="SSS41" s="42"/>
      <c r="SST41" s="42"/>
      <c r="SSU41" s="38"/>
      <c r="SSV41" s="38"/>
      <c r="SSW41" s="38"/>
      <c r="SSX41" s="39"/>
      <c r="SSY41" s="38"/>
      <c r="SSZ41" s="38"/>
      <c r="STA41" s="38"/>
      <c r="STB41" s="40"/>
      <c r="STC41" s="41"/>
      <c r="STD41" s="40"/>
      <c r="STE41" s="38"/>
      <c r="STF41" s="42"/>
      <c r="STG41" s="42"/>
      <c r="STH41" s="42"/>
      <c r="STI41" s="38"/>
      <c r="STJ41" s="38"/>
      <c r="STK41" s="38"/>
      <c r="STL41" s="39"/>
      <c r="STM41" s="38"/>
      <c r="STN41" s="38"/>
      <c r="STO41" s="38"/>
      <c r="STP41" s="40"/>
      <c r="STQ41" s="41"/>
      <c r="STR41" s="40"/>
      <c r="STS41" s="38"/>
      <c r="STT41" s="42"/>
      <c r="STU41" s="42"/>
      <c r="STV41" s="42"/>
      <c r="STW41" s="38"/>
      <c r="STX41" s="38"/>
      <c r="STY41" s="38"/>
      <c r="STZ41" s="39"/>
      <c r="SUA41" s="38"/>
      <c r="SUB41" s="38"/>
      <c r="SUC41" s="38"/>
      <c r="SUD41" s="40"/>
      <c r="SUE41" s="41"/>
      <c r="SUF41" s="40"/>
      <c r="SUG41" s="38"/>
      <c r="SUH41" s="42"/>
      <c r="SUI41" s="42"/>
      <c r="SUJ41" s="42"/>
      <c r="SUK41" s="38"/>
      <c r="SUL41" s="38"/>
      <c r="SUM41" s="38"/>
      <c r="SUN41" s="39"/>
      <c r="SUO41" s="38"/>
      <c r="SUP41" s="38"/>
      <c r="SUQ41" s="38"/>
      <c r="SUR41" s="40"/>
      <c r="SUS41" s="41"/>
      <c r="SUT41" s="40"/>
      <c r="SUU41" s="38"/>
      <c r="SUV41" s="42"/>
      <c r="SUW41" s="42"/>
      <c r="SUX41" s="42"/>
      <c r="SUY41" s="38"/>
      <c r="SUZ41" s="38"/>
      <c r="SVA41" s="38"/>
      <c r="SVB41" s="39"/>
      <c r="SVC41" s="38"/>
      <c r="SVD41" s="38"/>
      <c r="SVE41" s="38"/>
      <c r="SVF41" s="40"/>
      <c r="SVG41" s="41"/>
      <c r="SVH41" s="40"/>
      <c r="SVI41" s="38"/>
      <c r="SVJ41" s="42"/>
      <c r="SVK41" s="42"/>
      <c r="SVL41" s="42"/>
      <c r="SVM41" s="38"/>
      <c r="SVN41" s="38"/>
      <c r="SVO41" s="38"/>
      <c r="SVP41" s="39"/>
      <c r="SVQ41" s="38"/>
      <c r="SVR41" s="38"/>
      <c r="SVS41" s="38"/>
      <c r="SVT41" s="40"/>
      <c r="SVU41" s="41"/>
      <c r="SVV41" s="40"/>
      <c r="SVW41" s="38"/>
      <c r="SVX41" s="42"/>
      <c r="SVY41" s="42"/>
      <c r="SVZ41" s="42"/>
      <c r="SWA41" s="38"/>
      <c r="SWB41" s="38"/>
      <c r="SWC41" s="38"/>
      <c r="SWD41" s="39"/>
      <c r="SWE41" s="38"/>
      <c r="SWF41" s="38"/>
      <c r="SWG41" s="38"/>
      <c r="SWH41" s="40"/>
      <c r="SWI41" s="41"/>
      <c r="SWJ41" s="40"/>
      <c r="SWK41" s="38"/>
      <c r="SWL41" s="42"/>
      <c r="SWM41" s="42"/>
      <c r="SWN41" s="42"/>
      <c r="SWO41" s="38"/>
      <c r="SWP41" s="38"/>
      <c r="SWQ41" s="38"/>
      <c r="SWR41" s="39"/>
      <c r="SWS41" s="38"/>
      <c r="SWT41" s="38"/>
      <c r="SWU41" s="38"/>
      <c r="SWV41" s="40"/>
      <c r="SWW41" s="41"/>
      <c r="SWX41" s="40"/>
      <c r="SWY41" s="38"/>
      <c r="SWZ41" s="42"/>
      <c r="SXA41" s="42"/>
      <c r="SXB41" s="42"/>
      <c r="SXC41" s="38"/>
      <c r="SXD41" s="38"/>
      <c r="SXE41" s="38"/>
      <c r="SXF41" s="39"/>
      <c r="SXG41" s="38"/>
      <c r="SXH41" s="38"/>
      <c r="SXI41" s="38"/>
      <c r="SXJ41" s="40"/>
      <c r="SXK41" s="41"/>
      <c r="SXL41" s="40"/>
      <c r="SXM41" s="38"/>
      <c r="SXN41" s="42"/>
      <c r="SXO41" s="42"/>
      <c r="SXP41" s="42"/>
      <c r="SXQ41" s="38"/>
      <c r="SXR41" s="38"/>
      <c r="SXS41" s="38"/>
      <c r="SXT41" s="39"/>
      <c r="SXU41" s="38"/>
      <c r="SXV41" s="38"/>
      <c r="SXW41" s="38"/>
      <c r="SXX41" s="40"/>
      <c r="SXY41" s="41"/>
      <c r="SXZ41" s="40"/>
      <c r="SYA41" s="38"/>
      <c r="SYB41" s="42"/>
      <c r="SYC41" s="42"/>
      <c r="SYD41" s="42"/>
      <c r="SYE41" s="38"/>
      <c r="SYF41" s="38"/>
      <c r="SYG41" s="38"/>
      <c r="SYH41" s="39"/>
      <c r="SYI41" s="38"/>
      <c r="SYJ41" s="38"/>
      <c r="SYK41" s="38"/>
      <c r="SYL41" s="40"/>
      <c r="SYM41" s="41"/>
      <c r="SYN41" s="40"/>
      <c r="SYO41" s="38"/>
      <c r="SYP41" s="42"/>
      <c r="SYQ41" s="42"/>
      <c r="SYR41" s="42"/>
      <c r="SYS41" s="38"/>
      <c r="SYT41" s="38"/>
      <c r="SYU41" s="38"/>
      <c r="SYV41" s="39"/>
      <c r="SYW41" s="38"/>
      <c r="SYX41" s="38"/>
      <c r="SYY41" s="38"/>
      <c r="SYZ41" s="40"/>
      <c r="SZA41" s="41"/>
      <c r="SZB41" s="40"/>
      <c r="SZC41" s="38"/>
      <c r="SZD41" s="42"/>
      <c r="SZE41" s="42"/>
      <c r="SZF41" s="42"/>
      <c r="SZG41" s="38"/>
      <c r="SZH41" s="38"/>
      <c r="SZI41" s="38"/>
      <c r="SZJ41" s="39"/>
      <c r="SZK41" s="38"/>
      <c r="SZL41" s="38"/>
      <c r="SZM41" s="38"/>
      <c r="SZN41" s="40"/>
      <c r="SZO41" s="41"/>
      <c r="SZP41" s="40"/>
      <c r="SZQ41" s="38"/>
      <c r="SZR41" s="42"/>
      <c r="SZS41" s="42"/>
      <c r="SZT41" s="42"/>
      <c r="SZU41" s="38"/>
      <c r="SZV41" s="38"/>
      <c r="SZW41" s="38"/>
      <c r="SZX41" s="39"/>
      <c r="SZY41" s="38"/>
      <c r="SZZ41" s="38"/>
      <c r="TAA41" s="38"/>
      <c r="TAB41" s="40"/>
      <c r="TAC41" s="41"/>
      <c r="TAD41" s="40"/>
      <c r="TAE41" s="38"/>
      <c r="TAF41" s="42"/>
      <c r="TAG41" s="42"/>
      <c r="TAH41" s="42"/>
      <c r="TAI41" s="38"/>
      <c r="TAJ41" s="38"/>
      <c r="TAK41" s="38"/>
      <c r="TAL41" s="39"/>
      <c r="TAM41" s="38"/>
      <c r="TAN41" s="38"/>
      <c r="TAO41" s="38"/>
      <c r="TAP41" s="40"/>
      <c r="TAQ41" s="41"/>
      <c r="TAR41" s="40"/>
      <c r="TAS41" s="38"/>
      <c r="TAT41" s="42"/>
      <c r="TAU41" s="42"/>
      <c r="TAV41" s="42"/>
      <c r="TAW41" s="38"/>
      <c r="TAX41" s="38"/>
      <c r="TAY41" s="38"/>
      <c r="TAZ41" s="39"/>
      <c r="TBA41" s="38"/>
      <c r="TBB41" s="38"/>
      <c r="TBC41" s="38"/>
      <c r="TBD41" s="40"/>
      <c r="TBE41" s="41"/>
      <c r="TBF41" s="40"/>
      <c r="TBG41" s="38"/>
      <c r="TBH41" s="42"/>
      <c r="TBI41" s="42"/>
      <c r="TBJ41" s="42"/>
      <c r="TBK41" s="38"/>
      <c r="TBL41" s="38"/>
      <c r="TBM41" s="38"/>
      <c r="TBN41" s="39"/>
      <c r="TBO41" s="38"/>
      <c r="TBP41" s="38"/>
      <c r="TBQ41" s="38"/>
      <c r="TBR41" s="40"/>
      <c r="TBS41" s="41"/>
      <c r="TBT41" s="40"/>
      <c r="TBU41" s="38"/>
      <c r="TBV41" s="42"/>
      <c r="TBW41" s="42"/>
      <c r="TBX41" s="42"/>
      <c r="TBY41" s="38"/>
      <c r="TBZ41" s="38"/>
      <c r="TCA41" s="38"/>
      <c r="TCB41" s="39"/>
      <c r="TCC41" s="38"/>
      <c r="TCD41" s="38"/>
      <c r="TCE41" s="38"/>
      <c r="TCF41" s="40"/>
      <c r="TCG41" s="41"/>
      <c r="TCH41" s="40"/>
      <c r="TCI41" s="38"/>
      <c r="TCJ41" s="42"/>
      <c r="TCK41" s="42"/>
      <c r="TCL41" s="42"/>
      <c r="TCM41" s="38"/>
      <c r="TCN41" s="38"/>
      <c r="TCO41" s="38"/>
      <c r="TCP41" s="39"/>
      <c r="TCQ41" s="38"/>
      <c r="TCR41" s="38"/>
      <c r="TCS41" s="38"/>
      <c r="TCT41" s="40"/>
      <c r="TCU41" s="41"/>
      <c r="TCV41" s="40"/>
      <c r="TCW41" s="38"/>
      <c r="TCX41" s="42"/>
      <c r="TCY41" s="42"/>
      <c r="TCZ41" s="42"/>
      <c r="TDA41" s="38"/>
      <c r="TDB41" s="38"/>
      <c r="TDC41" s="38"/>
      <c r="TDD41" s="39"/>
      <c r="TDE41" s="38"/>
      <c r="TDF41" s="38"/>
      <c r="TDG41" s="38"/>
      <c r="TDH41" s="40"/>
      <c r="TDI41" s="41"/>
      <c r="TDJ41" s="40"/>
      <c r="TDK41" s="38"/>
      <c r="TDL41" s="42"/>
      <c r="TDM41" s="42"/>
      <c r="TDN41" s="42"/>
      <c r="TDO41" s="38"/>
      <c r="TDP41" s="38"/>
      <c r="TDQ41" s="38"/>
      <c r="TDR41" s="39"/>
      <c r="TDS41" s="38"/>
      <c r="TDT41" s="38"/>
      <c r="TDU41" s="38"/>
      <c r="TDV41" s="40"/>
      <c r="TDW41" s="41"/>
      <c r="TDX41" s="40"/>
      <c r="TDY41" s="38"/>
      <c r="TDZ41" s="42"/>
      <c r="TEA41" s="42"/>
      <c r="TEB41" s="42"/>
      <c r="TEC41" s="38"/>
      <c r="TED41" s="38"/>
      <c r="TEE41" s="38"/>
      <c r="TEF41" s="39"/>
      <c r="TEG41" s="38"/>
      <c r="TEH41" s="38"/>
      <c r="TEI41" s="38"/>
      <c r="TEJ41" s="40"/>
      <c r="TEK41" s="41"/>
      <c r="TEL41" s="40"/>
      <c r="TEM41" s="38"/>
      <c r="TEN41" s="42"/>
      <c r="TEO41" s="42"/>
      <c r="TEP41" s="42"/>
      <c r="TEQ41" s="38"/>
      <c r="TER41" s="38"/>
      <c r="TES41" s="38"/>
      <c r="TET41" s="39"/>
      <c r="TEU41" s="38"/>
      <c r="TEV41" s="38"/>
      <c r="TEW41" s="38"/>
      <c r="TEX41" s="40"/>
      <c r="TEY41" s="41"/>
      <c r="TEZ41" s="40"/>
      <c r="TFA41" s="38"/>
      <c r="TFB41" s="42"/>
      <c r="TFC41" s="42"/>
      <c r="TFD41" s="42"/>
      <c r="TFE41" s="38"/>
      <c r="TFF41" s="38"/>
      <c r="TFG41" s="38"/>
      <c r="TFH41" s="39"/>
      <c r="TFI41" s="38"/>
      <c r="TFJ41" s="38"/>
      <c r="TFK41" s="38"/>
      <c r="TFL41" s="40"/>
      <c r="TFM41" s="41"/>
      <c r="TFN41" s="40"/>
      <c r="TFO41" s="38"/>
      <c r="TFP41" s="42"/>
      <c r="TFQ41" s="42"/>
      <c r="TFR41" s="42"/>
      <c r="TFS41" s="38"/>
      <c r="TFT41" s="38"/>
      <c r="TFU41" s="38"/>
      <c r="TFV41" s="39"/>
      <c r="TFW41" s="38"/>
      <c r="TFX41" s="38"/>
      <c r="TFY41" s="38"/>
      <c r="TFZ41" s="40"/>
      <c r="TGA41" s="41"/>
      <c r="TGB41" s="40"/>
      <c r="TGC41" s="38"/>
      <c r="TGD41" s="42"/>
      <c r="TGE41" s="42"/>
      <c r="TGF41" s="42"/>
      <c r="TGG41" s="38"/>
      <c r="TGH41" s="38"/>
      <c r="TGI41" s="38"/>
      <c r="TGJ41" s="39"/>
      <c r="TGK41" s="38"/>
      <c r="TGL41" s="38"/>
      <c r="TGM41" s="38"/>
      <c r="TGN41" s="40"/>
      <c r="TGO41" s="41"/>
      <c r="TGP41" s="40"/>
      <c r="TGQ41" s="38"/>
      <c r="TGR41" s="42"/>
      <c r="TGS41" s="42"/>
      <c r="TGT41" s="42"/>
      <c r="TGU41" s="38"/>
      <c r="TGV41" s="38"/>
      <c r="TGW41" s="38"/>
      <c r="TGX41" s="39"/>
      <c r="TGY41" s="38"/>
      <c r="TGZ41" s="38"/>
      <c r="THA41" s="38"/>
      <c r="THB41" s="40"/>
      <c r="THC41" s="41"/>
      <c r="THD41" s="40"/>
      <c r="THE41" s="38"/>
      <c r="THF41" s="42"/>
      <c r="THG41" s="42"/>
      <c r="THH41" s="42"/>
      <c r="THI41" s="38"/>
      <c r="THJ41" s="38"/>
      <c r="THK41" s="38"/>
      <c r="THL41" s="39"/>
      <c r="THM41" s="38"/>
      <c r="THN41" s="38"/>
      <c r="THO41" s="38"/>
      <c r="THP41" s="40"/>
      <c r="THQ41" s="41"/>
      <c r="THR41" s="40"/>
      <c r="THS41" s="38"/>
      <c r="THT41" s="42"/>
      <c r="THU41" s="42"/>
      <c r="THV41" s="42"/>
      <c r="THW41" s="38"/>
      <c r="THX41" s="38"/>
      <c r="THY41" s="38"/>
      <c r="THZ41" s="39"/>
      <c r="TIA41" s="38"/>
      <c r="TIB41" s="38"/>
      <c r="TIC41" s="38"/>
      <c r="TID41" s="40"/>
      <c r="TIE41" s="41"/>
      <c r="TIF41" s="40"/>
      <c r="TIG41" s="38"/>
      <c r="TIH41" s="42"/>
      <c r="TII41" s="42"/>
      <c r="TIJ41" s="42"/>
      <c r="TIK41" s="38"/>
      <c r="TIL41" s="38"/>
      <c r="TIM41" s="38"/>
      <c r="TIN41" s="39"/>
      <c r="TIO41" s="38"/>
      <c r="TIP41" s="38"/>
      <c r="TIQ41" s="38"/>
      <c r="TIR41" s="40"/>
      <c r="TIS41" s="41"/>
      <c r="TIT41" s="40"/>
      <c r="TIU41" s="38"/>
      <c r="TIV41" s="42"/>
      <c r="TIW41" s="42"/>
      <c r="TIX41" s="42"/>
      <c r="TIY41" s="38"/>
      <c r="TIZ41" s="38"/>
      <c r="TJA41" s="38"/>
      <c r="TJB41" s="39"/>
      <c r="TJC41" s="38"/>
      <c r="TJD41" s="38"/>
      <c r="TJE41" s="38"/>
      <c r="TJF41" s="40"/>
      <c r="TJG41" s="41"/>
      <c r="TJH41" s="40"/>
      <c r="TJI41" s="38"/>
      <c r="TJJ41" s="42"/>
      <c r="TJK41" s="42"/>
      <c r="TJL41" s="42"/>
      <c r="TJM41" s="38"/>
      <c r="TJN41" s="38"/>
      <c r="TJO41" s="38"/>
      <c r="TJP41" s="39"/>
      <c r="TJQ41" s="38"/>
      <c r="TJR41" s="38"/>
      <c r="TJS41" s="38"/>
      <c r="TJT41" s="40"/>
      <c r="TJU41" s="41"/>
      <c r="TJV41" s="40"/>
      <c r="TJW41" s="38"/>
      <c r="TJX41" s="42"/>
      <c r="TJY41" s="42"/>
      <c r="TJZ41" s="42"/>
      <c r="TKA41" s="38"/>
      <c r="TKB41" s="38"/>
      <c r="TKC41" s="38"/>
      <c r="TKD41" s="39"/>
      <c r="TKE41" s="38"/>
      <c r="TKF41" s="38"/>
      <c r="TKG41" s="38"/>
      <c r="TKH41" s="40"/>
      <c r="TKI41" s="41"/>
      <c r="TKJ41" s="40"/>
      <c r="TKK41" s="38"/>
      <c r="TKL41" s="42"/>
      <c r="TKM41" s="42"/>
      <c r="TKN41" s="42"/>
      <c r="TKO41" s="38"/>
      <c r="TKP41" s="38"/>
      <c r="TKQ41" s="38"/>
      <c r="TKR41" s="39"/>
      <c r="TKS41" s="38"/>
      <c r="TKT41" s="38"/>
      <c r="TKU41" s="38"/>
      <c r="TKV41" s="40"/>
      <c r="TKW41" s="41"/>
      <c r="TKX41" s="40"/>
      <c r="TKY41" s="38"/>
      <c r="TKZ41" s="42"/>
      <c r="TLA41" s="42"/>
      <c r="TLB41" s="42"/>
      <c r="TLC41" s="38"/>
      <c r="TLD41" s="38"/>
      <c r="TLE41" s="38"/>
      <c r="TLF41" s="39"/>
      <c r="TLG41" s="38"/>
      <c r="TLH41" s="38"/>
      <c r="TLI41" s="38"/>
      <c r="TLJ41" s="40"/>
      <c r="TLK41" s="41"/>
      <c r="TLL41" s="40"/>
      <c r="TLM41" s="38"/>
      <c r="TLN41" s="42"/>
      <c r="TLO41" s="42"/>
      <c r="TLP41" s="42"/>
      <c r="TLQ41" s="38"/>
      <c r="TLR41" s="38"/>
      <c r="TLS41" s="38"/>
      <c r="TLT41" s="39"/>
      <c r="TLU41" s="38"/>
      <c r="TLV41" s="38"/>
      <c r="TLW41" s="38"/>
      <c r="TLX41" s="40"/>
      <c r="TLY41" s="41"/>
      <c r="TLZ41" s="40"/>
      <c r="TMA41" s="38"/>
      <c r="TMB41" s="42"/>
      <c r="TMC41" s="42"/>
      <c r="TMD41" s="42"/>
      <c r="TME41" s="38"/>
      <c r="TMF41" s="38"/>
      <c r="TMG41" s="38"/>
      <c r="TMH41" s="39"/>
      <c r="TMI41" s="38"/>
      <c r="TMJ41" s="38"/>
      <c r="TMK41" s="38"/>
      <c r="TML41" s="40"/>
      <c r="TMM41" s="41"/>
      <c r="TMN41" s="40"/>
      <c r="TMO41" s="38"/>
      <c r="TMP41" s="42"/>
      <c r="TMQ41" s="42"/>
      <c r="TMR41" s="42"/>
      <c r="TMS41" s="38"/>
      <c r="TMT41" s="38"/>
      <c r="TMU41" s="38"/>
      <c r="TMV41" s="39"/>
      <c r="TMW41" s="38"/>
      <c r="TMX41" s="38"/>
      <c r="TMY41" s="38"/>
      <c r="TMZ41" s="40"/>
      <c r="TNA41" s="41"/>
      <c r="TNB41" s="40"/>
      <c r="TNC41" s="38"/>
      <c r="TND41" s="42"/>
      <c r="TNE41" s="42"/>
      <c r="TNF41" s="42"/>
      <c r="TNG41" s="38"/>
      <c r="TNH41" s="38"/>
      <c r="TNI41" s="38"/>
      <c r="TNJ41" s="39"/>
      <c r="TNK41" s="38"/>
      <c r="TNL41" s="38"/>
      <c r="TNM41" s="38"/>
      <c r="TNN41" s="40"/>
      <c r="TNO41" s="41"/>
      <c r="TNP41" s="40"/>
      <c r="TNQ41" s="38"/>
      <c r="TNR41" s="42"/>
      <c r="TNS41" s="42"/>
      <c r="TNT41" s="42"/>
      <c r="TNU41" s="38"/>
      <c r="TNV41" s="38"/>
      <c r="TNW41" s="38"/>
      <c r="TNX41" s="39"/>
      <c r="TNY41" s="38"/>
      <c r="TNZ41" s="38"/>
      <c r="TOA41" s="38"/>
      <c r="TOB41" s="40"/>
      <c r="TOC41" s="41"/>
      <c r="TOD41" s="40"/>
      <c r="TOE41" s="38"/>
      <c r="TOF41" s="42"/>
      <c r="TOG41" s="42"/>
      <c r="TOH41" s="42"/>
      <c r="TOI41" s="38"/>
      <c r="TOJ41" s="38"/>
      <c r="TOK41" s="38"/>
      <c r="TOL41" s="39"/>
      <c r="TOM41" s="38"/>
      <c r="TON41" s="38"/>
      <c r="TOO41" s="38"/>
      <c r="TOP41" s="40"/>
      <c r="TOQ41" s="41"/>
      <c r="TOR41" s="40"/>
      <c r="TOS41" s="38"/>
      <c r="TOT41" s="42"/>
      <c r="TOU41" s="42"/>
      <c r="TOV41" s="42"/>
      <c r="TOW41" s="38"/>
      <c r="TOX41" s="38"/>
      <c r="TOY41" s="38"/>
      <c r="TOZ41" s="39"/>
      <c r="TPA41" s="38"/>
      <c r="TPB41" s="38"/>
      <c r="TPC41" s="38"/>
      <c r="TPD41" s="40"/>
      <c r="TPE41" s="41"/>
      <c r="TPF41" s="40"/>
      <c r="TPG41" s="38"/>
      <c r="TPH41" s="42"/>
      <c r="TPI41" s="42"/>
      <c r="TPJ41" s="42"/>
      <c r="TPK41" s="38"/>
      <c r="TPL41" s="38"/>
      <c r="TPM41" s="38"/>
      <c r="TPN41" s="39"/>
      <c r="TPO41" s="38"/>
      <c r="TPP41" s="38"/>
      <c r="TPQ41" s="38"/>
      <c r="TPR41" s="40"/>
      <c r="TPS41" s="41"/>
      <c r="TPT41" s="40"/>
      <c r="TPU41" s="38"/>
      <c r="TPV41" s="42"/>
      <c r="TPW41" s="42"/>
      <c r="TPX41" s="42"/>
      <c r="TPY41" s="38"/>
      <c r="TPZ41" s="38"/>
      <c r="TQA41" s="38"/>
      <c r="TQB41" s="39"/>
      <c r="TQC41" s="38"/>
      <c r="TQD41" s="38"/>
      <c r="TQE41" s="38"/>
      <c r="TQF41" s="40"/>
      <c r="TQG41" s="41"/>
      <c r="TQH41" s="40"/>
      <c r="TQI41" s="38"/>
      <c r="TQJ41" s="42"/>
      <c r="TQK41" s="42"/>
      <c r="TQL41" s="42"/>
      <c r="TQM41" s="38"/>
      <c r="TQN41" s="38"/>
      <c r="TQO41" s="38"/>
      <c r="TQP41" s="39"/>
      <c r="TQQ41" s="38"/>
      <c r="TQR41" s="38"/>
      <c r="TQS41" s="38"/>
      <c r="TQT41" s="40"/>
      <c r="TQU41" s="41"/>
      <c r="TQV41" s="40"/>
      <c r="TQW41" s="38"/>
      <c r="TQX41" s="42"/>
      <c r="TQY41" s="42"/>
      <c r="TQZ41" s="42"/>
      <c r="TRA41" s="38"/>
      <c r="TRB41" s="38"/>
      <c r="TRC41" s="38"/>
      <c r="TRD41" s="39"/>
      <c r="TRE41" s="38"/>
      <c r="TRF41" s="38"/>
      <c r="TRG41" s="38"/>
      <c r="TRH41" s="40"/>
      <c r="TRI41" s="41"/>
      <c r="TRJ41" s="40"/>
      <c r="TRK41" s="38"/>
      <c r="TRL41" s="42"/>
      <c r="TRM41" s="42"/>
      <c r="TRN41" s="42"/>
      <c r="TRO41" s="38"/>
      <c r="TRP41" s="38"/>
      <c r="TRQ41" s="38"/>
      <c r="TRR41" s="39"/>
      <c r="TRS41" s="38"/>
      <c r="TRT41" s="38"/>
      <c r="TRU41" s="38"/>
      <c r="TRV41" s="40"/>
      <c r="TRW41" s="41"/>
      <c r="TRX41" s="40"/>
      <c r="TRY41" s="38"/>
      <c r="TRZ41" s="42"/>
      <c r="TSA41" s="42"/>
      <c r="TSB41" s="42"/>
      <c r="TSC41" s="38"/>
      <c r="TSD41" s="38"/>
      <c r="TSE41" s="38"/>
      <c r="TSF41" s="39"/>
      <c r="TSG41" s="38"/>
      <c r="TSH41" s="38"/>
      <c r="TSI41" s="38"/>
      <c r="TSJ41" s="40"/>
      <c r="TSK41" s="41"/>
      <c r="TSL41" s="40"/>
      <c r="TSM41" s="38"/>
      <c r="TSN41" s="42"/>
      <c r="TSO41" s="42"/>
      <c r="TSP41" s="42"/>
      <c r="TSQ41" s="38"/>
      <c r="TSR41" s="38"/>
      <c r="TSS41" s="38"/>
      <c r="TST41" s="39"/>
      <c r="TSU41" s="38"/>
      <c r="TSV41" s="38"/>
      <c r="TSW41" s="38"/>
      <c r="TSX41" s="40"/>
      <c r="TSY41" s="41"/>
      <c r="TSZ41" s="40"/>
      <c r="TTA41" s="38"/>
      <c r="TTB41" s="42"/>
      <c r="TTC41" s="42"/>
      <c r="TTD41" s="42"/>
      <c r="TTE41" s="38"/>
      <c r="TTF41" s="38"/>
      <c r="TTG41" s="38"/>
      <c r="TTH41" s="39"/>
      <c r="TTI41" s="38"/>
      <c r="TTJ41" s="38"/>
      <c r="TTK41" s="38"/>
      <c r="TTL41" s="40"/>
      <c r="TTM41" s="41"/>
      <c r="TTN41" s="40"/>
      <c r="TTO41" s="38"/>
      <c r="TTP41" s="42"/>
      <c r="TTQ41" s="42"/>
      <c r="TTR41" s="42"/>
      <c r="TTS41" s="38"/>
      <c r="TTT41" s="38"/>
      <c r="TTU41" s="38"/>
      <c r="TTV41" s="39"/>
      <c r="TTW41" s="38"/>
      <c r="TTX41" s="38"/>
      <c r="TTY41" s="38"/>
      <c r="TTZ41" s="40"/>
      <c r="TUA41" s="41"/>
      <c r="TUB41" s="40"/>
      <c r="TUC41" s="38"/>
      <c r="TUD41" s="42"/>
      <c r="TUE41" s="42"/>
      <c r="TUF41" s="42"/>
      <c r="TUG41" s="38"/>
      <c r="TUH41" s="38"/>
      <c r="TUI41" s="38"/>
      <c r="TUJ41" s="39"/>
      <c r="TUK41" s="38"/>
      <c r="TUL41" s="38"/>
      <c r="TUM41" s="38"/>
      <c r="TUN41" s="40"/>
      <c r="TUO41" s="41"/>
      <c r="TUP41" s="40"/>
      <c r="TUQ41" s="38"/>
      <c r="TUR41" s="42"/>
      <c r="TUS41" s="42"/>
      <c r="TUT41" s="42"/>
      <c r="TUU41" s="38"/>
      <c r="TUV41" s="38"/>
      <c r="TUW41" s="38"/>
      <c r="TUX41" s="39"/>
      <c r="TUY41" s="38"/>
      <c r="TUZ41" s="38"/>
      <c r="TVA41" s="38"/>
      <c r="TVB41" s="40"/>
      <c r="TVC41" s="41"/>
      <c r="TVD41" s="40"/>
      <c r="TVE41" s="38"/>
      <c r="TVF41" s="42"/>
      <c r="TVG41" s="42"/>
      <c r="TVH41" s="42"/>
      <c r="TVI41" s="38"/>
      <c r="TVJ41" s="38"/>
      <c r="TVK41" s="38"/>
      <c r="TVL41" s="39"/>
      <c r="TVM41" s="38"/>
      <c r="TVN41" s="38"/>
      <c r="TVO41" s="38"/>
      <c r="TVP41" s="40"/>
      <c r="TVQ41" s="41"/>
      <c r="TVR41" s="40"/>
      <c r="TVS41" s="38"/>
      <c r="TVT41" s="42"/>
      <c r="TVU41" s="42"/>
      <c r="TVV41" s="42"/>
      <c r="TVW41" s="38"/>
      <c r="TVX41" s="38"/>
      <c r="TVY41" s="38"/>
      <c r="TVZ41" s="39"/>
      <c r="TWA41" s="38"/>
      <c r="TWB41" s="38"/>
      <c r="TWC41" s="38"/>
      <c r="TWD41" s="40"/>
      <c r="TWE41" s="41"/>
      <c r="TWF41" s="40"/>
      <c r="TWG41" s="38"/>
      <c r="TWH41" s="42"/>
      <c r="TWI41" s="42"/>
      <c r="TWJ41" s="42"/>
      <c r="TWK41" s="38"/>
      <c r="TWL41" s="38"/>
      <c r="TWM41" s="38"/>
      <c r="TWN41" s="39"/>
      <c r="TWO41" s="38"/>
      <c r="TWP41" s="38"/>
      <c r="TWQ41" s="38"/>
      <c r="TWR41" s="40"/>
      <c r="TWS41" s="41"/>
      <c r="TWT41" s="40"/>
      <c r="TWU41" s="38"/>
      <c r="TWV41" s="42"/>
      <c r="TWW41" s="42"/>
      <c r="TWX41" s="42"/>
      <c r="TWY41" s="38"/>
      <c r="TWZ41" s="38"/>
      <c r="TXA41" s="38"/>
      <c r="TXB41" s="39"/>
      <c r="TXC41" s="38"/>
      <c r="TXD41" s="38"/>
      <c r="TXE41" s="38"/>
      <c r="TXF41" s="40"/>
      <c r="TXG41" s="41"/>
      <c r="TXH41" s="40"/>
      <c r="TXI41" s="38"/>
      <c r="TXJ41" s="42"/>
      <c r="TXK41" s="42"/>
      <c r="TXL41" s="42"/>
      <c r="TXM41" s="38"/>
      <c r="TXN41" s="38"/>
      <c r="TXO41" s="38"/>
      <c r="TXP41" s="39"/>
      <c r="TXQ41" s="38"/>
      <c r="TXR41" s="38"/>
      <c r="TXS41" s="38"/>
      <c r="TXT41" s="40"/>
      <c r="TXU41" s="41"/>
      <c r="TXV41" s="40"/>
      <c r="TXW41" s="38"/>
      <c r="TXX41" s="42"/>
      <c r="TXY41" s="42"/>
      <c r="TXZ41" s="42"/>
      <c r="TYA41" s="38"/>
      <c r="TYB41" s="38"/>
      <c r="TYC41" s="38"/>
      <c r="TYD41" s="39"/>
      <c r="TYE41" s="38"/>
      <c r="TYF41" s="38"/>
      <c r="TYG41" s="38"/>
      <c r="TYH41" s="40"/>
      <c r="TYI41" s="41"/>
      <c r="TYJ41" s="40"/>
      <c r="TYK41" s="38"/>
      <c r="TYL41" s="42"/>
      <c r="TYM41" s="42"/>
      <c r="TYN41" s="42"/>
      <c r="TYO41" s="38"/>
      <c r="TYP41" s="38"/>
      <c r="TYQ41" s="38"/>
      <c r="TYR41" s="39"/>
      <c r="TYS41" s="38"/>
      <c r="TYT41" s="38"/>
      <c r="TYU41" s="38"/>
      <c r="TYV41" s="40"/>
      <c r="TYW41" s="41"/>
      <c r="TYX41" s="40"/>
      <c r="TYY41" s="38"/>
      <c r="TYZ41" s="42"/>
      <c r="TZA41" s="42"/>
      <c r="TZB41" s="42"/>
      <c r="TZC41" s="38"/>
      <c r="TZD41" s="38"/>
      <c r="TZE41" s="38"/>
      <c r="TZF41" s="39"/>
      <c r="TZG41" s="38"/>
      <c r="TZH41" s="38"/>
      <c r="TZI41" s="38"/>
      <c r="TZJ41" s="40"/>
      <c r="TZK41" s="41"/>
      <c r="TZL41" s="40"/>
      <c r="TZM41" s="38"/>
      <c r="TZN41" s="42"/>
      <c r="TZO41" s="42"/>
      <c r="TZP41" s="42"/>
      <c r="TZQ41" s="38"/>
      <c r="TZR41" s="38"/>
      <c r="TZS41" s="38"/>
      <c r="TZT41" s="39"/>
      <c r="TZU41" s="38"/>
      <c r="TZV41" s="38"/>
      <c r="TZW41" s="38"/>
      <c r="TZX41" s="40"/>
      <c r="TZY41" s="41"/>
      <c r="TZZ41" s="40"/>
      <c r="UAA41" s="38"/>
      <c r="UAB41" s="42"/>
      <c r="UAC41" s="42"/>
      <c r="UAD41" s="42"/>
      <c r="UAE41" s="38"/>
      <c r="UAF41" s="38"/>
      <c r="UAG41" s="38"/>
      <c r="UAH41" s="39"/>
      <c r="UAI41" s="38"/>
      <c r="UAJ41" s="38"/>
      <c r="UAK41" s="38"/>
      <c r="UAL41" s="40"/>
      <c r="UAM41" s="41"/>
      <c r="UAN41" s="40"/>
      <c r="UAO41" s="38"/>
      <c r="UAP41" s="42"/>
      <c r="UAQ41" s="42"/>
      <c r="UAR41" s="42"/>
      <c r="UAS41" s="38"/>
      <c r="UAT41" s="38"/>
      <c r="UAU41" s="38"/>
      <c r="UAV41" s="39"/>
      <c r="UAW41" s="38"/>
      <c r="UAX41" s="38"/>
      <c r="UAY41" s="38"/>
      <c r="UAZ41" s="40"/>
      <c r="UBA41" s="41"/>
      <c r="UBB41" s="40"/>
      <c r="UBC41" s="38"/>
      <c r="UBD41" s="42"/>
      <c r="UBE41" s="42"/>
      <c r="UBF41" s="42"/>
      <c r="UBG41" s="38"/>
      <c r="UBH41" s="38"/>
      <c r="UBI41" s="38"/>
      <c r="UBJ41" s="39"/>
      <c r="UBK41" s="38"/>
      <c r="UBL41" s="38"/>
      <c r="UBM41" s="38"/>
      <c r="UBN41" s="40"/>
      <c r="UBO41" s="41"/>
      <c r="UBP41" s="40"/>
      <c r="UBQ41" s="38"/>
      <c r="UBR41" s="42"/>
      <c r="UBS41" s="42"/>
      <c r="UBT41" s="42"/>
      <c r="UBU41" s="38"/>
      <c r="UBV41" s="38"/>
      <c r="UBW41" s="38"/>
      <c r="UBX41" s="39"/>
      <c r="UBY41" s="38"/>
      <c r="UBZ41" s="38"/>
      <c r="UCA41" s="38"/>
      <c r="UCB41" s="40"/>
      <c r="UCC41" s="41"/>
      <c r="UCD41" s="40"/>
      <c r="UCE41" s="38"/>
      <c r="UCF41" s="42"/>
      <c r="UCG41" s="42"/>
      <c r="UCH41" s="42"/>
      <c r="UCI41" s="38"/>
      <c r="UCJ41" s="38"/>
      <c r="UCK41" s="38"/>
      <c r="UCL41" s="39"/>
      <c r="UCM41" s="38"/>
      <c r="UCN41" s="38"/>
      <c r="UCO41" s="38"/>
      <c r="UCP41" s="40"/>
      <c r="UCQ41" s="41"/>
      <c r="UCR41" s="40"/>
      <c r="UCS41" s="38"/>
      <c r="UCT41" s="42"/>
      <c r="UCU41" s="42"/>
      <c r="UCV41" s="42"/>
      <c r="UCW41" s="38"/>
      <c r="UCX41" s="38"/>
      <c r="UCY41" s="38"/>
      <c r="UCZ41" s="39"/>
      <c r="UDA41" s="38"/>
      <c r="UDB41" s="38"/>
      <c r="UDC41" s="38"/>
      <c r="UDD41" s="40"/>
      <c r="UDE41" s="41"/>
      <c r="UDF41" s="40"/>
      <c r="UDG41" s="38"/>
      <c r="UDH41" s="42"/>
      <c r="UDI41" s="42"/>
      <c r="UDJ41" s="42"/>
      <c r="UDK41" s="38"/>
      <c r="UDL41" s="38"/>
      <c r="UDM41" s="38"/>
      <c r="UDN41" s="39"/>
      <c r="UDO41" s="38"/>
      <c r="UDP41" s="38"/>
      <c r="UDQ41" s="38"/>
      <c r="UDR41" s="40"/>
      <c r="UDS41" s="41"/>
      <c r="UDT41" s="40"/>
      <c r="UDU41" s="38"/>
      <c r="UDV41" s="42"/>
      <c r="UDW41" s="42"/>
      <c r="UDX41" s="42"/>
      <c r="UDY41" s="38"/>
      <c r="UDZ41" s="38"/>
      <c r="UEA41" s="38"/>
      <c r="UEB41" s="39"/>
      <c r="UEC41" s="38"/>
      <c r="UED41" s="38"/>
      <c r="UEE41" s="38"/>
      <c r="UEF41" s="40"/>
      <c r="UEG41" s="41"/>
      <c r="UEH41" s="40"/>
      <c r="UEI41" s="38"/>
      <c r="UEJ41" s="42"/>
      <c r="UEK41" s="42"/>
      <c r="UEL41" s="42"/>
      <c r="UEM41" s="38"/>
      <c r="UEN41" s="38"/>
      <c r="UEO41" s="38"/>
      <c r="UEP41" s="39"/>
      <c r="UEQ41" s="38"/>
      <c r="UER41" s="38"/>
      <c r="UES41" s="38"/>
      <c r="UET41" s="40"/>
      <c r="UEU41" s="41"/>
      <c r="UEV41" s="40"/>
      <c r="UEW41" s="38"/>
      <c r="UEX41" s="42"/>
      <c r="UEY41" s="42"/>
      <c r="UEZ41" s="42"/>
      <c r="UFA41" s="38"/>
      <c r="UFB41" s="38"/>
      <c r="UFC41" s="38"/>
      <c r="UFD41" s="39"/>
      <c r="UFE41" s="38"/>
      <c r="UFF41" s="38"/>
      <c r="UFG41" s="38"/>
      <c r="UFH41" s="40"/>
      <c r="UFI41" s="41"/>
      <c r="UFJ41" s="40"/>
      <c r="UFK41" s="38"/>
      <c r="UFL41" s="42"/>
      <c r="UFM41" s="42"/>
      <c r="UFN41" s="42"/>
      <c r="UFO41" s="38"/>
      <c r="UFP41" s="38"/>
      <c r="UFQ41" s="38"/>
      <c r="UFR41" s="39"/>
      <c r="UFS41" s="38"/>
      <c r="UFT41" s="38"/>
      <c r="UFU41" s="38"/>
      <c r="UFV41" s="40"/>
      <c r="UFW41" s="41"/>
      <c r="UFX41" s="40"/>
      <c r="UFY41" s="38"/>
      <c r="UFZ41" s="42"/>
      <c r="UGA41" s="42"/>
      <c r="UGB41" s="42"/>
      <c r="UGC41" s="38"/>
      <c r="UGD41" s="38"/>
      <c r="UGE41" s="38"/>
      <c r="UGF41" s="39"/>
      <c r="UGG41" s="38"/>
      <c r="UGH41" s="38"/>
      <c r="UGI41" s="38"/>
      <c r="UGJ41" s="40"/>
      <c r="UGK41" s="41"/>
      <c r="UGL41" s="40"/>
      <c r="UGM41" s="38"/>
      <c r="UGN41" s="42"/>
      <c r="UGO41" s="42"/>
      <c r="UGP41" s="42"/>
      <c r="UGQ41" s="38"/>
      <c r="UGR41" s="38"/>
      <c r="UGS41" s="38"/>
      <c r="UGT41" s="39"/>
      <c r="UGU41" s="38"/>
      <c r="UGV41" s="38"/>
      <c r="UGW41" s="38"/>
      <c r="UGX41" s="40"/>
      <c r="UGY41" s="41"/>
      <c r="UGZ41" s="40"/>
      <c r="UHA41" s="38"/>
      <c r="UHB41" s="42"/>
      <c r="UHC41" s="42"/>
      <c r="UHD41" s="42"/>
      <c r="UHE41" s="38"/>
      <c r="UHF41" s="38"/>
      <c r="UHG41" s="38"/>
      <c r="UHH41" s="39"/>
      <c r="UHI41" s="38"/>
      <c r="UHJ41" s="38"/>
      <c r="UHK41" s="38"/>
      <c r="UHL41" s="40"/>
      <c r="UHM41" s="41"/>
      <c r="UHN41" s="40"/>
      <c r="UHO41" s="38"/>
      <c r="UHP41" s="42"/>
      <c r="UHQ41" s="42"/>
      <c r="UHR41" s="42"/>
      <c r="UHS41" s="38"/>
      <c r="UHT41" s="38"/>
      <c r="UHU41" s="38"/>
      <c r="UHV41" s="39"/>
      <c r="UHW41" s="38"/>
      <c r="UHX41" s="38"/>
      <c r="UHY41" s="38"/>
      <c r="UHZ41" s="40"/>
      <c r="UIA41" s="41"/>
      <c r="UIB41" s="40"/>
      <c r="UIC41" s="38"/>
      <c r="UID41" s="42"/>
      <c r="UIE41" s="42"/>
      <c r="UIF41" s="42"/>
      <c r="UIG41" s="38"/>
      <c r="UIH41" s="38"/>
      <c r="UII41" s="38"/>
      <c r="UIJ41" s="39"/>
      <c r="UIK41" s="38"/>
      <c r="UIL41" s="38"/>
      <c r="UIM41" s="38"/>
      <c r="UIN41" s="40"/>
      <c r="UIO41" s="41"/>
      <c r="UIP41" s="40"/>
      <c r="UIQ41" s="38"/>
      <c r="UIR41" s="42"/>
      <c r="UIS41" s="42"/>
      <c r="UIT41" s="42"/>
      <c r="UIU41" s="38"/>
      <c r="UIV41" s="38"/>
      <c r="UIW41" s="38"/>
      <c r="UIX41" s="39"/>
      <c r="UIY41" s="38"/>
      <c r="UIZ41" s="38"/>
      <c r="UJA41" s="38"/>
      <c r="UJB41" s="40"/>
      <c r="UJC41" s="41"/>
      <c r="UJD41" s="40"/>
      <c r="UJE41" s="38"/>
      <c r="UJF41" s="42"/>
      <c r="UJG41" s="42"/>
      <c r="UJH41" s="42"/>
      <c r="UJI41" s="38"/>
      <c r="UJJ41" s="38"/>
      <c r="UJK41" s="38"/>
      <c r="UJL41" s="39"/>
      <c r="UJM41" s="38"/>
      <c r="UJN41" s="38"/>
      <c r="UJO41" s="38"/>
      <c r="UJP41" s="40"/>
      <c r="UJQ41" s="41"/>
      <c r="UJR41" s="40"/>
      <c r="UJS41" s="38"/>
      <c r="UJT41" s="42"/>
      <c r="UJU41" s="42"/>
      <c r="UJV41" s="42"/>
      <c r="UJW41" s="38"/>
      <c r="UJX41" s="38"/>
      <c r="UJY41" s="38"/>
      <c r="UJZ41" s="39"/>
      <c r="UKA41" s="38"/>
      <c r="UKB41" s="38"/>
      <c r="UKC41" s="38"/>
      <c r="UKD41" s="40"/>
      <c r="UKE41" s="41"/>
      <c r="UKF41" s="40"/>
      <c r="UKG41" s="38"/>
      <c r="UKH41" s="42"/>
      <c r="UKI41" s="42"/>
      <c r="UKJ41" s="42"/>
      <c r="UKK41" s="38"/>
      <c r="UKL41" s="38"/>
      <c r="UKM41" s="38"/>
      <c r="UKN41" s="39"/>
      <c r="UKO41" s="38"/>
      <c r="UKP41" s="38"/>
      <c r="UKQ41" s="38"/>
      <c r="UKR41" s="40"/>
      <c r="UKS41" s="41"/>
      <c r="UKT41" s="40"/>
      <c r="UKU41" s="38"/>
      <c r="UKV41" s="42"/>
      <c r="UKW41" s="42"/>
      <c r="UKX41" s="42"/>
      <c r="UKY41" s="38"/>
      <c r="UKZ41" s="38"/>
      <c r="ULA41" s="38"/>
      <c r="ULB41" s="39"/>
      <c r="ULC41" s="38"/>
      <c r="ULD41" s="38"/>
      <c r="ULE41" s="38"/>
      <c r="ULF41" s="40"/>
      <c r="ULG41" s="41"/>
      <c r="ULH41" s="40"/>
      <c r="ULI41" s="38"/>
      <c r="ULJ41" s="42"/>
      <c r="ULK41" s="42"/>
      <c r="ULL41" s="42"/>
      <c r="ULM41" s="38"/>
      <c r="ULN41" s="38"/>
      <c r="ULO41" s="38"/>
      <c r="ULP41" s="39"/>
      <c r="ULQ41" s="38"/>
      <c r="ULR41" s="38"/>
      <c r="ULS41" s="38"/>
      <c r="ULT41" s="40"/>
      <c r="ULU41" s="41"/>
      <c r="ULV41" s="40"/>
      <c r="ULW41" s="38"/>
      <c r="ULX41" s="42"/>
      <c r="ULY41" s="42"/>
      <c r="ULZ41" s="42"/>
      <c r="UMA41" s="38"/>
      <c r="UMB41" s="38"/>
      <c r="UMC41" s="38"/>
      <c r="UMD41" s="39"/>
      <c r="UME41" s="38"/>
      <c r="UMF41" s="38"/>
      <c r="UMG41" s="38"/>
      <c r="UMH41" s="40"/>
      <c r="UMI41" s="41"/>
      <c r="UMJ41" s="40"/>
      <c r="UMK41" s="38"/>
      <c r="UML41" s="42"/>
      <c r="UMM41" s="42"/>
      <c r="UMN41" s="42"/>
      <c r="UMO41" s="38"/>
      <c r="UMP41" s="38"/>
      <c r="UMQ41" s="38"/>
      <c r="UMR41" s="39"/>
      <c r="UMS41" s="38"/>
      <c r="UMT41" s="38"/>
      <c r="UMU41" s="38"/>
      <c r="UMV41" s="40"/>
      <c r="UMW41" s="41"/>
      <c r="UMX41" s="40"/>
      <c r="UMY41" s="38"/>
      <c r="UMZ41" s="42"/>
      <c r="UNA41" s="42"/>
      <c r="UNB41" s="42"/>
      <c r="UNC41" s="38"/>
      <c r="UND41" s="38"/>
      <c r="UNE41" s="38"/>
      <c r="UNF41" s="39"/>
      <c r="UNG41" s="38"/>
      <c r="UNH41" s="38"/>
      <c r="UNI41" s="38"/>
      <c r="UNJ41" s="40"/>
      <c r="UNK41" s="41"/>
      <c r="UNL41" s="40"/>
      <c r="UNM41" s="38"/>
      <c r="UNN41" s="42"/>
      <c r="UNO41" s="42"/>
      <c r="UNP41" s="42"/>
      <c r="UNQ41" s="38"/>
      <c r="UNR41" s="38"/>
      <c r="UNS41" s="38"/>
      <c r="UNT41" s="39"/>
      <c r="UNU41" s="38"/>
      <c r="UNV41" s="38"/>
      <c r="UNW41" s="38"/>
      <c r="UNX41" s="40"/>
      <c r="UNY41" s="41"/>
      <c r="UNZ41" s="40"/>
      <c r="UOA41" s="38"/>
      <c r="UOB41" s="42"/>
      <c r="UOC41" s="42"/>
      <c r="UOD41" s="42"/>
      <c r="UOE41" s="38"/>
      <c r="UOF41" s="38"/>
      <c r="UOG41" s="38"/>
      <c r="UOH41" s="39"/>
      <c r="UOI41" s="38"/>
      <c r="UOJ41" s="38"/>
      <c r="UOK41" s="38"/>
      <c r="UOL41" s="40"/>
      <c r="UOM41" s="41"/>
      <c r="UON41" s="40"/>
      <c r="UOO41" s="38"/>
      <c r="UOP41" s="42"/>
      <c r="UOQ41" s="42"/>
      <c r="UOR41" s="42"/>
      <c r="UOS41" s="38"/>
      <c r="UOT41" s="38"/>
      <c r="UOU41" s="38"/>
      <c r="UOV41" s="39"/>
      <c r="UOW41" s="38"/>
      <c r="UOX41" s="38"/>
      <c r="UOY41" s="38"/>
      <c r="UOZ41" s="40"/>
      <c r="UPA41" s="41"/>
      <c r="UPB41" s="40"/>
      <c r="UPC41" s="38"/>
      <c r="UPD41" s="42"/>
      <c r="UPE41" s="42"/>
      <c r="UPF41" s="42"/>
      <c r="UPG41" s="38"/>
      <c r="UPH41" s="38"/>
      <c r="UPI41" s="38"/>
      <c r="UPJ41" s="39"/>
      <c r="UPK41" s="38"/>
      <c r="UPL41" s="38"/>
      <c r="UPM41" s="38"/>
      <c r="UPN41" s="40"/>
      <c r="UPO41" s="41"/>
      <c r="UPP41" s="40"/>
      <c r="UPQ41" s="38"/>
      <c r="UPR41" s="42"/>
      <c r="UPS41" s="42"/>
      <c r="UPT41" s="42"/>
      <c r="UPU41" s="38"/>
      <c r="UPV41" s="38"/>
      <c r="UPW41" s="38"/>
      <c r="UPX41" s="39"/>
      <c r="UPY41" s="38"/>
      <c r="UPZ41" s="38"/>
      <c r="UQA41" s="38"/>
      <c r="UQB41" s="40"/>
      <c r="UQC41" s="41"/>
      <c r="UQD41" s="40"/>
      <c r="UQE41" s="38"/>
      <c r="UQF41" s="42"/>
      <c r="UQG41" s="42"/>
      <c r="UQH41" s="42"/>
      <c r="UQI41" s="38"/>
      <c r="UQJ41" s="38"/>
      <c r="UQK41" s="38"/>
      <c r="UQL41" s="39"/>
      <c r="UQM41" s="38"/>
      <c r="UQN41" s="38"/>
      <c r="UQO41" s="38"/>
      <c r="UQP41" s="40"/>
      <c r="UQQ41" s="41"/>
      <c r="UQR41" s="40"/>
      <c r="UQS41" s="38"/>
      <c r="UQT41" s="42"/>
      <c r="UQU41" s="42"/>
      <c r="UQV41" s="42"/>
      <c r="UQW41" s="38"/>
      <c r="UQX41" s="38"/>
      <c r="UQY41" s="38"/>
      <c r="UQZ41" s="39"/>
      <c r="URA41" s="38"/>
      <c r="URB41" s="38"/>
      <c r="URC41" s="38"/>
      <c r="URD41" s="40"/>
      <c r="URE41" s="41"/>
      <c r="URF41" s="40"/>
      <c r="URG41" s="38"/>
      <c r="URH41" s="42"/>
      <c r="URI41" s="42"/>
      <c r="URJ41" s="42"/>
      <c r="URK41" s="38"/>
      <c r="URL41" s="38"/>
      <c r="URM41" s="38"/>
      <c r="URN41" s="39"/>
      <c r="URO41" s="38"/>
      <c r="URP41" s="38"/>
      <c r="URQ41" s="38"/>
      <c r="URR41" s="40"/>
      <c r="URS41" s="41"/>
      <c r="URT41" s="40"/>
      <c r="URU41" s="38"/>
      <c r="URV41" s="42"/>
      <c r="URW41" s="42"/>
      <c r="URX41" s="42"/>
      <c r="URY41" s="38"/>
      <c r="URZ41" s="38"/>
      <c r="USA41" s="38"/>
      <c r="USB41" s="39"/>
      <c r="USC41" s="38"/>
      <c r="USD41" s="38"/>
      <c r="USE41" s="38"/>
      <c r="USF41" s="40"/>
      <c r="USG41" s="41"/>
      <c r="USH41" s="40"/>
      <c r="USI41" s="38"/>
      <c r="USJ41" s="42"/>
      <c r="USK41" s="42"/>
      <c r="USL41" s="42"/>
      <c r="USM41" s="38"/>
      <c r="USN41" s="38"/>
      <c r="USO41" s="38"/>
      <c r="USP41" s="39"/>
      <c r="USQ41" s="38"/>
      <c r="USR41" s="38"/>
      <c r="USS41" s="38"/>
      <c r="UST41" s="40"/>
      <c r="USU41" s="41"/>
      <c r="USV41" s="40"/>
      <c r="USW41" s="38"/>
      <c r="USX41" s="42"/>
      <c r="USY41" s="42"/>
      <c r="USZ41" s="42"/>
      <c r="UTA41" s="38"/>
      <c r="UTB41" s="38"/>
      <c r="UTC41" s="38"/>
      <c r="UTD41" s="39"/>
      <c r="UTE41" s="38"/>
      <c r="UTF41" s="38"/>
      <c r="UTG41" s="38"/>
      <c r="UTH41" s="40"/>
      <c r="UTI41" s="41"/>
      <c r="UTJ41" s="40"/>
      <c r="UTK41" s="38"/>
      <c r="UTL41" s="42"/>
      <c r="UTM41" s="42"/>
      <c r="UTN41" s="42"/>
      <c r="UTO41" s="38"/>
      <c r="UTP41" s="38"/>
      <c r="UTQ41" s="38"/>
      <c r="UTR41" s="39"/>
      <c r="UTS41" s="38"/>
      <c r="UTT41" s="38"/>
      <c r="UTU41" s="38"/>
      <c r="UTV41" s="40"/>
      <c r="UTW41" s="41"/>
      <c r="UTX41" s="40"/>
      <c r="UTY41" s="38"/>
      <c r="UTZ41" s="42"/>
      <c r="UUA41" s="42"/>
      <c r="UUB41" s="42"/>
      <c r="UUC41" s="38"/>
      <c r="UUD41" s="38"/>
      <c r="UUE41" s="38"/>
      <c r="UUF41" s="39"/>
      <c r="UUG41" s="38"/>
      <c r="UUH41" s="38"/>
      <c r="UUI41" s="38"/>
      <c r="UUJ41" s="40"/>
      <c r="UUK41" s="41"/>
      <c r="UUL41" s="40"/>
      <c r="UUM41" s="38"/>
      <c r="UUN41" s="42"/>
      <c r="UUO41" s="42"/>
      <c r="UUP41" s="42"/>
      <c r="UUQ41" s="38"/>
      <c r="UUR41" s="38"/>
      <c r="UUS41" s="38"/>
      <c r="UUT41" s="39"/>
      <c r="UUU41" s="38"/>
      <c r="UUV41" s="38"/>
      <c r="UUW41" s="38"/>
      <c r="UUX41" s="40"/>
      <c r="UUY41" s="41"/>
      <c r="UUZ41" s="40"/>
      <c r="UVA41" s="38"/>
      <c r="UVB41" s="42"/>
      <c r="UVC41" s="42"/>
      <c r="UVD41" s="42"/>
      <c r="UVE41" s="38"/>
      <c r="UVF41" s="38"/>
      <c r="UVG41" s="38"/>
      <c r="UVH41" s="39"/>
      <c r="UVI41" s="38"/>
      <c r="UVJ41" s="38"/>
      <c r="UVK41" s="38"/>
      <c r="UVL41" s="40"/>
      <c r="UVM41" s="41"/>
      <c r="UVN41" s="40"/>
      <c r="UVO41" s="38"/>
      <c r="UVP41" s="42"/>
      <c r="UVQ41" s="42"/>
      <c r="UVR41" s="42"/>
      <c r="UVS41" s="38"/>
      <c r="UVT41" s="38"/>
      <c r="UVU41" s="38"/>
      <c r="UVV41" s="39"/>
      <c r="UVW41" s="38"/>
      <c r="UVX41" s="38"/>
      <c r="UVY41" s="38"/>
      <c r="UVZ41" s="40"/>
      <c r="UWA41" s="41"/>
      <c r="UWB41" s="40"/>
      <c r="UWC41" s="38"/>
      <c r="UWD41" s="42"/>
      <c r="UWE41" s="42"/>
      <c r="UWF41" s="42"/>
      <c r="UWG41" s="38"/>
      <c r="UWH41" s="38"/>
      <c r="UWI41" s="38"/>
      <c r="UWJ41" s="39"/>
      <c r="UWK41" s="38"/>
      <c r="UWL41" s="38"/>
      <c r="UWM41" s="38"/>
      <c r="UWN41" s="40"/>
      <c r="UWO41" s="41"/>
      <c r="UWP41" s="40"/>
      <c r="UWQ41" s="38"/>
      <c r="UWR41" s="42"/>
      <c r="UWS41" s="42"/>
      <c r="UWT41" s="42"/>
      <c r="UWU41" s="38"/>
      <c r="UWV41" s="38"/>
      <c r="UWW41" s="38"/>
      <c r="UWX41" s="39"/>
      <c r="UWY41" s="38"/>
      <c r="UWZ41" s="38"/>
      <c r="UXA41" s="38"/>
      <c r="UXB41" s="40"/>
      <c r="UXC41" s="41"/>
      <c r="UXD41" s="40"/>
      <c r="UXE41" s="38"/>
      <c r="UXF41" s="42"/>
      <c r="UXG41" s="42"/>
      <c r="UXH41" s="42"/>
      <c r="UXI41" s="38"/>
      <c r="UXJ41" s="38"/>
      <c r="UXK41" s="38"/>
      <c r="UXL41" s="39"/>
      <c r="UXM41" s="38"/>
      <c r="UXN41" s="38"/>
      <c r="UXO41" s="38"/>
      <c r="UXP41" s="40"/>
      <c r="UXQ41" s="41"/>
      <c r="UXR41" s="40"/>
      <c r="UXS41" s="38"/>
      <c r="UXT41" s="42"/>
      <c r="UXU41" s="42"/>
      <c r="UXV41" s="42"/>
      <c r="UXW41" s="38"/>
      <c r="UXX41" s="38"/>
      <c r="UXY41" s="38"/>
      <c r="UXZ41" s="39"/>
      <c r="UYA41" s="38"/>
      <c r="UYB41" s="38"/>
      <c r="UYC41" s="38"/>
      <c r="UYD41" s="40"/>
      <c r="UYE41" s="41"/>
      <c r="UYF41" s="40"/>
      <c r="UYG41" s="38"/>
      <c r="UYH41" s="42"/>
      <c r="UYI41" s="42"/>
      <c r="UYJ41" s="42"/>
      <c r="UYK41" s="38"/>
      <c r="UYL41" s="38"/>
      <c r="UYM41" s="38"/>
      <c r="UYN41" s="39"/>
      <c r="UYO41" s="38"/>
      <c r="UYP41" s="38"/>
      <c r="UYQ41" s="38"/>
      <c r="UYR41" s="40"/>
      <c r="UYS41" s="41"/>
      <c r="UYT41" s="40"/>
      <c r="UYU41" s="38"/>
      <c r="UYV41" s="42"/>
      <c r="UYW41" s="42"/>
      <c r="UYX41" s="42"/>
      <c r="UYY41" s="38"/>
      <c r="UYZ41" s="38"/>
      <c r="UZA41" s="38"/>
      <c r="UZB41" s="39"/>
      <c r="UZC41" s="38"/>
      <c r="UZD41" s="38"/>
      <c r="UZE41" s="38"/>
      <c r="UZF41" s="40"/>
      <c r="UZG41" s="41"/>
      <c r="UZH41" s="40"/>
      <c r="UZI41" s="38"/>
      <c r="UZJ41" s="42"/>
      <c r="UZK41" s="42"/>
      <c r="UZL41" s="42"/>
      <c r="UZM41" s="38"/>
      <c r="UZN41" s="38"/>
      <c r="UZO41" s="38"/>
      <c r="UZP41" s="39"/>
      <c r="UZQ41" s="38"/>
      <c r="UZR41" s="38"/>
      <c r="UZS41" s="38"/>
      <c r="UZT41" s="40"/>
      <c r="UZU41" s="41"/>
      <c r="UZV41" s="40"/>
      <c r="UZW41" s="38"/>
      <c r="UZX41" s="42"/>
      <c r="UZY41" s="42"/>
      <c r="UZZ41" s="42"/>
      <c r="VAA41" s="38"/>
      <c r="VAB41" s="38"/>
      <c r="VAC41" s="38"/>
      <c r="VAD41" s="39"/>
      <c r="VAE41" s="38"/>
      <c r="VAF41" s="38"/>
      <c r="VAG41" s="38"/>
      <c r="VAH41" s="40"/>
      <c r="VAI41" s="41"/>
      <c r="VAJ41" s="40"/>
      <c r="VAK41" s="38"/>
      <c r="VAL41" s="42"/>
      <c r="VAM41" s="42"/>
      <c r="VAN41" s="42"/>
      <c r="VAO41" s="38"/>
      <c r="VAP41" s="38"/>
      <c r="VAQ41" s="38"/>
      <c r="VAR41" s="39"/>
      <c r="VAS41" s="38"/>
      <c r="VAT41" s="38"/>
      <c r="VAU41" s="38"/>
      <c r="VAV41" s="40"/>
      <c r="VAW41" s="41"/>
      <c r="VAX41" s="40"/>
      <c r="VAY41" s="38"/>
      <c r="VAZ41" s="42"/>
      <c r="VBA41" s="42"/>
      <c r="VBB41" s="42"/>
      <c r="VBC41" s="38"/>
      <c r="VBD41" s="38"/>
      <c r="VBE41" s="38"/>
      <c r="VBF41" s="39"/>
      <c r="VBG41" s="38"/>
      <c r="VBH41" s="38"/>
      <c r="VBI41" s="38"/>
      <c r="VBJ41" s="40"/>
      <c r="VBK41" s="41"/>
      <c r="VBL41" s="40"/>
      <c r="VBM41" s="38"/>
      <c r="VBN41" s="42"/>
      <c r="VBO41" s="42"/>
      <c r="VBP41" s="42"/>
      <c r="VBQ41" s="38"/>
      <c r="VBR41" s="38"/>
      <c r="VBS41" s="38"/>
      <c r="VBT41" s="39"/>
      <c r="VBU41" s="38"/>
      <c r="VBV41" s="38"/>
      <c r="VBW41" s="38"/>
      <c r="VBX41" s="40"/>
      <c r="VBY41" s="41"/>
      <c r="VBZ41" s="40"/>
      <c r="VCA41" s="38"/>
      <c r="VCB41" s="42"/>
      <c r="VCC41" s="42"/>
      <c r="VCD41" s="42"/>
      <c r="VCE41" s="38"/>
      <c r="VCF41" s="38"/>
      <c r="VCG41" s="38"/>
      <c r="VCH41" s="39"/>
      <c r="VCI41" s="38"/>
      <c r="VCJ41" s="38"/>
      <c r="VCK41" s="38"/>
      <c r="VCL41" s="40"/>
      <c r="VCM41" s="41"/>
      <c r="VCN41" s="40"/>
      <c r="VCO41" s="38"/>
      <c r="VCP41" s="42"/>
      <c r="VCQ41" s="42"/>
      <c r="VCR41" s="42"/>
      <c r="VCS41" s="38"/>
      <c r="VCT41" s="38"/>
      <c r="VCU41" s="38"/>
      <c r="VCV41" s="39"/>
      <c r="VCW41" s="38"/>
      <c r="VCX41" s="38"/>
      <c r="VCY41" s="38"/>
      <c r="VCZ41" s="40"/>
      <c r="VDA41" s="41"/>
      <c r="VDB41" s="40"/>
      <c r="VDC41" s="38"/>
      <c r="VDD41" s="42"/>
      <c r="VDE41" s="42"/>
      <c r="VDF41" s="42"/>
      <c r="VDG41" s="38"/>
      <c r="VDH41" s="38"/>
      <c r="VDI41" s="38"/>
      <c r="VDJ41" s="39"/>
      <c r="VDK41" s="38"/>
      <c r="VDL41" s="38"/>
      <c r="VDM41" s="38"/>
      <c r="VDN41" s="40"/>
      <c r="VDO41" s="41"/>
      <c r="VDP41" s="40"/>
      <c r="VDQ41" s="38"/>
      <c r="VDR41" s="42"/>
      <c r="VDS41" s="42"/>
      <c r="VDT41" s="42"/>
      <c r="VDU41" s="38"/>
      <c r="VDV41" s="38"/>
      <c r="VDW41" s="38"/>
      <c r="VDX41" s="39"/>
      <c r="VDY41" s="38"/>
      <c r="VDZ41" s="38"/>
      <c r="VEA41" s="38"/>
      <c r="VEB41" s="40"/>
      <c r="VEC41" s="41"/>
      <c r="VED41" s="40"/>
      <c r="VEE41" s="38"/>
      <c r="VEF41" s="42"/>
      <c r="VEG41" s="42"/>
      <c r="VEH41" s="42"/>
      <c r="VEI41" s="38"/>
      <c r="VEJ41" s="38"/>
      <c r="VEK41" s="38"/>
      <c r="VEL41" s="39"/>
      <c r="VEM41" s="38"/>
      <c r="VEN41" s="38"/>
      <c r="VEO41" s="38"/>
      <c r="VEP41" s="40"/>
      <c r="VEQ41" s="41"/>
      <c r="VER41" s="40"/>
      <c r="VES41" s="38"/>
      <c r="VET41" s="42"/>
      <c r="VEU41" s="42"/>
      <c r="VEV41" s="42"/>
      <c r="VEW41" s="38"/>
      <c r="VEX41" s="38"/>
      <c r="VEY41" s="38"/>
      <c r="VEZ41" s="39"/>
      <c r="VFA41" s="38"/>
      <c r="VFB41" s="38"/>
      <c r="VFC41" s="38"/>
      <c r="VFD41" s="40"/>
      <c r="VFE41" s="41"/>
      <c r="VFF41" s="40"/>
      <c r="VFG41" s="38"/>
      <c r="VFH41" s="42"/>
      <c r="VFI41" s="42"/>
      <c r="VFJ41" s="42"/>
      <c r="VFK41" s="38"/>
      <c r="VFL41" s="38"/>
      <c r="VFM41" s="38"/>
      <c r="VFN41" s="39"/>
      <c r="VFO41" s="38"/>
      <c r="VFP41" s="38"/>
      <c r="VFQ41" s="38"/>
      <c r="VFR41" s="40"/>
      <c r="VFS41" s="41"/>
      <c r="VFT41" s="40"/>
      <c r="VFU41" s="38"/>
      <c r="VFV41" s="42"/>
      <c r="VFW41" s="42"/>
      <c r="VFX41" s="42"/>
      <c r="VFY41" s="38"/>
      <c r="VFZ41" s="38"/>
      <c r="VGA41" s="38"/>
      <c r="VGB41" s="39"/>
      <c r="VGC41" s="38"/>
      <c r="VGD41" s="38"/>
      <c r="VGE41" s="38"/>
      <c r="VGF41" s="40"/>
      <c r="VGG41" s="41"/>
      <c r="VGH41" s="40"/>
      <c r="VGI41" s="38"/>
      <c r="VGJ41" s="42"/>
      <c r="VGK41" s="42"/>
      <c r="VGL41" s="42"/>
      <c r="VGM41" s="38"/>
      <c r="VGN41" s="38"/>
      <c r="VGO41" s="38"/>
      <c r="VGP41" s="39"/>
      <c r="VGQ41" s="38"/>
      <c r="VGR41" s="38"/>
      <c r="VGS41" s="38"/>
      <c r="VGT41" s="40"/>
      <c r="VGU41" s="41"/>
      <c r="VGV41" s="40"/>
      <c r="VGW41" s="38"/>
      <c r="VGX41" s="42"/>
      <c r="VGY41" s="42"/>
      <c r="VGZ41" s="42"/>
      <c r="VHA41" s="38"/>
      <c r="VHB41" s="38"/>
      <c r="VHC41" s="38"/>
      <c r="VHD41" s="39"/>
      <c r="VHE41" s="38"/>
      <c r="VHF41" s="38"/>
      <c r="VHG41" s="38"/>
      <c r="VHH41" s="40"/>
      <c r="VHI41" s="41"/>
      <c r="VHJ41" s="40"/>
      <c r="VHK41" s="38"/>
      <c r="VHL41" s="42"/>
      <c r="VHM41" s="42"/>
      <c r="VHN41" s="42"/>
      <c r="VHO41" s="38"/>
      <c r="VHP41" s="38"/>
      <c r="VHQ41" s="38"/>
      <c r="VHR41" s="39"/>
      <c r="VHS41" s="38"/>
      <c r="VHT41" s="38"/>
      <c r="VHU41" s="38"/>
      <c r="VHV41" s="40"/>
      <c r="VHW41" s="41"/>
      <c r="VHX41" s="40"/>
      <c r="VHY41" s="38"/>
      <c r="VHZ41" s="42"/>
      <c r="VIA41" s="42"/>
      <c r="VIB41" s="42"/>
      <c r="VIC41" s="38"/>
      <c r="VID41" s="38"/>
      <c r="VIE41" s="38"/>
      <c r="VIF41" s="39"/>
      <c r="VIG41" s="38"/>
      <c r="VIH41" s="38"/>
      <c r="VII41" s="38"/>
      <c r="VIJ41" s="40"/>
      <c r="VIK41" s="41"/>
      <c r="VIL41" s="40"/>
      <c r="VIM41" s="38"/>
      <c r="VIN41" s="42"/>
      <c r="VIO41" s="42"/>
      <c r="VIP41" s="42"/>
      <c r="VIQ41" s="38"/>
      <c r="VIR41" s="38"/>
      <c r="VIS41" s="38"/>
      <c r="VIT41" s="39"/>
      <c r="VIU41" s="38"/>
      <c r="VIV41" s="38"/>
      <c r="VIW41" s="38"/>
      <c r="VIX41" s="40"/>
      <c r="VIY41" s="41"/>
      <c r="VIZ41" s="40"/>
      <c r="VJA41" s="38"/>
      <c r="VJB41" s="42"/>
      <c r="VJC41" s="42"/>
      <c r="VJD41" s="42"/>
      <c r="VJE41" s="38"/>
      <c r="VJF41" s="38"/>
      <c r="VJG41" s="38"/>
      <c r="VJH41" s="39"/>
      <c r="VJI41" s="38"/>
      <c r="VJJ41" s="38"/>
      <c r="VJK41" s="38"/>
      <c r="VJL41" s="40"/>
      <c r="VJM41" s="41"/>
      <c r="VJN41" s="40"/>
      <c r="VJO41" s="38"/>
      <c r="VJP41" s="42"/>
      <c r="VJQ41" s="42"/>
      <c r="VJR41" s="42"/>
      <c r="VJS41" s="38"/>
      <c r="VJT41" s="38"/>
      <c r="VJU41" s="38"/>
      <c r="VJV41" s="39"/>
      <c r="VJW41" s="38"/>
      <c r="VJX41" s="38"/>
      <c r="VJY41" s="38"/>
      <c r="VJZ41" s="40"/>
      <c r="VKA41" s="41"/>
      <c r="VKB41" s="40"/>
      <c r="VKC41" s="38"/>
      <c r="VKD41" s="42"/>
      <c r="VKE41" s="42"/>
      <c r="VKF41" s="42"/>
      <c r="VKG41" s="38"/>
      <c r="VKH41" s="38"/>
      <c r="VKI41" s="38"/>
      <c r="VKJ41" s="39"/>
      <c r="VKK41" s="38"/>
      <c r="VKL41" s="38"/>
      <c r="VKM41" s="38"/>
      <c r="VKN41" s="40"/>
      <c r="VKO41" s="41"/>
      <c r="VKP41" s="40"/>
      <c r="VKQ41" s="38"/>
      <c r="VKR41" s="42"/>
      <c r="VKS41" s="42"/>
      <c r="VKT41" s="42"/>
      <c r="VKU41" s="38"/>
      <c r="VKV41" s="38"/>
      <c r="VKW41" s="38"/>
      <c r="VKX41" s="39"/>
      <c r="VKY41" s="38"/>
      <c r="VKZ41" s="38"/>
      <c r="VLA41" s="38"/>
      <c r="VLB41" s="40"/>
      <c r="VLC41" s="41"/>
      <c r="VLD41" s="40"/>
      <c r="VLE41" s="38"/>
      <c r="VLF41" s="42"/>
      <c r="VLG41" s="42"/>
      <c r="VLH41" s="42"/>
      <c r="VLI41" s="38"/>
      <c r="VLJ41" s="38"/>
      <c r="VLK41" s="38"/>
      <c r="VLL41" s="39"/>
      <c r="VLM41" s="38"/>
      <c r="VLN41" s="38"/>
      <c r="VLO41" s="38"/>
      <c r="VLP41" s="40"/>
      <c r="VLQ41" s="41"/>
      <c r="VLR41" s="40"/>
      <c r="VLS41" s="38"/>
      <c r="VLT41" s="42"/>
      <c r="VLU41" s="42"/>
      <c r="VLV41" s="42"/>
      <c r="VLW41" s="38"/>
      <c r="VLX41" s="38"/>
      <c r="VLY41" s="38"/>
      <c r="VLZ41" s="39"/>
      <c r="VMA41" s="38"/>
      <c r="VMB41" s="38"/>
      <c r="VMC41" s="38"/>
      <c r="VMD41" s="40"/>
      <c r="VME41" s="41"/>
      <c r="VMF41" s="40"/>
      <c r="VMG41" s="38"/>
      <c r="VMH41" s="42"/>
      <c r="VMI41" s="42"/>
      <c r="VMJ41" s="42"/>
      <c r="VMK41" s="38"/>
      <c r="VML41" s="38"/>
      <c r="VMM41" s="38"/>
      <c r="VMN41" s="39"/>
      <c r="VMO41" s="38"/>
      <c r="VMP41" s="38"/>
      <c r="VMQ41" s="38"/>
      <c r="VMR41" s="40"/>
      <c r="VMS41" s="41"/>
      <c r="VMT41" s="40"/>
      <c r="VMU41" s="38"/>
      <c r="VMV41" s="42"/>
      <c r="VMW41" s="42"/>
      <c r="VMX41" s="42"/>
      <c r="VMY41" s="38"/>
      <c r="VMZ41" s="38"/>
      <c r="VNA41" s="38"/>
      <c r="VNB41" s="39"/>
      <c r="VNC41" s="38"/>
      <c r="VND41" s="38"/>
      <c r="VNE41" s="38"/>
      <c r="VNF41" s="40"/>
      <c r="VNG41" s="41"/>
      <c r="VNH41" s="40"/>
      <c r="VNI41" s="38"/>
      <c r="VNJ41" s="42"/>
      <c r="VNK41" s="42"/>
      <c r="VNL41" s="42"/>
      <c r="VNM41" s="38"/>
      <c r="VNN41" s="38"/>
      <c r="VNO41" s="38"/>
      <c r="VNP41" s="39"/>
      <c r="VNQ41" s="38"/>
      <c r="VNR41" s="38"/>
      <c r="VNS41" s="38"/>
      <c r="VNT41" s="40"/>
      <c r="VNU41" s="41"/>
      <c r="VNV41" s="40"/>
      <c r="VNW41" s="38"/>
      <c r="VNX41" s="42"/>
      <c r="VNY41" s="42"/>
      <c r="VNZ41" s="42"/>
      <c r="VOA41" s="38"/>
      <c r="VOB41" s="38"/>
      <c r="VOC41" s="38"/>
      <c r="VOD41" s="39"/>
      <c r="VOE41" s="38"/>
      <c r="VOF41" s="38"/>
      <c r="VOG41" s="38"/>
      <c r="VOH41" s="40"/>
      <c r="VOI41" s="41"/>
      <c r="VOJ41" s="40"/>
      <c r="VOK41" s="38"/>
      <c r="VOL41" s="42"/>
      <c r="VOM41" s="42"/>
      <c r="VON41" s="42"/>
      <c r="VOO41" s="38"/>
      <c r="VOP41" s="38"/>
      <c r="VOQ41" s="38"/>
      <c r="VOR41" s="39"/>
      <c r="VOS41" s="38"/>
      <c r="VOT41" s="38"/>
      <c r="VOU41" s="38"/>
      <c r="VOV41" s="40"/>
      <c r="VOW41" s="41"/>
      <c r="VOX41" s="40"/>
      <c r="VOY41" s="38"/>
      <c r="VOZ41" s="42"/>
      <c r="VPA41" s="42"/>
      <c r="VPB41" s="42"/>
      <c r="VPC41" s="38"/>
      <c r="VPD41" s="38"/>
      <c r="VPE41" s="38"/>
      <c r="VPF41" s="39"/>
      <c r="VPG41" s="38"/>
      <c r="VPH41" s="38"/>
      <c r="VPI41" s="38"/>
      <c r="VPJ41" s="40"/>
      <c r="VPK41" s="41"/>
      <c r="VPL41" s="40"/>
      <c r="VPM41" s="38"/>
      <c r="VPN41" s="42"/>
      <c r="VPO41" s="42"/>
      <c r="VPP41" s="42"/>
      <c r="VPQ41" s="38"/>
      <c r="VPR41" s="38"/>
      <c r="VPS41" s="38"/>
      <c r="VPT41" s="39"/>
      <c r="VPU41" s="38"/>
      <c r="VPV41" s="38"/>
      <c r="VPW41" s="38"/>
      <c r="VPX41" s="40"/>
      <c r="VPY41" s="41"/>
      <c r="VPZ41" s="40"/>
      <c r="VQA41" s="38"/>
      <c r="VQB41" s="42"/>
      <c r="VQC41" s="42"/>
      <c r="VQD41" s="42"/>
      <c r="VQE41" s="38"/>
      <c r="VQF41" s="38"/>
      <c r="VQG41" s="38"/>
      <c r="VQH41" s="39"/>
      <c r="VQI41" s="38"/>
      <c r="VQJ41" s="38"/>
      <c r="VQK41" s="38"/>
      <c r="VQL41" s="40"/>
      <c r="VQM41" s="41"/>
      <c r="VQN41" s="40"/>
      <c r="VQO41" s="38"/>
      <c r="VQP41" s="42"/>
      <c r="VQQ41" s="42"/>
      <c r="VQR41" s="42"/>
      <c r="VQS41" s="38"/>
      <c r="VQT41" s="38"/>
      <c r="VQU41" s="38"/>
      <c r="VQV41" s="39"/>
      <c r="VQW41" s="38"/>
      <c r="VQX41" s="38"/>
      <c r="VQY41" s="38"/>
      <c r="VQZ41" s="40"/>
      <c r="VRA41" s="41"/>
      <c r="VRB41" s="40"/>
      <c r="VRC41" s="38"/>
      <c r="VRD41" s="42"/>
      <c r="VRE41" s="42"/>
      <c r="VRF41" s="42"/>
      <c r="VRG41" s="38"/>
      <c r="VRH41" s="38"/>
      <c r="VRI41" s="38"/>
      <c r="VRJ41" s="39"/>
      <c r="VRK41" s="38"/>
      <c r="VRL41" s="38"/>
      <c r="VRM41" s="38"/>
      <c r="VRN41" s="40"/>
      <c r="VRO41" s="41"/>
      <c r="VRP41" s="40"/>
      <c r="VRQ41" s="38"/>
      <c r="VRR41" s="42"/>
      <c r="VRS41" s="42"/>
      <c r="VRT41" s="42"/>
      <c r="VRU41" s="38"/>
      <c r="VRV41" s="38"/>
      <c r="VRW41" s="38"/>
      <c r="VRX41" s="39"/>
      <c r="VRY41" s="38"/>
      <c r="VRZ41" s="38"/>
      <c r="VSA41" s="38"/>
      <c r="VSB41" s="40"/>
      <c r="VSC41" s="41"/>
      <c r="VSD41" s="40"/>
      <c r="VSE41" s="38"/>
      <c r="VSF41" s="42"/>
      <c r="VSG41" s="42"/>
      <c r="VSH41" s="42"/>
      <c r="VSI41" s="38"/>
      <c r="VSJ41" s="38"/>
      <c r="VSK41" s="38"/>
      <c r="VSL41" s="39"/>
      <c r="VSM41" s="38"/>
      <c r="VSN41" s="38"/>
      <c r="VSO41" s="38"/>
      <c r="VSP41" s="40"/>
      <c r="VSQ41" s="41"/>
      <c r="VSR41" s="40"/>
      <c r="VSS41" s="38"/>
      <c r="VST41" s="42"/>
      <c r="VSU41" s="42"/>
      <c r="VSV41" s="42"/>
      <c r="VSW41" s="38"/>
      <c r="VSX41" s="38"/>
      <c r="VSY41" s="38"/>
      <c r="VSZ41" s="39"/>
      <c r="VTA41" s="38"/>
      <c r="VTB41" s="38"/>
      <c r="VTC41" s="38"/>
      <c r="VTD41" s="40"/>
      <c r="VTE41" s="41"/>
      <c r="VTF41" s="40"/>
      <c r="VTG41" s="38"/>
      <c r="VTH41" s="42"/>
      <c r="VTI41" s="42"/>
      <c r="VTJ41" s="42"/>
      <c r="VTK41" s="38"/>
      <c r="VTL41" s="38"/>
      <c r="VTM41" s="38"/>
      <c r="VTN41" s="39"/>
      <c r="VTO41" s="38"/>
      <c r="VTP41" s="38"/>
      <c r="VTQ41" s="38"/>
      <c r="VTR41" s="40"/>
      <c r="VTS41" s="41"/>
      <c r="VTT41" s="40"/>
      <c r="VTU41" s="38"/>
      <c r="VTV41" s="42"/>
      <c r="VTW41" s="42"/>
      <c r="VTX41" s="42"/>
      <c r="VTY41" s="38"/>
      <c r="VTZ41" s="38"/>
      <c r="VUA41" s="38"/>
      <c r="VUB41" s="39"/>
      <c r="VUC41" s="38"/>
      <c r="VUD41" s="38"/>
      <c r="VUE41" s="38"/>
      <c r="VUF41" s="40"/>
      <c r="VUG41" s="41"/>
      <c r="VUH41" s="40"/>
      <c r="VUI41" s="38"/>
      <c r="VUJ41" s="42"/>
      <c r="VUK41" s="42"/>
      <c r="VUL41" s="42"/>
      <c r="VUM41" s="38"/>
      <c r="VUN41" s="38"/>
      <c r="VUO41" s="38"/>
      <c r="VUP41" s="39"/>
      <c r="VUQ41" s="38"/>
      <c r="VUR41" s="38"/>
      <c r="VUS41" s="38"/>
      <c r="VUT41" s="40"/>
      <c r="VUU41" s="41"/>
      <c r="VUV41" s="40"/>
      <c r="VUW41" s="38"/>
      <c r="VUX41" s="42"/>
      <c r="VUY41" s="42"/>
      <c r="VUZ41" s="42"/>
      <c r="VVA41" s="38"/>
      <c r="VVB41" s="38"/>
      <c r="VVC41" s="38"/>
      <c r="VVD41" s="39"/>
      <c r="VVE41" s="38"/>
      <c r="VVF41" s="38"/>
      <c r="VVG41" s="38"/>
      <c r="VVH41" s="40"/>
      <c r="VVI41" s="41"/>
      <c r="VVJ41" s="40"/>
      <c r="VVK41" s="38"/>
      <c r="VVL41" s="42"/>
      <c r="VVM41" s="42"/>
      <c r="VVN41" s="42"/>
      <c r="VVO41" s="38"/>
      <c r="VVP41" s="38"/>
      <c r="VVQ41" s="38"/>
      <c r="VVR41" s="39"/>
      <c r="VVS41" s="38"/>
      <c r="VVT41" s="38"/>
      <c r="VVU41" s="38"/>
      <c r="VVV41" s="40"/>
      <c r="VVW41" s="41"/>
      <c r="VVX41" s="40"/>
      <c r="VVY41" s="38"/>
      <c r="VVZ41" s="42"/>
      <c r="VWA41" s="42"/>
      <c r="VWB41" s="42"/>
      <c r="VWC41" s="38"/>
      <c r="VWD41" s="38"/>
      <c r="VWE41" s="38"/>
      <c r="VWF41" s="39"/>
      <c r="VWG41" s="38"/>
      <c r="VWH41" s="38"/>
      <c r="VWI41" s="38"/>
      <c r="VWJ41" s="40"/>
      <c r="VWK41" s="41"/>
      <c r="VWL41" s="40"/>
      <c r="VWM41" s="38"/>
      <c r="VWN41" s="42"/>
      <c r="VWO41" s="42"/>
      <c r="VWP41" s="42"/>
      <c r="VWQ41" s="38"/>
      <c r="VWR41" s="38"/>
      <c r="VWS41" s="38"/>
      <c r="VWT41" s="39"/>
      <c r="VWU41" s="38"/>
      <c r="VWV41" s="38"/>
      <c r="VWW41" s="38"/>
      <c r="VWX41" s="40"/>
      <c r="VWY41" s="41"/>
      <c r="VWZ41" s="40"/>
      <c r="VXA41" s="38"/>
      <c r="VXB41" s="42"/>
      <c r="VXC41" s="42"/>
      <c r="VXD41" s="42"/>
      <c r="VXE41" s="38"/>
      <c r="VXF41" s="38"/>
      <c r="VXG41" s="38"/>
      <c r="VXH41" s="39"/>
      <c r="VXI41" s="38"/>
      <c r="VXJ41" s="38"/>
      <c r="VXK41" s="38"/>
      <c r="VXL41" s="40"/>
      <c r="VXM41" s="41"/>
      <c r="VXN41" s="40"/>
      <c r="VXO41" s="38"/>
      <c r="VXP41" s="42"/>
      <c r="VXQ41" s="42"/>
      <c r="VXR41" s="42"/>
      <c r="VXS41" s="38"/>
      <c r="VXT41" s="38"/>
      <c r="VXU41" s="38"/>
      <c r="VXV41" s="39"/>
      <c r="VXW41" s="38"/>
      <c r="VXX41" s="38"/>
      <c r="VXY41" s="38"/>
      <c r="VXZ41" s="40"/>
      <c r="VYA41" s="41"/>
      <c r="VYB41" s="40"/>
      <c r="VYC41" s="38"/>
      <c r="VYD41" s="42"/>
      <c r="VYE41" s="42"/>
      <c r="VYF41" s="42"/>
      <c r="VYG41" s="38"/>
      <c r="VYH41" s="38"/>
      <c r="VYI41" s="38"/>
      <c r="VYJ41" s="39"/>
      <c r="VYK41" s="38"/>
      <c r="VYL41" s="38"/>
      <c r="VYM41" s="38"/>
      <c r="VYN41" s="40"/>
      <c r="VYO41" s="41"/>
      <c r="VYP41" s="40"/>
      <c r="VYQ41" s="38"/>
      <c r="VYR41" s="42"/>
      <c r="VYS41" s="42"/>
      <c r="VYT41" s="42"/>
      <c r="VYU41" s="38"/>
      <c r="VYV41" s="38"/>
      <c r="VYW41" s="38"/>
      <c r="VYX41" s="39"/>
      <c r="VYY41" s="38"/>
      <c r="VYZ41" s="38"/>
      <c r="VZA41" s="38"/>
      <c r="VZB41" s="40"/>
      <c r="VZC41" s="41"/>
      <c r="VZD41" s="40"/>
      <c r="VZE41" s="38"/>
      <c r="VZF41" s="42"/>
      <c r="VZG41" s="42"/>
      <c r="VZH41" s="42"/>
      <c r="VZI41" s="38"/>
      <c r="VZJ41" s="38"/>
      <c r="VZK41" s="38"/>
      <c r="VZL41" s="39"/>
      <c r="VZM41" s="38"/>
      <c r="VZN41" s="38"/>
      <c r="VZO41" s="38"/>
      <c r="VZP41" s="40"/>
      <c r="VZQ41" s="41"/>
      <c r="VZR41" s="40"/>
      <c r="VZS41" s="38"/>
      <c r="VZT41" s="42"/>
      <c r="VZU41" s="42"/>
      <c r="VZV41" s="42"/>
      <c r="VZW41" s="38"/>
      <c r="VZX41" s="38"/>
      <c r="VZY41" s="38"/>
      <c r="VZZ41" s="39"/>
      <c r="WAA41" s="38"/>
      <c r="WAB41" s="38"/>
      <c r="WAC41" s="38"/>
      <c r="WAD41" s="40"/>
      <c r="WAE41" s="41"/>
      <c r="WAF41" s="40"/>
      <c r="WAG41" s="38"/>
      <c r="WAH41" s="42"/>
      <c r="WAI41" s="42"/>
      <c r="WAJ41" s="42"/>
      <c r="WAK41" s="38"/>
      <c r="WAL41" s="38"/>
      <c r="WAM41" s="38"/>
      <c r="WAN41" s="39"/>
      <c r="WAO41" s="38"/>
      <c r="WAP41" s="38"/>
      <c r="WAQ41" s="38"/>
      <c r="WAR41" s="40"/>
      <c r="WAS41" s="41"/>
      <c r="WAT41" s="40"/>
      <c r="WAU41" s="38"/>
      <c r="WAV41" s="42"/>
      <c r="WAW41" s="42"/>
      <c r="WAX41" s="42"/>
      <c r="WAY41" s="38"/>
      <c r="WAZ41" s="38"/>
      <c r="WBA41" s="38"/>
      <c r="WBB41" s="39"/>
      <c r="WBC41" s="38"/>
      <c r="WBD41" s="38"/>
      <c r="WBE41" s="38"/>
      <c r="WBF41" s="40"/>
      <c r="WBG41" s="41"/>
      <c r="WBH41" s="40"/>
      <c r="WBI41" s="38"/>
      <c r="WBJ41" s="42"/>
      <c r="WBK41" s="42"/>
      <c r="WBL41" s="42"/>
      <c r="WBM41" s="38"/>
      <c r="WBN41" s="38"/>
      <c r="WBO41" s="38"/>
      <c r="WBP41" s="39"/>
      <c r="WBQ41" s="38"/>
      <c r="WBR41" s="38"/>
      <c r="WBS41" s="38"/>
      <c r="WBT41" s="40"/>
      <c r="WBU41" s="41"/>
      <c r="WBV41" s="40"/>
      <c r="WBW41" s="38"/>
      <c r="WBX41" s="42"/>
      <c r="WBY41" s="42"/>
      <c r="WBZ41" s="42"/>
      <c r="WCA41" s="38"/>
      <c r="WCB41" s="38"/>
      <c r="WCC41" s="38"/>
      <c r="WCD41" s="39"/>
      <c r="WCE41" s="38"/>
      <c r="WCF41" s="38"/>
      <c r="WCG41" s="38"/>
      <c r="WCH41" s="40"/>
      <c r="WCI41" s="41"/>
      <c r="WCJ41" s="40"/>
      <c r="WCK41" s="38"/>
      <c r="WCL41" s="42"/>
      <c r="WCM41" s="42"/>
      <c r="WCN41" s="42"/>
      <c r="WCO41" s="38"/>
      <c r="WCP41" s="38"/>
      <c r="WCQ41" s="38"/>
      <c r="WCR41" s="39"/>
      <c r="WCS41" s="38"/>
      <c r="WCT41" s="38"/>
      <c r="WCU41" s="38"/>
      <c r="WCV41" s="40"/>
      <c r="WCW41" s="41"/>
      <c r="WCX41" s="40"/>
      <c r="WCY41" s="38"/>
      <c r="WCZ41" s="42"/>
      <c r="WDA41" s="42"/>
      <c r="WDB41" s="42"/>
      <c r="WDC41" s="38"/>
      <c r="WDD41" s="38"/>
      <c r="WDE41" s="38"/>
      <c r="WDF41" s="39"/>
      <c r="WDG41" s="38"/>
      <c r="WDH41" s="38"/>
      <c r="WDI41" s="38"/>
      <c r="WDJ41" s="40"/>
      <c r="WDK41" s="41"/>
      <c r="WDL41" s="40"/>
      <c r="WDM41" s="38"/>
      <c r="WDN41" s="42"/>
      <c r="WDO41" s="42"/>
      <c r="WDP41" s="42"/>
      <c r="WDQ41" s="38"/>
      <c r="WDR41" s="38"/>
      <c r="WDS41" s="38"/>
      <c r="WDT41" s="39"/>
      <c r="WDU41" s="38"/>
      <c r="WDV41" s="38"/>
      <c r="WDW41" s="38"/>
      <c r="WDX41" s="40"/>
      <c r="WDY41" s="41"/>
      <c r="WDZ41" s="40"/>
      <c r="WEA41" s="38"/>
      <c r="WEB41" s="42"/>
      <c r="WEC41" s="42"/>
      <c r="WED41" s="42"/>
      <c r="WEE41" s="38"/>
      <c r="WEF41" s="38"/>
      <c r="WEG41" s="38"/>
      <c r="WEH41" s="39"/>
      <c r="WEI41" s="38"/>
      <c r="WEJ41" s="38"/>
      <c r="WEK41" s="38"/>
      <c r="WEL41" s="40"/>
      <c r="WEM41" s="41"/>
      <c r="WEN41" s="40"/>
      <c r="WEO41" s="38"/>
      <c r="WEP41" s="42"/>
      <c r="WEQ41" s="42"/>
      <c r="WER41" s="42"/>
      <c r="WES41" s="38"/>
      <c r="WET41" s="38"/>
      <c r="WEU41" s="38"/>
      <c r="WEV41" s="39"/>
      <c r="WEW41" s="38"/>
      <c r="WEX41" s="38"/>
      <c r="WEY41" s="38"/>
      <c r="WEZ41" s="40"/>
      <c r="WFA41" s="41"/>
      <c r="WFB41" s="40"/>
      <c r="WFC41" s="38"/>
      <c r="WFD41" s="42"/>
      <c r="WFE41" s="42"/>
      <c r="WFF41" s="42"/>
      <c r="WFG41" s="38"/>
      <c r="WFH41" s="38"/>
      <c r="WFI41" s="38"/>
      <c r="WFJ41" s="39"/>
      <c r="WFK41" s="38"/>
      <c r="WFL41" s="38"/>
      <c r="WFM41" s="38"/>
      <c r="WFN41" s="40"/>
      <c r="WFO41" s="41"/>
      <c r="WFP41" s="40"/>
      <c r="WFQ41" s="38"/>
      <c r="WFR41" s="42"/>
      <c r="WFS41" s="42"/>
      <c r="WFT41" s="42"/>
      <c r="WFU41" s="38"/>
      <c r="WFV41" s="38"/>
      <c r="WFW41" s="38"/>
      <c r="WFX41" s="39"/>
      <c r="WFY41" s="38"/>
      <c r="WFZ41" s="38"/>
      <c r="WGA41" s="38"/>
      <c r="WGB41" s="40"/>
      <c r="WGC41" s="41"/>
      <c r="WGD41" s="40"/>
      <c r="WGE41" s="38"/>
      <c r="WGF41" s="42"/>
      <c r="WGG41" s="42"/>
      <c r="WGH41" s="42"/>
      <c r="WGI41" s="38"/>
      <c r="WGJ41" s="38"/>
      <c r="WGK41" s="38"/>
      <c r="WGL41" s="39"/>
      <c r="WGM41" s="38"/>
      <c r="WGN41" s="38"/>
      <c r="WGO41" s="38"/>
      <c r="WGP41" s="40"/>
      <c r="WGQ41" s="41"/>
      <c r="WGR41" s="40"/>
      <c r="WGS41" s="38"/>
      <c r="WGT41" s="42"/>
      <c r="WGU41" s="42"/>
      <c r="WGV41" s="42"/>
      <c r="WGW41" s="38"/>
      <c r="WGX41" s="38"/>
      <c r="WGY41" s="38"/>
      <c r="WGZ41" s="39"/>
      <c r="WHA41" s="38"/>
      <c r="WHB41" s="38"/>
      <c r="WHC41" s="38"/>
      <c r="WHD41" s="40"/>
      <c r="WHE41" s="41"/>
      <c r="WHF41" s="40"/>
      <c r="WHG41" s="38"/>
      <c r="WHH41" s="42"/>
      <c r="WHI41" s="42"/>
      <c r="WHJ41" s="42"/>
      <c r="WHK41" s="38"/>
      <c r="WHL41" s="38"/>
      <c r="WHM41" s="38"/>
      <c r="WHN41" s="39"/>
      <c r="WHO41" s="38"/>
      <c r="WHP41" s="38"/>
      <c r="WHQ41" s="38"/>
      <c r="WHR41" s="40"/>
      <c r="WHS41" s="41"/>
      <c r="WHT41" s="40"/>
      <c r="WHU41" s="38"/>
      <c r="WHV41" s="42"/>
      <c r="WHW41" s="42"/>
      <c r="WHX41" s="42"/>
      <c r="WHY41" s="38"/>
      <c r="WHZ41" s="38"/>
      <c r="WIA41" s="38"/>
      <c r="WIB41" s="39"/>
      <c r="WIC41" s="38"/>
      <c r="WID41" s="38"/>
      <c r="WIE41" s="38"/>
      <c r="WIF41" s="40"/>
      <c r="WIG41" s="41"/>
      <c r="WIH41" s="40"/>
      <c r="WII41" s="38"/>
      <c r="WIJ41" s="42"/>
      <c r="WIK41" s="42"/>
      <c r="WIL41" s="42"/>
      <c r="WIM41" s="38"/>
      <c r="WIN41" s="38"/>
      <c r="WIO41" s="38"/>
      <c r="WIP41" s="39"/>
      <c r="WIQ41" s="38"/>
      <c r="WIR41" s="38"/>
      <c r="WIS41" s="38"/>
      <c r="WIT41" s="40"/>
      <c r="WIU41" s="41"/>
      <c r="WIV41" s="40"/>
      <c r="WIW41" s="38"/>
      <c r="WIX41" s="42"/>
      <c r="WIY41" s="42"/>
      <c r="WIZ41" s="42"/>
      <c r="WJA41" s="38"/>
      <c r="WJB41" s="38"/>
      <c r="WJC41" s="38"/>
      <c r="WJD41" s="39"/>
      <c r="WJE41" s="38"/>
      <c r="WJF41" s="38"/>
      <c r="WJG41" s="38"/>
      <c r="WJH41" s="40"/>
      <c r="WJI41" s="41"/>
      <c r="WJJ41" s="40"/>
      <c r="WJK41" s="38"/>
      <c r="WJL41" s="42"/>
      <c r="WJM41" s="42"/>
      <c r="WJN41" s="42"/>
      <c r="WJO41" s="38"/>
      <c r="WJP41" s="38"/>
      <c r="WJQ41" s="38"/>
      <c r="WJR41" s="39"/>
      <c r="WJS41" s="38"/>
      <c r="WJT41" s="38"/>
      <c r="WJU41" s="38"/>
      <c r="WJV41" s="40"/>
      <c r="WJW41" s="41"/>
      <c r="WJX41" s="40"/>
      <c r="WJY41" s="38"/>
      <c r="WJZ41" s="42"/>
      <c r="WKA41" s="42"/>
      <c r="WKB41" s="42"/>
      <c r="WKC41" s="38"/>
      <c r="WKD41" s="38"/>
      <c r="WKE41" s="38"/>
      <c r="WKF41" s="39"/>
      <c r="WKG41" s="38"/>
      <c r="WKH41" s="38"/>
      <c r="WKI41" s="38"/>
      <c r="WKJ41" s="40"/>
      <c r="WKK41" s="41"/>
      <c r="WKL41" s="40"/>
      <c r="WKM41" s="38"/>
      <c r="WKN41" s="42"/>
      <c r="WKO41" s="42"/>
      <c r="WKP41" s="42"/>
      <c r="WKQ41" s="38"/>
      <c r="WKR41" s="38"/>
      <c r="WKS41" s="38"/>
      <c r="WKT41" s="39"/>
      <c r="WKU41" s="38"/>
      <c r="WKV41" s="38"/>
      <c r="WKW41" s="38"/>
      <c r="WKX41" s="40"/>
      <c r="WKY41" s="41"/>
      <c r="WKZ41" s="40"/>
      <c r="WLA41" s="38"/>
      <c r="WLB41" s="42"/>
      <c r="WLC41" s="42"/>
      <c r="WLD41" s="42"/>
      <c r="WLE41" s="38"/>
      <c r="WLF41" s="38"/>
      <c r="WLG41" s="38"/>
      <c r="WLH41" s="39"/>
      <c r="WLI41" s="38"/>
      <c r="WLJ41" s="38"/>
      <c r="WLK41" s="38"/>
      <c r="WLL41" s="40"/>
      <c r="WLM41" s="41"/>
      <c r="WLN41" s="40"/>
      <c r="WLO41" s="38"/>
      <c r="WLP41" s="42"/>
      <c r="WLQ41" s="42"/>
      <c r="WLR41" s="42"/>
      <c r="WLS41" s="38"/>
      <c r="WLT41" s="38"/>
      <c r="WLU41" s="38"/>
      <c r="WLV41" s="39"/>
      <c r="WLW41" s="38"/>
      <c r="WLX41" s="38"/>
      <c r="WLY41" s="38"/>
      <c r="WLZ41" s="40"/>
      <c r="WMA41" s="41"/>
      <c r="WMB41" s="40"/>
      <c r="WMC41" s="38"/>
      <c r="WMD41" s="42"/>
      <c r="WME41" s="42"/>
      <c r="WMF41" s="42"/>
      <c r="WMG41" s="38"/>
      <c r="WMH41" s="38"/>
      <c r="WMI41" s="38"/>
      <c r="WMJ41" s="39"/>
      <c r="WMK41" s="38"/>
      <c r="WML41" s="38"/>
      <c r="WMM41" s="38"/>
      <c r="WMN41" s="40"/>
      <c r="WMO41" s="41"/>
      <c r="WMP41" s="40"/>
      <c r="WMQ41" s="38"/>
      <c r="WMR41" s="42"/>
      <c r="WMS41" s="42"/>
      <c r="WMT41" s="42"/>
      <c r="WMU41" s="38"/>
      <c r="WMV41" s="38"/>
      <c r="WMW41" s="38"/>
      <c r="WMX41" s="39"/>
      <c r="WMY41" s="38"/>
      <c r="WMZ41" s="38"/>
      <c r="WNA41" s="38"/>
      <c r="WNB41" s="40"/>
      <c r="WNC41" s="41"/>
      <c r="WND41" s="40"/>
      <c r="WNE41" s="38"/>
      <c r="WNF41" s="42"/>
      <c r="WNG41" s="42"/>
      <c r="WNH41" s="42"/>
      <c r="WNI41" s="38"/>
      <c r="WNJ41" s="38"/>
      <c r="WNK41" s="38"/>
      <c r="WNL41" s="39"/>
      <c r="WNM41" s="38"/>
      <c r="WNN41" s="38"/>
      <c r="WNO41" s="38"/>
      <c r="WNP41" s="40"/>
      <c r="WNQ41" s="41"/>
      <c r="WNR41" s="40"/>
      <c r="WNS41" s="38"/>
      <c r="WNT41" s="42"/>
      <c r="WNU41" s="42"/>
      <c r="WNV41" s="42"/>
      <c r="WNW41" s="38"/>
      <c r="WNX41" s="38"/>
      <c r="WNY41" s="38"/>
      <c r="WNZ41" s="39"/>
      <c r="WOA41" s="38"/>
      <c r="WOB41" s="38"/>
      <c r="WOC41" s="38"/>
      <c r="WOD41" s="40"/>
      <c r="WOE41" s="41"/>
      <c r="WOF41" s="40"/>
      <c r="WOG41" s="38"/>
      <c r="WOH41" s="42"/>
      <c r="WOI41" s="42"/>
      <c r="WOJ41" s="42"/>
      <c r="WOK41" s="38"/>
      <c r="WOL41" s="38"/>
      <c r="WOM41" s="38"/>
      <c r="WON41" s="39"/>
      <c r="WOO41" s="38"/>
      <c r="WOP41" s="38"/>
      <c r="WOQ41" s="38"/>
      <c r="WOR41" s="40"/>
      <c r="WOS41" s="41"/>
      <c r="WOT41" s="40"/>
      <c r="WOU41" s="38"/>
      <c r="WOV41" s="42"/>
      <c r="WOW41" s="42"/>
      <c r="WOX41" s="42"/>
      <c r="WOY41" s="38"/>
      <c r="WOZ41" s="38"/>
      <c r="WPA41" s="38"/>
      <c r="WPB41" s="39"/>
      <c r="WPC41" s="38"/>
      <c r="WPD41" s="38"/>
      <c r="WPE41" s="38"/>
      <c r="WPF41" s="40"/>
      <c r="WPG41" s="41"/>
      <c r="WPH41" s="40"/>
      <c r="WPI41" s="38"/>
      <c r="WPJ41" s="42"/>
      <c r="WPK41" s="42"/>
      <c r="WPL41" s="42"/>
      <c r="WPM41" s="38"/>
      <c r="WPN41" s="38"/>
      <c r="WPO41" s="38"/>
      <c r="WPP41" s="39"/>
      <c r="WPQ41" s="38"/>
      <c r="WPR41" s="38"/>
      <c r="WPS41" s="38"/>
      <c r="WPT41" s="40"/>
      <c r="WPU41" s="41"/>
      <c r="WPV41" s="40"/>
      <c r="WPW41" s="38"/>
      <c r="WPX41" s="42"/>
      <c r="WPY41" s="42"/>
      <c r="WPZ41" s="42"/>
      <c r="WQA41" s="38"/>
      <c r="WQB41" s="38"/>
      <c r="WQC41" s="38"/>
      <c r="WQD41" s="39"/>
      <c r="WQE41" s="38"/>
      <c r="WQF41" s="38"/>
      <c r="WQG41" s="38"/>
      <c r="WQH41" s="40"/>
      <c r="WQI41" s="41"/>
      <c r="WQJ41" s="40"/>
      <c r="WQK41" s="38"/>
      <c r="WQL41" s="42"/>
      <c r="WQM41" s="42"/>
      <c r="WQN41" s="42"/>
      <c r="WQO41" s="38"/>
      <c r="WQP41" s="38"/>
      <c r="WQQ41" s="38"/>
      <c r="WQR41" s="39"/>
      <c r="WQS41" s="38"/>
      <c r="WQT41" s="38"/>
      <c r="WQU41" s="38"/>
      <c r="WQV41" s="40"/>
      <c r="WQW41" s="41"/>
      <c r="WQX41" s="40"/>
      <c r="WQY41" s="38"/>
      <c r="WQZ41" s="42"/>
      <c r="WRA41" s="42"/>
      <c r="WRB41" s="42"/>
      <c r="WRC41" s="38"/>
      <c r="WRD41" s="38"/>
      <c r="WRE41" s="38"/>
      <c r="WRF41" s="39"/>
      <c r="WRG41" s="38"/>
      <c r="WRH41" s="38"/>
      <c r="WRI41" s="38"/>
      <c r="WRJ41" s="40"/>
      <c r="WRK41" s="41"/>
      <c r="WRL41" s="40"/>
      <c r="WRM41" s="38"/>
      <c r="WRN41" s="42"/>
      <c r="WRO41" s="42"/>
      <c r="WRP41" s="42"/>
      <c r="WRQ41" s="38"/>
      <c r="WRR41" s="38"/>
      <c r="WRS41" s="38"/>
      <c r="WRT41" s="39"/>
      <c r="WRU41" s="38"/>
      <c r="WRV41" s="38"/>
      <c r="WRW41" s="38"/>
      <c r="WRX41" s="40"/>
      <c r="WRY41" s="41"/>
      <c r="WRZ41" s="40"/>
      <c r="WSA41" s="38"/>
      <c r="WSB41" s="42"/>
      <c r="WSC41" s="42"/>
      <c r="WSD41" s="42"/>
      <c r="WSE41" s="38"/>
      <c r="WSF41" s="38"/>
      <c r="WSG41" s="38"/>
      <c r="WSH41" s="39"/>
      <c r="WSI41" s="38"/>
      <c r="WSJ41" s="38"/>
      <c r="WSK41" s="38"/>
      <c r="WSL41" s="40"/>
      <c r="WSM41" s="41"/>
      <c r="WSN41" s="40"/>
      <c r="WSO41" s="38"/>
      <c r="WSP41" s="42"/>
      <c r="WSQ41" s="42"/>
      <c r="WSR41" s="42"/>
      <c r="WSS41" s="38"/>
      <c r="WST41" s="38"/>
      <c r="WSU41" s="38"/>
      <c r="WSV41" s="39"/>
      <c r="WSW41" s="38"/>
      <c r="WSX41" s="38"/>
      <c r="WSY41" s="38"/>
      <c r="WSZ41" s="40"/>
      <c r="WTA41" s="41"/>
      <c r="WTB41" s="40"/>
      <c r="WTC41" s="38"/>
      <c r="WTD41" s="42"/>
      <c r="WTE41" s="42"/>
      <c r="WTF41" s="42"/>
      <c r="WTG41" s="38"/>
      <c r="WTH41" s="38"/>
      <c r="WTI41" s="38"/>
      <c r="WTJ41" s="39"/>
      <c r="WTK41" s="38"/>
      <c r="WTL41" s="38"/>
      <c r="WTM41" s="38"/>
      <c r="WTN41" s="40"/>
      <c r="WTO41" s="41"/>
      <c r="WTP41" s="40"/>
      <c r="WTQ41" s="38"/>
      <c r="WTR41" s="42"/>
      <c r="WTS41" s="42"/>
      <c r="WTT41" s="42"/>
      <c r="WTU41" s="38"/>
      <c r="WTV41" s="38"/>
      <c r="WTW41" s="38"/>
      <c r="WTX41" s="39"/>
      <c r="WTY41" s="38"/>
      <c r="WTZ41" s="38"/>
      <c r="WUA41" s="38"/>
      <c r="WUB41" s="40"/>
      <c r="WUC41" s="41"/>
      <c r="WUD41" s="40"/>
      <c r="WUE41" s="38"/>
      <c r="WUF41" s="42"/>
      <c r="WUG41" s="42"/>
      <c r="WUH41" s="42"/>
      <c r="WUI41" s="38"/>
      <c r="WUJ41" s="38"/>
      <c r="WUK41" s="38"/>
      <c r="WUL41" s="39"/>
      <c r="WUM41" s="38"/>
      <c r="WUN41" s="38"/>
      <c r="WUO41" s="38"/>
      <c r="WUP41" s="40"/>
      <c r="WUQ41" s="41"/>
      <c r="WUR41" s="40"/>
      <c r="WUS41" s="38"/>
      <c r="WUT41" s="42"/>
      <c r="WUU41" s="42"/>
      <c r="WUV41" s="42"/>
      <c r="WUW41" s="38"/>
      <c r="WUX41" s="38"/>
      <c r="WUY41" s="38"/>
      <c r="WUZ41" s="39"/>
      <c r="WVA41" s="38"/>
      <c r="WVB41" s="38"/>
      <c r="WVC41" s="38"/>
      <c r="WVD41" s="40"/>
      <c r="WVE41" s="41"/>
      <c r="WVF41" s="40"/>
      <c r="WVG41" s="38"/>
      <c r="WVH41" s="42"/>
      <c r="WVI41" s="42"/>
      <c r="WVJ41" s="42"/>
      <c r="WVK41" s="38"/>
      <c r="WVL41" s="38"/>
      <c r="WVM41" s="38"/>
      <c r="WVN41" s="39"/>
      <c r="WVO41" s="38"/>
      <c r="WVP41" s="38"/>
      <c r="WVQ41" s="38"/>
      <c r="WVR41" s="40"/>
      <c r="WVS41" s="41"/>
      <c r="WVT41" s="40"/>
      <c r="WVU41" s="38"/>
      <c r="WVV41" s="42"/>
      <c r="WVW41" s="42"/>
      <c r="WVX41" s="42"/>
      <c r="WVY41" s="38"/>
      <c r="WVZ41" s="38"/>
      <c r="WWA41" s="38"/>
      <c r="WWB41" s="39"/>
      <c r="WWC41" s="38"/>
      <c r="WWD41" s="38"/>
      <c r="WWE41" s="38"/>
      <c r="WWF41" s="40"/>
      <c r="WWG41" s="41"/>
      <c r="WWH41" s="40"/>
      <c r="WWI41" s="38"/>
      <c r="WWJ41" s="42"/>
      <c r="WWK41" s="42"/>
      <c r="WWL41" s="42"/>
      <c r="WWM41" s="38"/>
      <c r="WWN41" s="38"/>
      <c r="WWO41" s="38"/>
      <c r="WWP41" s="39"/>
      <c r="WWQ41" s="38"/>
      <c r="WWR41" s="38"/>
      <c r="WWS41" s="38"/>
      <c r="WWT41" s="40"/>
      <c r="WWU41" s="41"/>
      <c r="WWV41" s="40"/>
      <c r="WWW41" s="38"/>
      <c r="WWX41" s="42"/>
      <c r="WWY41" s="42"/>
      <c r="WWZ41" s="42"/>
      <c r="WXA41" s="38"/>
      <c r="WXB41" s="38"/>
      <c r="WXC41" s="38"/>
      <c r="WXD41" s="39"/>
      <c r="WXE41" s="38"/>
      <c r="WXF41" s="38"/>
      <c r="WXG41" s="38"/>
      <c r="WXH41" s="40"/>
      <c r="WXI41" s="41"/>
      <c r="WXJ41" s="40"/>
      <c r="WXK41" s="38"/>
      <c r="WXL41" s="42"/>
      <c r="WXM41" s="42"/>
      <c r="WXN41" s="42"/>
      <c r="WXO41" s="38"/>
      <c r="WXP41" s="38"/>
      <c r="WXQ41" s="38"/>
      <c r="WXR41" s="39"/>
      <c r="WXS41" s="38"/>
      <c r="WXT41" s="38"/>
      <c r="WXU41" s="38"/>
      <c r="WXV41" s="40"/>
      <c r="WXW41" s="41"/>
      <c r="WXX41" s="40"/>
      <c r="WXY41" s="38"/>
      <c r="WXZ41" s="42"/>
      <c r="WYA41" s="42"/>
      <c r="WYB41" s="42"/>
      <c r="WYC41" s="38"/>
      <c r="WYD41" s="38"/>
      <c r="WYE41" s="38"/>
      <c r="WYF41" s="39"/>
      <c r="WYG41" s="38"/>
      <c r="WYH41" s="38"/>
      <c r="WYI41" s="38"/>
      <c r="WYJ41" s="40"/>
      <c r="WYK41" s="41"/>
      <c r="WYL41" s="40"/>
      <c r="WYM41" s="38"/>
      <c r="WYN41" s="42"/>
      <c r="WYO41" s="42"/>
      <c r="WYP41" s="42"/>
      <c r="WYQ41" s="38"/>
      <c r="WYR41" s="38"/>
      <c r="WYS41" s="38"/>
      <c r="WYT41" s="39"/>
      <c r="WYU41" s="38"/>
      <c r="WYV41" s="38"/>
      <c r="WYW41" s="38"/>
      <c r="WYX41" s="40"/>
      <c r="WYY41" s="41"/>
      <c r="WYZ41" s="40"/>
      <c r="WZA41" s="38"/>
      <c r="WZB41" s="42"/>
      <c r="WZC41" s="42"/>
      <c r="WZD41" s="42"/>
      <c r="WZE41" s="38"/>
      <c r="WZF41" s="38"/>
      <c r="WZG41" s="38"/>
      <c r="WZH41" s="39"/>
      <c r="WZI41" s="38"/>
      <c r="WZJ41" s="38"/>
      <c r="WZK41" s="38"/>
      <c r="WZL41" s="40"/>
      <c r="WZM41" s="41"/>
      <c r="WZN41" s="40"/>
      <c r="WZO41" s="38"/>
      <c r="WZP41" s="42"/>
      <c r="WZQ41" s="42"/>
      <c r="WZR41" s="42"/>
      <c r="WZS41" s="38"/>
      <c r="WZT41" s="38"/>
      <c r="WZU41" s="38"/>
      <c r="WZV41" s="39"/>
      <c r="WZW41" s="38"/>
      <c r="WZX41" s="38"/>
      <c r="WZY41" s="38"/>
      <c r="WZZ41" s="40"/>
      <c r="XAA41" s="41"/>
      <c r="XAB41" s="40"/>
      <c r="XAC41" s="38"/>
      <c r="XAD41" s="42"/>
      <c r="XAE41" s="42"/>
      <c r="XAF41" s="42"/>
      <c r="XAG41" s="38"/>
      <c r="XAH41" s="38"/>
      <c r="XAI41" s="38"/>
      <c r="XAJ41" s="39"/>
      <c r="XAK41" s="38"/>
      <c r="XAL41" s="38"/>
      <c r="XAM41" s="38"/>
      <c r="XAN41" s="40"/>
      <c r="XAO41" s="41"/>
      <c r="XAP41" s="40"/>
      <c r="XAQ41" s="38"/>
      <c r="XAR41" s="42"/>
      <c r="XAS41" s="42"/>
      <c r="XAT41" s="42"/>
      <c r="XAU41" s="38"/>
      <c r="XAV41" s="38"/>
      <c r="XAW41" s="38"/>
      <c r="XAX41" s="39"/>
      <c r="XAY41" s="38"/>
      <c r="XAZ41" s="38"/>
      <c r="XBA41" s="38"/>
      <c r="XBB41" s="40"/>
      <c r="XBC41" s="41"/>
      <c r="XBD41" s="40"/>
      <c r="XBE41" s="38"/>
      <c r="XBF41" s="42"/>
      <c r="XBG41" s="42"/>
      <c r="XBH41" s="42"/>
      <c r="XBI41" s="38"/>
      <c r="XBJ41" s="38"/>
      <c r="XBK41" s="38"/>
      <c r="XBL41" s="39"/>
      <c r="XBM41" s="38"/>
      <c r="XBN41" s="38"/>
      <c r="XBO41" s="38"/>
      <c r="XBP41" s="40"/>
      <c r="XBQ41" s="41"/>
      <c r="XBR41" s="40"/>
      <c r="XBS41" s="38"/>
      <c r="XBT41" s="42"/>
      <c r="XBU41" s="42"/>
      <c r="XBV41" s="42"/>
      <c r="XBW41" s="38"/>
      <c r="XBX41" s="38"/>
      <c r="XBY41" s="38"/>
      <c r="XBZ41" s="39"/>
      <c r="XCA41" s="38"/>
      <c r="XCB41" s="38"/>
      <c r="XCC41" s="38"/>
      <c r="XCD41" s="40"/>
      <c r="XCE41" s="41"/>
      <c r="XCF41" s="40"/>
      <c r="XCG41" s="38"/>
      <c r="XCH41" s="42"/>
      <c r="XCI41" s="42"/>
      <c r="XCJ41" s="42"/>
      <c r="XCK41" s="38"/>
      <c r="XCL41" s="38"/>
      <c r="XCM41" s="38"/>
      <c r="XCN41" s="39"/>
      <c r="XCO41" s="38"/>
      <c r="XCP41" s="38"/>
      <c r="XCQ41" s="38"/>
      <c r="XCR41" s="40"/>
      <c r="XCS41" s="41"/>
      <c r="XCT41" s="40"/>
      <c r="XCU41" s="38"/>
      <c r="XCV41" s="42"/>
      <c r="XCW41" s="42"/>
      <c r="XCX41" s="42"/>
      <c r="XCY41" s="38"/>
      <c r="XCZ41" s="38"/>
      <c r="XDA41" s="38"/>
      <c r="XDB41" s="39"/>
      <c r="XDC41" s="38"/>
      <c r="XDD41" s="38"/>
      <c r="XDE41" s="38"/>
      <c r="XDF41" s="40"/>
      <c r="XDG41" s="41"/>
      <c r="XDH41" s="40"/>
      <c r="XDI41" s="38"/>
      <c r="XDJ41" s="42"/>
      <c r="XDK41" s="42"/>
      <c r="XDL41" s="42"/>
      <c r="XDM41" s="38"/>
      <c r="XDN41" s="38"/>
      <c r="XDO41" s="38"/>
      <c r="XDP41" s="39"/>
      <c r="XDQ41" s="38"/>
      <c r="XDR41" s="38"/>
      <c r="XDS41" s="38"/>
      <c r="XDT41" s="40"/>
      <c r="XDU41" s="41"/>
      <c r="XDV41" s="40"/>
      <c r="XDW41" s="38"/>
      <c r="XDX41" s="42"/>
      <c r="XDY41" s="42"/>
      <c r="XDZ41" s="42"/>
      <c r="XEA41" s="38"/>
      <c r="XEB41" s="38"/>
      <c r="XEC41" s="38"/>
      <c r="XED41" s="39"/>
      <c r="XEE41" s="38"/>
      <c r="XEF41" s="38"/>
      <c r="XEG41" s="38"/>
      <c r="XEH41" s="40"/>
      <c r="XEI41" s="41"/>
      <c r="XEJ41" s="40"/>
      <c r="XEK41" s="38"/>
      <c r="XEL41" s="42"/>
      <c r="XEM41" s="42"/>
      <c r="XEN41" s="42"/>
      <c r="XEO41" s="38"/>
      <c r="XEP41" s="38"/>
      <c r="XEQ41" s="38"/>
      <c r="XER41" s="39"/>
      <c r="XES41" s="38"/>
      <c r="XET41" s="38"/>
      <c r="XEU41" s="38"/>
      <c r="XEV41" s="40"/>
      <c r="XEW41" s="41"/>
      <c r="XEX41" s="40"/>
      <c r="XEY41" s="38"/>
      <c r="XEZ41" s="42"/>
      <c r="XFA41" s="42"/>
      <c r="XFB41" s="42"/>
      <c r="XFC41" s="38"/>
      <c r="XFD41" s="38"/>
    </row>
    <row r="42" spans="1:16384" ht="28.8" x14ac:dyDescent="0.3">
      <c r="B42" s="69" t="s">
        <v>219</v>
      </c>
      <c r="C42" s="70" t="s">
        <v>222</v>
      </c>
      <c r="D42" s="70" t="s">
        <v>66</v>
      </c>
      <c r="E42" s="70" t="s">
        <v>60</v>
      </c>
      <c r="F42" s="71"/>
      <c r="G42" s="70"/>
      <c r="H42" s="70"/>
      <c r="I42" s="94" t="s">
        <v>54</v>
      </c>
      <c r="J42" s="72">
        <v>6.1067242934021826E-2</v>
      </c>
      <c r="K42" s="73" t="s">
        <v>67</v>
      </c>
      <c r="L42" s="85">
        <v>147064.03324851199</v>
      </c>
      <c r="M42" s="70" t="s">
        <v>68</v>
      </c>
      <c r="N42" s="45" t="s">
        <v>2</v>
      </c>
      <c r="O42" s="85">
        <v>2408.2310938354085</v>
      </c>
    </row>
    <row r="43" spans="1:16384" x14ac:dyDescent="0.3">
      <c r="B43" s="69" t="s">
        <v>37</v>
      </c>
      <c r="C43" s="70" t="s">
        <v>38</v>
      </c>
      <c r="D43" s="70" t="s">
        <v>66</v>
      </c>
      <c r="E43" s="70" t="s">
        <v>60</v>
      </c>
      <c r="F43" s="71"/>
      <c r="G43" s="70"/>
      <c r="H43" s="70"/>
      <c r="I43" s="94" t="s">
        <v>54</v>
      </c>
      <c r="J43" s="72">
        <v>5.9911502700690254E-2</v>
      </c>
      <c r="K43" s="73" t="s">
        <v>67</v>
      </c>
      <c r="L43" s="85">
        <v>228993.52677515999</v>
      </c>
      <c r="M43" s="70" t="s">
        <v>68</v>
      </c>
      <c r="N43" s="45" t="s">
        <v>2</v>
      </c>
      <c r="O43" s="85">
        <v>3822.1963471552467</v>
      </c>
    </row>
    <row r="44" spans="1:16384" x14ac:dyDescent="0.3">
      <c r="B44" s="69" t="s">
        <v>37</v>
      </c>
      <c r="C44" s="70" t="s">
        <v>40</v>
      </c>
      <c r="D44" s="70" t="s">
        <v>66</v>
      </c>
      <c r="E44" s="70" t="s">
        <v>60</v>
      </c>
      <c r="F44" s="71"/>
      <c r="G44" s="70"/>
      <c r="H44" s="70"/>
      <c r="I44" s="94" t="s">
        <v>54</v>
      </c>
      <c r="J44" s="72">
        <v>6.0587726144739978E-2</v>
      </c>
      <c r="K44" s="73" t="s">
        <v>67</v>
      </c>
      <c r="L44" s="85">
        <v>305914.23913106002</v>
      </c>
      <c r="M44" s="70" t="s">
        <v>68</v>
      </c>
      <c r="N44" s="45" t="s">
        <v>2</v>
      </c>
      <c r="O44" s="85">
        <v>5049.1123961353424</v>
      </c>
    </row>
    <row r="45" spans="1:16384" x14ac:dyDescent="0.3">
      <c r="B45" s="69" t="s">
        <v>37</v>
      </c>
      <c r="C45" s="70" t="s">
        <v>226</v>
      </c>
      <c r="D45" s="70" t="s">
        <v>66</v>
      </c>
      <c r="E45" s="70" t="s">
        <v>60</v>
      </c>
      <c r="F45" s="71"/>
      <c r="G45" s="70"/>
      <c r="H45" s="70"/>
      <c r="I45" s="94" t="s">
        <v>54</v>
      </c>
      <c r="J45" s="72">
        <v>5.7293478133653465E-2</v>
      </c>
      <c r="K45" s="73" t="s">
        <v>67</v>
      </c>
      <c r="L45" s="85">
        <v>245256.23353756499</v>
      </c>
      <c r="M45" s="70" t="s">
        <v>68</v>
      </c>
      <c r="N45" s="45" t="s">
        <v>2</v>
      </c>
      <c r="O45" s="85">
        <v>4280.7007276715603</v>
      </c>
    </row>
    <row r="46" spans="1:16384" x14ac:dyDescent="0.3">
      <c r="B46" s="69" t="s">
        <v>37</v>
      </c>
      <c r="C46" s="70" t="s">
        <v>42</v>
      </c>
      <c r="D46" s="70" t="s">
        <v>66</v>
      </c>
      <c r="E46" s="70" t="s">
        <v>60</v>
      </c>
      <c r="F46" s="71"/>
      <c r="G46" s="70"/>
      <c r="H46" s="70"/>
      <c r="I46" s="94" t="s">
        <v>54</v>
      </c>
      <c r="J46" s="72">
        <v>5.7009265059810195E-2</v>
      </c>
      <c r="K46" s="73" t="s">
        <v>67</v>
      </c>
      <c r="L46" s="85">
        <v>285109.60137109301</v>
      </c>
      <c r="M46" s="70" t="s">
        <v>68</v>
      </c>
      <c r="N46" s="45" t="s">
        <v>2</v>
      </c>
      <c r="O46" s="85">
        <v>5001.1099261142144</v>
      </c>
    </row>
    <row r="47" spans="1:16384" x14ac:dyDescent="0.3">
      <c r="B47" s="69" t="s">
        <v>92</v>
      </c>
      <c r="C47" s="70" t="s">
        <v>53</v>
      </c>
      <c r="D47" s="70" t="s">
        <v>66</v>
      </c>
      <c r="E47" s="70" t="s">
        <v>60</v>
      </c>
      <c r="F47" s="71"/>
      <c r="G47" s="70"/>
      <c r="H47" s="70"/>
      <c r="I47" s="94" t="s">
        <v>54</v>
      </c>
      <c r="J47" s="72">
        <v>5.9811683412589252E-2</v>
      </c>
      <c r="K47" s="73" t="s">
        <v>67</v>
      </c>
      <c r="L47" s="85">
        <v>5101838.7</v>
      </c>
      <c r="M47" s="70" t="s">
        <v>68</v>
      </c>
      <c r="N47" s="45" t="s">
        <v>2</v>
      </c>
      <c r="O47" s="85">
        <v>85298.363278070814</v>
      </c>
    </row>
    <row r="48" spans="1:16384" x14ac:dyDescent="0.3">
      <c r="B48" s="69" t="s">
        <v>44</v>
      </c>
      <c r="C48" s="70" t="s">
        <v>45</v>
      </c>
      <c r="D48" s="70" t="s">
        <v>66</v>
      </c>
      <c r="E48" s="70" t="s">
        <v>60</v>
      </c>
      <c r="F48" s="71"/>
      <c r="G48" s="70"/>
      <c r="H48" s="70"/>
      <c r="I48" s="94" t="s">
        <v>54</v>
      </c>
      <c r="J48" s="72">
        <v>5.8946514270904277E-2</v>
      </c>
      <c r="K48" s="73" t="s">
        <v>67</v>
      </c>
      <c r="L48" s="85">
        <v>191536</v>
      </c>
      <c r="M48" s="70" t="s">
        <v>68</v>
      </c>
      <c r="N48" s="45" t="s">
        <v>2</v>
      </c>
      <c r="O48" s="85">
        <v>3249.3185113498944</v>
      </c>
    </row>
    <row r="49" spans="2:15" x14ac:dyDescent="0.3">
      <c r="B49" s="69" t="s">
        <v>44</v>
      </c>
      <c r="C49" s="70" t="s">
        <v>47</v>
      </c>
      <c r="D49" s="70" t="s">
        <v>63</v>
      </c>
      <c r="E49" s="70" t="s">
        <v>59</v>
      </c>
      <c r="F49" s="71"/>
      <c r="G49" s="70"/>
      <c r="H49" s="70"/>
      <c r="I49" s="94" t="s">
        <v>54</v>
      </c>
      <c r="J49" s="72">
        <v>9.3403239869489126E-3</v>
      </c>
      <c r="K49" s="73" t="s">
        <v>64</v>
      </c>
      <c r="L49" s="85">
        <v>0</v>
      </c>
      <c r="M49" s="70" t="s">
        <v>65</v>
      </c>
      <c r="N49" s="45" t="s">
        <v>2</v>
      </c>
      <c r="O49" s="85">
        <v>0</v>
      </c>
    </row>
    <row r="50" spans="2:15" x14ac:dyDescent="0.3">
      <c r="B50" s="69" t="s">
        <v>49</v>
      </c>
      <c r="C50" s="70" t="s">
        <v>50</v>
      </c>
      <c r="D50" s="70" t="s">
        <v>66</v>
      </c>
      <c r="E50" s="70" t="s">
        <v>60</v>
      </c>
      <c r="F50" s="71">
        <v>280000</v>
      </c>
      <c r="G50" s="70">
        <v>7200</v>
      </c>
      <c r="H50" s="70" t="s">
        <v>159</v>
      </c>
      <c r="I50" s="94" t="s">
        <v>87</v>
      </c>
      <c r="J50" s="72"/>
      <c r="K50" s="73" t="s">
        <v>67</v>
      </c>
      <c r="L50" s="85"/>
      <c r="M50" s="70" t="s">
        <v>68</v>
      </c>
      <c r="N50" s="45" t="s">
        <v>54</v>
      </c>
      <c r="O50" s="85"/>
    </row>
    <row r="51" spans="2:15" x14ac:dyDescent="0.3">
      <c r="B51" s="69" t="s">
        <v>52</v>
      </c>
      <c r="C51" s="70" t="s">
        <v>167</v>
      </c>
      <c r="D51" s="70" t="s">
        <v>63</v>
      </c>
      <c r="E51" s="70" t="s">
        <v>59</v>
      </c>
      <c r="F51" s="71"/>
      <c r="G51" s="70"/>
      <c r="H51" s="70"/>
      <c r="I51" s="94" t="s">
        <v>54</v>
      </c>
      <c r="J51" s="72"/>
      <c r="K51" s="73" t="s">
        <v>64</v>
      </c>
      <c r="L51" s="85"/>
      <c r="M51" s="70" t="s">
        <v>65</v>
      </c>
      <c r="N51" s="49" t="s">
        <v>54</v>
      </c>
      <c r="O51" s="85"/>
    </row>
    <row r="52" spans="2:15" x14ac:dyDescent="0.3">
      <c r="B52" s="69" t="s">
        <v>52</v>
      </c>
      <c r="C52" s="70" t="s">
        <v>165</v>
      </c>
      <c r="D52" s="70" t="s">
        <v>63</v>
      </c>
      <c r="E52" s="70" t="s">
        <v>59</v>
      </c>
      <c r="F52" s="71"/>
      <c r="G52" s="70"/>
      <c r="H52" s="70"/>
      <c r="I52" s="94" t="s">
        <v>54</v>
      </c>
      <c r="J52" s="72"/>
      <c r="K52" s="73" t="s">
        <v>64</v>
      </c>
      <c r="L52" s="85"/>
      <c r="M52" s="70" t="s">
        <v>65</v>
      </c>
      <c r="N52" s="49" t="s">
        <v>54</v>
      </c>
      <c r="O52" s="85"/>
    </row>
    <row r="53" spans="2:15" x14ac:dyDescent="0.3">
      <c r="B53" s="69" t="s">
        <v>52</v>
      </c>
      <c r="C53" s="70" t="s">
        <v>172</v>
      </c>
      <c r="D53" s="70" t="s">
        <v>66</v>
      </c>
      <c r="E53" s="70" t="s">
        <v>60</v>
      </c>
      <c r="F53" s="71"/>
      <c r="G53" s="70"/>
      <c r="H53" s="70"/>
      <c r="I53" s="94" t="s">
        <v>54</v>
      </c>
      <c r="J53" s="72"/>
      <c r="K53" s="73" t="s">
        <v>67</v>
      </c>
      <c r="L53" s="85"/>
      <c r="M53" s="70" t="s">
        <v>68</v>
      </c>
      <c r="N53" s="49" t="s">
        <v>54</v>
      </c>
      <c r="O53" s="85"/>
    </row>
    <row r="54" spans="2:15" x14ac:dyDescent="0.3">
      <c r="B54" s="69" t="s">
        <v>52</v>
      </c>
      <c r="C54" s="70" t="s">
        <v>170</v>
      </c>
      <c r="D54" s="70" t="s">
        <v>66</v>
      </c>
      <c r="E54" s="70" t="s">
        <v>60</v>
      </c>
      <c r="F54" s="71"/>
      <c r="G54" s="70"/>
      <c r="H54" s="70"/>
      <c r="I54" s="94" t="s">
        <v>54</v>
      </c>
      <c r="J54" s="72"/>
      <c r="K54" s="73" t="s">
        <v>67</v>
      </c>
      <c r="L54" s="85"/>
      <c r="M54" s="70" t="s">
        <v>68</v>
      </c>
      <c r="N54" s="49" t="s">
        <v>54</v>
      </c>
      <c r="O54" s="85"/>
    </row>
    <row r="55" spans="2:15" x14ac:dyDescent="0.3">
      <c r="B55" s="69" t="s">
        <v>218</v>
      </c>
      <c r="C55" s="70" t="s">
        <v>239</v>
      </c>
      <c r="D55" s="70" t="s">
        <v>63</v>
      </c>
      <c r="E55" s="70" t="s">
        <v>59</v>
      </c>
      <c r="F55" s="71"/>
      <c r="G55" s="70"/>
      <c r="H55" s="70"/>
      <c r="I55" s="177" t="s">
        <v>54</v>
      </c>
      <c r="J55" s="72">
        <v>8.4419871879506704E-3</v>
      </c>
      <c r="K55" s="73" t="s">
        <v>64</v>
      </c>
      <c r="L55" s="85">
        <v>0</v>
      </c>
      <c r="M55" s="70" t="s">
        <v>65</v>
      </c>
      <c r="N55" s="49" t="s">
        <v>2</v>
      </c>
      <c r="O55" s="85">
        <v>0</v>
      </c>
    </row>
    <row r="56" spans="2:15" x14ac:dyDescent="0.3">
      <c r="B56" s="69" t="s">
        <v>218</v>
      </c>
      <c r="C56" s="70" t="s">
        <v>230</v>
      </c>
      <c r="D56" s="70" t="s">
        <v>63</v>
      </c>
      <c r="E56" s="70" t="s">
        <v>59</v>
      </c>
      <c r="F56" s="71"/>
      <c r="G56" s="70"/>
      <c r="H56" s="70"/>
      <c r="I56" s="177" t="s">
        <v>54</v>
      </c>
      <c r="J56" s="72">
        <v>1.1251392880147988E-2</v>
      </c>
      <c r="K56" s="73" t="s">
        <v>64</v>
      </c>
      <c r="L56" s="85">
        <v>0</v>
      </c>
      <c r="M56" s="70" t="s">
        <v>65</v>
      </c>
      <c r="N56" s="49" t="s">
        <v>2</v>
      </c>
      <c r="O56" s="85">
        <v>0</v>
      </c>
    </row>
    <row r="57" spans="2:15" ht="15" thickBot="1" x14ac:dyDescent="0.35">
      <c r="B57" s="111" t="s">
        <v>97</v>
      </c>
      <c r="C57" s="112" t="s">
        <v>157</v>
      </c>
      <c r="D57" s="112" t="s">
        <v>69</v>
      </c>
      <c r="E57" s="112" t="s">
        <v>99</v>
      </c>
      <c r="F57" s="113"/>
      <c r="G57" s="112"/>
      <c r="H57" s="112"/>
      <c r="I57" s="114" t="s">
        <v>54</v>
      </c>
      <c r="J57" s="115">
        <v>2.190475856237595E-3</v>
      </c>
      <c r="K57" s="116" t="s">
        <v>194</v>
      </c>
      <c r="L57" s="117">
        <v>82180.9980641211</v>
      </c>
      <c r="M57" s="112" t="s">
        <v>196</v>
      </c>
      <c r="N57" s="118" t="s">
        <v>2</v>
      </c>
      <c r="O57" s="117">
        <v>37517.417884384638</v>
      </c>
    </row>
  </sheetData>
  <mergeCells count="2">
    <mergeCell ref="B2:O2"/>
    <mergeCell ref="B1:O1"/>
  </mergeCells>
  <pageMargins left="0" right="0" top="0.3" bottom="1" header="0" footer="0"/>
  <pageSetup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ETIQUETA</vt:lpstr>
      <vt:lpstr>ESTATUS VERIFICACIÓN CEN</vt:lpstr>
      <vt:lpstr>ESTADO DECLARACIÓN CVP</vt:lpstr>
      <vt:lpstr>COSTO VARIABLE DE PRODUCCIÓN</vt:lpstr>
      <vt:lpstr>EXISTENCIA DE COMBUSTIBLE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Coste</dc:creator>
  <cp:lastModifiedBy>Alexander De La Cruz</cp:lastModifiedBy>
  <dcterms:created xsi:type="dcterms:W3CDTF">2016-02-17T18:05:03Z</dcterms:created>
  <dcterms:modified xsi:type="dcterms:W3CDTF">2026-06-05T14:20:15Z</dcterms:modified>
</cp:coreProperties>
</file>